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mc:AlternateContent xmlns:mc="http://schemas.openxmlformats.org/markup-compatibility/2006">
    <mc:Choice Requires="x15">
      <x15ac:absPath xmlns:x15ac="http://schemas.microsoft.com/office/spreadsheetml/2010/11/ac" url="F:\All About HRD Achieved Project\Surat Menyurat\All About Lettering\KPI\"/>
    </mc:Choice>
  </mc:AlternateContent>
  <xr:revisionPtr revIDLastSave="0" documentId="8_{4B3A0B01-ECD4-45B4-B7C7-697C34220C38}" xr6:coauthVersionLast="47" xr6:coauthVersionMax="47" xr10:uidLastSave="{00000000-0000-0000-0000-000000000000}"/>
  <bookViews>
    <workbookView xWindow="-108" yWindow="-108" windowWidth="23256" windowHeight="12576" activeTab="2" xr2:uid="{00000000-000D-0000-FFFF-FFFF00000000}"/>
  </bookViews>
  <sheets>
    <sheet name="01_Dashboard" sheetId="1" r:id="rId1"/>
    <sheet name="02_Master Divisi" sheetId="2" r:id="rId2"/>
    <sheet name="03_Master Jabatan" sheetId="3" r:id="rId3"/>
    <sheet name="04_Master Karyawan" sheetId="4" r:id="rId4"/>
    <sheet name="05_Master KPI" sheetId="5" r:id="rId5"/>
    <sheet name="06_Target KPI" sheetId="6" r:id="rId6"/>
    <sheet name="07A_KPI Produksi" sheetId="7" r:id="rId7"/>
    <sheet name="07B_KPI Marketing" sheetId="8" r:id="rId8"/>
    <sheet name="07C_KPI Admin" sheetId="9" r:id="rId9"/>
    <sheet name="07D_KPI Design" sheetId="10" r:id="rId10"/>
    <sheet name="07E_KPI HR" sheetId="11" r:id="rId11"/>
    <sheet name="07F_KPI Finance" sheetId="12" r:id="rId12"/>
    <sheet name="08_Rekap Individu" sheetId="13" r:id="rId13"/>
    <sheet name="09_Rekap Divisi" sheetId="14" r:id="rId14"/>
    <sheet name="10_Rekap Perusahaan" sheetId="15" r:id="rId15"/>
    <sheet name="11_Reward Punishment" sheetId="16" r:id="rId16"/>
    <sheet name="12_Dashboard CEO" sheetId="17" r:id="rId17"/>
    <sheet name="13_Setting"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15" i="17" l="1"/>
  <c r="C11" i="17"/>
  <c r="A4" i="17"/>
  <c r="D16" i="15"/>
  <c r="C16" i="15"/>
  <c r="D15" i="15"/>
  <c r="C15" i="15"/>
  <c r="D14" i="15"/>
  <c r="C14" i="15"/>
  <c r="D13" i="15"/>
  <c r="C13" i="15"/>
  <c r="D12" i="15"/>
  <c r="D11" i="15"/>
  <c r="D10" i="15"/>
  <c r="D9" i="15"/>
  <c r="D8" i="15"/>
  <c r="D7" i="15"/>
  <c r="D6" i="15"/>
  <c r="D5" i="15"/>
  <c r="C10" i="14"/>
  <c r="C9" i="14"/>
  <c r="C14" i="17" s="1"/>
  <c r="C8" i="14"/>
  <c r="C13" i="17" s="1"/>
  <c r="C7" i="14"/>
  <c r="C12" i="17" s="1"/>
  <c r="C6" i="14"/>
  <c r="C5" i="14"/>
  <c r="C10" i="17" s="1"/>
  <c r="M304" i="12"/>
  <c r="L304" i="12"/>
  <c r="K304" i="12"/>
  <c r="J304" i="12"/>
  <c r="H304" i="12"/>
  <c r="G304" i="12"/>
  <c r="E304" i="12"/>
  <c r="M303" i="12"/>
  <c r="L303" i="12"/>
  <c r="K303" i="12"/>
  <c r="J303" i="12"/>
  <c r="H303" i="12"/>
  <c r="G303" i="12"/>
  <c r="E303" i="12"/>
  <c r="M302" i="12"/>
  <c r="L302" i="12"/>
  <c r="K302" i="12"/>
  <c r="J302" i="12"/>
  <c r="H302" i="12"/>
  <c r="G302" i="12"/>
  <c r="E302" i="12"/>
  <c r="M301" i="12"/>
  <c r="L301" i="12"/>
  <c r="K301" i="12"/>
  <c r="J301" i="12"/>
  <c r="H301" i="12"/>
  <c r="G301" i="12"/>
  <c r="E301" i="12"/>
  <c r="M300" i="12"/>
  <c r="K300" i="12"/>
  <c r="J300" i="12"/>
  <c r="L300" i="12" s="1"/>
  <c r="H300" i="12"/>
  <c r="G300" i="12"/>
  <c r="E300" i="12"/>
  <c r="M299" i="12"/>
  <c r="K299" i="12"/>
  <c r="J299" i="12"/>
  <c r="H299" i="12"/>
  <c r="G299" i="12"/>
  <c r="E299" i="12"/>
  <c r="M298" i="12"/>
  <c r="K298" i="12"/>
  <c r="J298" i="12"/>
  <c r="L298" i="12" s="1"/>
  <c r="H298" i="12"/>
  <c r="G298" i="12"/>
  <c r="E298" i="12"/>
  <c r="M297" i="12"/>
  <c r="L297" i="12"/>
  <c r="K297" i="12"/>
  <c r="J297" i="12"/>
  <c r="H297" i="12"/>
  <c r="G297" i="12"/>
  <c r="E297" i="12"/>
  <c r="M296" i="12"/>
  <c r="K296" i="12"/>
  <c r="L296" i="12" s="1"/>
  <c r="J296" i="12"/>
  <c r="H296" i="12"/>
  <c r="G296" i="12"/>
  <c r="E296" i="12"/>
  <c r="M295" i="12"/>
  <c r="K295" i="12"/>
  <c r="J295" i="12"/>
  <c r="L295" i="12" s="1"/>
  <c r="H295" i="12"/>
  <c r="G295" i="12"/>
  <c r="E295" i="12"/>
  <c r="M294" i="12"/>
  <c r="K294" i="12"/>
  <c r="J294" i="12"/>
  <c r="L294" i="12" s="1"/>
  <c r="H294" i="12"/>
  <c r="G294" i="12"/>
  <c r="E294" i="12"/>
  <c r="M293" i="12"/>
  <c r="K293" i="12"/>
  <c r="J293" i="12"/>
  <c r="L293" i="12" s="1"/>
  <c r="H293" i="12"/>
  <c r="G293" i="12"/>
  <c r="E293" i="12"/>
  <c r="M292" i="12"/>
  <c r="K292" i="12"/>
  <c r="L292" i="12" s="1"/>
  <c r="J292" i="12"/>
  <c r="H292" i="12"/>
  <c r="G292" i="12"/>
  <c r="E292" i="12"/>
  <c r="M291" i="12"/>
  <c r="K291" i="12"/>
  <c r="J291" i="12"/>
  <c r="L291" i="12" s="1"/>
  <c r="H291" i="12"/>
  <c r="G291" i="12"/>
  <c r="E291" i="12"/>
  <c r="M290" i="12"/>
  <c r="L290" i="12"/>
  <c r="K290" i="12"/>
  <c r="J290" i="12"/>
  <c r="H290" i="12"/>
  <c r="G290" i="12"/>
  <c r="E290" i="12"/>
  <c r="M289" i="12"/>
  <c r="L289" i="12"/>
  <c r="K289" i="12"/>
  <c r="J289" i="12"/>
  <c r="H289" i="12"/>
  <c r="G289" i="12"/>
  <c r="E289" i="12"/>
  <c r="M288" i="12"/>
  <c r="K288" i="12"/>
  <c r="J288" i="12"/>
  <c r="L288" i="12" s="1"/>
  <c r="H288" i="12"/>
  <c r="G288" i="12"/>
  <c r="E288" i="12"/>
  <c r="M287" i="12"/>
  <c r="K287" i="12"/>
  <c r="J287" i="12"/>
  <c r="L287" i="12" s="1"/>
  <c r="H287" i="12"/>
  <c r="G287" i="12"/>
  <c r="E287" i="12"/>
  <c r="M286" i="12"/>
  <c r="K286" i="12"/>
  <c r="J286" i="12"/>
  <c r="L286" i="12" s="1"/>
  <c r="H286" i="12"/>
  <c r="G286" i="12"/>
  <c r="E286" i="12"/>
  <c r="M285" i="12"/>
  <c r="L285" i="12"/>
  <c r="K285" i="12"/>
  <c r="J285" i="12"/>
  <c r="H285" i="12"/>
  <c r="G285" i="12"/>
  <c r="E285" i="12"/>
  <c r="M284" i="12"/>
  <c r="L284" i="12"/>
  <c r="K284" i="12"/>
  <c r="J284" i="12"/>
  <c r="H284" i="12"/>
  <c r="G284" i="12"/>
  <c r="E284" i="12"/>
  <c r="M283" i="12"/>
  <c r="K283" i="12"/>
  <c r="J283" i="12"/>
  <c r="L283" i="12" s="1"/>
  <c r="H283" i="12"/>
  <c r="G283" i="12"/>
  <c r="E283" i="12"/>
  <c r="M282" i="12"/>
  <c r="K282" i="12"/>
  <c r="J282" i="12"/>
  <c r="L282" i="12" s="1"/>
  <c r="H282" i="12"/>
  <c r="G282" i="12"/>
  <c r="E282" i="12"/>
  <c r="M281" i="12"/>
  <c r="K281" i="12"/>
  <c r="J281" i="12"/>
  <c r="L281" i="12" s="1"/>
  <c r="H281" i="12"/>
  <c r="G281" i="12"/>
  <c r="E281" i="12"/>
  <c r="M280" i="12"/>
  <c r="L280" i="12"/>
  <c r="K280" i="12"/>
  <c r="J280" i="12"/>
  <c r="H280" i="12"/>
  <c r="G280" i="12"/>
  <c r="E280" i="12"/>
  <c r="M279" i="12"/>
  <c r="L279" i="12"/>
  <c r="K279" i="12"/>
  <c r="J279" i="12"/>
  <c r="H279" i="12"/>
  <c r="G279" i="12"/>
  <c r="E279" i="12"/>
  <c r="M278" i="12"/>
  <c r="L278" i="12"/>
  <c r="K278" i="12"/>
  <c r="J278" i="12"/>
  <c r="H278" i="12"/>
  <c r="G278" i="12"/>
  <c r="E278" i="12"/>
  <c r="M277" i="12"/>
  <c r="L277" i="12"/>
  <c r="K277" i="12"/>
  <c r="J277" i="12"/>
  <c r="H277" i="12"/>
  <c r="G277" i="12"/>
  <c r="E277" i="12"/>
  <c r="M276" i="12"/>
  <c r="K276" i="12"/>
  <c r="J276" i="12"/>
  <c r="L276" i="12" s="1"/>
  <c r="H276" i="12"/>
  <c r="G276" i="12"/>
  <c r="E276" i="12"/>
  <c r="M275" i="12"/>
  <c r="K275" i="12"/>
  <c r="J275" i="12"/>
  <c r="L275" i="12" s="1"/>
  <c r="H275" i="12"/>
  <c r="G275" i="12"/>
  <c r="E275" i="12"/>
  <c r="M274" i="12"/>
  <c r="K274" i="12"/>
  <c r="J274" i="12"/>
  <c r="L274" i="12" s="1"/>
  <c r="H274" i="12"/>
  <c r="G274" i="12"/>
  <c r="E274" i="12"/>
  <c r="M273" i="12"/>
  <c r="L273" i="12"/>
  <c r="K273" i="12"/>
  <c r="J273" i="12"/>
  <c r="H273" i="12"/>
  <c r="G273" i="12"/>
  <c r="E273" i="12"/>
  <c r="M272" i="12"/>
  <c r="L272" i="12"/>
  <c r="K272" i="12"/>
  <c r="J272" i="12"/>
  <c r="H272" i="12"/>
  <c r="G272" i="12"/>
  <c r="E272" i="12"/>
  <c r="M271" i="12"/>
  <c r="K271" i="12"/>
  <c r="J271" i="12"/>
  <c r="L271" i="12" s="1"/>
  <c r="H271" i="12"/>
  <c r="G271" i="12"/>
  <c r="E271" i="12"/>
  <c r="M270" i="12"/>
  <c r="K270" i="12"/>
  <c r="J270" i="12"/>
  <c r="L270" i="12" s="1"/>
  <c r="H270" i="12"/>
  <c r="G270" i="12"/>
  <c r="E270" i="12"/>
  <c r="M269" i="12"/>
  <c r="K269" i="12"/>
  <c r="J269" i="12"/>
  <c r="L269" i="12" s="1"/>
  <c r="H269" i="12"/>
  <c r="G269" i="12"/>
  <c r="E269" i="12"/>
  <c r="M268" i="12"/>
  <c r="K268" i="12"/>
  <c r="L268" i="12" s="1"/>
  <c r="J268" i="12"/>
  <c r="H268" i="12"/>
  <c r="G268" i="12"/>
  <c r="E268" i="12"/>
  <c r="M267" i="12"/>
  <c r="L267" i="12"/>
  <c r="K267" i="12"/>
  <c r="J267" i="12"/>
  <c r="H267" i="12"/>
  <c r="G267" i="12"/>
  <c r="E267" i="12"/>
  <c r="M266" i="12"/>
  <c r="L266" i="12"/>
  <c r="K266" i="12"/>
  <c r="J266" i="12"/>
  <c r="H266" i="12"/>
  <c r="G266" i="12"/>
  <c r="E266" i="12"/>
  <c r="M265" i="12"/>
  <c r="L265" i="12"/>
  <c r="K265" i="12"/>
  <c r="J265" i="12"/>
  <c r="H265" i="12"/>
  <c r="G265" i="12"/>
  <c r="E265" i="12"/>
  <c r="M264" i="12"/>
  <c r="K264" i="12"/>
  <c r="J264" i="12"/>
  <c r="L264" i="12" s="1"/>
  <c r="H264" i="12"/>
  <c r="G264" i="12"/>
  <c r="E264" i="12"/>
  <c r="M263" i="12"/>
  <c r="K263" i="12"/>
  <c r="J263" i="12"/>
  <c r="L263" i="12" s="1"/>
  <c r="H263" i="12"/>
  <c r="G263" i="12"/>
  <c r="E263" i="12"/>
  <c r="M262" i="12"/>
  <c r="K262" i="12"/>
  <c r="J262" i="12"/>
  <c r="L262" i="12" s="1"/>
  <c r="H262" i="12"/>
  <c r="G262" i="12"/>
  <c r="E262" i="12"/>
  <c r="M261" i="12"/>
  <c r="L261" i="12"/>
  <c r="K261" i="12"/>
  <c r="J261" i="12"/>
  <c r="H261" i="12"/>
  <c r="G261" i="12"/>
  <c r="E261" i="12"/>
  <c r="M260" i="12"/>
  <c r="L260" i="12"/>
  <c r="K260" i="12"/>
  <c r="J260" i="12"/>
  <c r="H260" i="12"/>
  <c r="G260" i="12"/>
  <c r="E260" i="12"/>
  <c r="M259" i="12"/>
  <c r="K259" i="12"/>
  <c r="J259" i="12"/>
  <c r="L259" i="12" s="1"/>
  <c r="H259" i="12"/>
  <c r="G259" i="12"/>
  <c r="E259" i="12"/>
  <c r="M258" i="12"/>
  <c r="K258" i="12"/>
  <c r="J258" i="12"/>
  <c r="L258" i="12" s="1"/>
  <c r="H258" i="12"/>
  <c r="G258" i="12"/>
  <c r="E258" i="12"/>
  <c r="M257" i="12"/>
  <c r="K257" i="12"/>
  <c r="J257" i="12"/>
  <c r="L257" i="12" s="1"/>
  <c r="H257" i="12"/>
  <c r="G257" i="12"/>
  <c r="E257" i="12"/>
  <c r="M256" i="12"/>
  <c r="L256" i="12"/>
  <c r="K256" i="12"/>
  <c r="J256" i="12"/>
  <c r="H256" i="12"/>
  <c r="G256" i="12"/>
  <c r="E256" i="12"/>
  <c r="M255" i="12"/>
  <c r="L255" i="12"/>
  <c r="K255" i="12"/>
  <c r="J255" i="12"/>
  <c r="H255" i="12"/>
  <c r="G255" i="12"/>
  <c r="E255" i="12"/>
  <c r="M254" i="12"/>
  <c r="L254" i="12"/>
  <c r="K254" i="12"/>
  <c r="J254" i="12"/>
  <c r="H254" i="12"/>
  <c r="G254" i="12"/>
  <c r="E254" i="12"/>
  <c r="M253" i="12"/>
  <c r="L253" i="12"/>
  <c r="K253" i="12"/>
  <c r="J253" i="12"/>
  <c r="H253" i="12"/>
  <c r="G253" i="12"/>
  <c r="E253" i="12"/>
  <c r="M252" i="12"/>
  <c r="K252" i="12"/>
  <c r="J252" i="12"/>
  <c r="L252" i="12" s="1"/>
  <c r="H252" i="12"/>
  <c r="G252" i="12"/>
  <c r="E252" i="12"/>
  <c r="M251" i="12"/>
  <c r="K251" i="12"/>
  <c r="J251" i="12"/>
  <c r="L251" i="12" s="1"/>
  <c r="H251" i="12"/>
  <c r="G251" i="12"/>
  <c r="E251" i="12"/>
  <c r="M250" i="12"/>
  <c r="K250" i="12"/>
  <c r="J250" i="12"/>
  <c r="L250" i="12" s="1"/>
  <c r="H250" i="12"/>
  <c r="G250" i="12"/>
  <c r="E250" i="12"/>
  <c r="M249" i="12"/>
  <c r="L249" i="12"/>
  <c r="K249" i="12"/>
  <c r="J249" i="12"/>
  <c r="H249" i="12"/>
  <c r="G249" i="12"/>
  <c r="E249" i="12"/>
  <c r="M248" i="12"/>
  <c r="L248" i="12"/>
  <c r="K248" i="12"/>
  <c r="J248" i="12"/>
  <c r="H248" i="12"/>
  <c r="G248" i="12"/>
  <c r="E248" i="12"/>
  <c r="M247" i="12"/>
  <c r="K247" i="12"/>
  <c r="J247" i="12"/>
  <c r="L247" i="12" s="1"/>
  <c r="H247" i="12"/>
  <c r="G247" i="12"/>
  <c r="E247" i="12"/>
  <c r="M246" i="12"/>
  <c r="K246" i="12"/>
  <c r="J246" i="12"/>
  <c r="L246" i="12" s="1"/>
  <c r="H246" i="12"/>
  <c r="G246" i="12"/>
  <c r="E246" i="12"/>
  <c r="M245" i="12"/>
  <c r="K245" i="12"/>
  <c r="J245" i="12"/>
  <c r="L245" i="12" s="1"/>
  <c r="H245" i="12"/>
  <c r="G245" i="12"/>
  <c r="E245" i="12"/>
  <c r="M244" i="12"/>
  <c r="K244" i="12"/>
  <c r="L244" i="12" s="1"/>
  <c r="J244" i="12"/>
  <c r="H244" i="12"/>
  <c r="G244" i="12"/>
  <c r="E244" i="12"/>
  <c r="M243" i="12"/>
  <c r="L243" i="12"/>
  <c r="K243" i="12"/>
  <c r="J243" i="12"/>
  <c r="H243" i="12"/>
  <c r="G243" i="12"/>
  <c r="E243" i="12"/>
  <c r="M242" i="12"/>
  <c r="L242" i="12"/>
  <c r="K242" i="12"/>
  <c r="J242" i="12"/>
  <c r="H242" i="12"/>
  <c r="G242" i="12"/>
  <c r="E242" i="12"/>
  <c r="M241" i="12"/>
  <c r="L241" i="12"/>
  <c r="K241" i="12"/>
  <c r="J241" i="12"/>
  <c r="H241" i="12"/>
  <c r="G241" i="12"/>
  <c r="E241" i="12"/>
  <c r="M240" i="12"/>
  <c r="K240" i="12"/>
  <c r="J240" i="12"/>
  <c r="L240" i="12" s="1"/>
  <c r="H240" i="12"/>
  <c r="G240" i="12"/>
  <c r="E240" i="12"/>
  <c r="M239" i="12"/>
  <c r="K239" i="12"/>
  <c r="J239" i="12"/>
  <c r="L239" i="12" s="1"/>
  <c r="H239" i="12"/>
  <c r="G239" i="12"/>
  <c r="E239" i="12"/>
  <c r="M238" i="12"/>
  <c r="K238" i="12"/>
  <c r="J238" i="12"/>
  <c r="L238" i="12" s="1"/>
  <c r="H238" i="12"/>
  <c r="G238" i="12"/>
  <c r="E238" i="12"/>
  <c r="M237" i="12"/>
  <c r="L237" i="12"/>
  <c r="K237" i="12"/>
  <c r="J237" i="12"/>
  <c r="H237" i="12"/>
  <c r="G237" i="12"/>
  <c r="E237" i="12"/>
  <c r="M236" i="12"/>
  <c r="L236" i="12"/>
  <c r="K236" i="12"/>
  <c r="J236" i="12"/>
  <c r="H236" i="12"/>
  <c r="G236" i="12"/>
  <c r="E236" i="12"/>
  <c r="M235" i="12"/>
  <c r="K235" i="12"/>
  <c r="J235" i="12"/>
  <c r="L235" i="12" s="1"/>
  <c r="H235" i="12"/>
  <c r="G235" i="12"/>
  <c r="E235" i="12"/>
  <c r="M234" i="12"/>
  <c r="K234" i="12"/>
  <c r="J234" i="12"/>
  <c r="L234" i="12" s="1"/>
  <c r="H234" i="12"/>
  <c r="G234" i="12"/>
  <c r="E234" i="12"/>
  <c r="M233" i="12"/>
  <c r="K233" i="12"/>
  <c r="J233" i="12"/>
  <c r="L233" i="12" s="1"/>
  <c r="H233" i="12"/>
  <c r="G233" i="12"/>
  <c r="E233" i="12"/>
  <c r="M232" i="12"/>
  <c r="L232" i="12"/>
  <c r="K232" i="12"/>
  <c r="J232" i="12"/>
  <c r="H232" i="12"/>
  <c r="G232" i="12"/>
  <c r="E232" i="12"/>
  <c r="M231" i="12"/>
  <c r="L231" i="12"/>
  <c r="K231" i="12"/>
  <c r="J231" i="12"/>
  <c r="H231" i="12"/>
  <c r="G231" i="12"/>
  <c r="E231" i="12"/>
  <c r="M230" i="12"/>
  <c r="L230" i="12"/>
  <c r="K230" i="12"/>
  <c r="J230" i="12"/>
  <c r="H230" i="12"/>
  <c r="G230" i="12"/>
  <c r="E230" i="12"/>
  <c r="M229" i="12"/>
  <c r="L229" i="12"/>
  <c r="K229" i="12"/>
  <c r="J229" i="12"/>
  <c r="H229" i="12"/>
  <c r="G229" i="12"/>
  <c r="E229" i="12"/>
  <c r="M228" i="12"/>
  <c r="K228" i="12"/>
  <c r="J228" i="12"/>
  <c r="L228" i="12" s="1"/>
  <c r="H228" i="12"/>
  <c r="G228" i="12"/>
  <c r="E228" i="12"/>
  <c r="M227" i="12"/>
  <c r="K227" i="12"/>
  <c r="J227" i="12"/>
  <c r="L227" i="12" s="1"/>
  <c r="H227" i="12"/>
  <c r="G227" i="12"/>
  <c r="E227" i="12"/>
  <c r="M226" i="12"/>
  <c r="K226" i="12"/>
  <c r="J226" i="12"/>
  <c r="L226" i="12" s="1"/>
  <c r="H226" i="12"/>
  <c r="G226" i="12"/>
  <c r="E226" i="12"/>
  <c r="M225" i="12"/>
  <c r="L225" i="12"/>
  <c r="K225" i="12"/>
  <c r="J225" i="12"/>
  <c r="H225" i="12"/>
  <c r="G225" i="12"/>
  <c r="E225" i="12"/>
  <c r="M224" i="12"/>
  <c r="L224" i="12"/>
  <c r="K224" i="12"/>
  <c r="J224" i="12"/>
  <c r="H224" i="12"/>
  <c r="G224" i="12"/>
  <c r="E224" i="12"/>
  <c r="M223" i="12"/>
  <c r="K223" i="12"/>
  <c r="J223" i="12"/>
  <c r="L223" i="12" s="1"/>
  <c r="H223" i="12"/>
  <c r="G223" i="12"/>
  <c r="E223" i="12"/>
  <c r="M222" i="12"/>
  <c r="K222" i="12"/>
  <c r="J222" i="12"/>
  <c r="L222" i="12" s="1"/>
  <c r="H222" i="12"/>
  <c r="G222" i="12"/>
  <c r="E222" i="12"/>
  <c r="M221" i="12"/>
  <c r="K221" i="12"/>
  <c r="J221" i="12"/>
  <c r="L221" i="12" s="1"/>
  <c r="H221" i="12"/>
  <c r="G221" i="12"/>
  <c r="E221" i="12"/>
  <c r="M220" i="12"/>
  <c r="K220" i="12"/>
  <c r="L220" i="12" s="1"/>
  <c r="J220" i="12"/>
  <c r="H220" i="12"/>
  <c r="G220" i="12"/>
  <c r="E220" i="12"/>
  <c r="M219" i="12"/>
  <c r="L219" i="12"/>
  <c r="K219" i="12"/>
  <c r="J219" i="12"/>
  <c r="H219" i="12"/>
  <c r="G219" i="12"/>
  <c r="E219" i="12"/>
  <c r="M218" i="12"/>
  <c r="L218" i="12"/>
  <c r="K218" i="12"/>
  <c r="J218" i="12"/>
  <c r="H218" i="12"/>
  <c r="G218" i="12"/>
  <c r="E218" i="12"/>
  <c r="M217" i="12"/>
  <c r="L217" i="12"/>
  <c r="K217" i="12"/>
  <c r="J217" i="12"/>
  <c r="H217" i="12"/>
  <c r="G217" i="12"/>
  <c r="E217" i="12"/>
  <c r="M216" i="12"/>
  <c r="K216" i="12"/>
  <c r="J216" i="12"/>
  <c r="L216" i="12" s="1"/>
  <c r="H216" i="12"/>
  <c r="G216" i="12"/>
  <c r="E216" i="12"/>
  <c r="M215" i="12"/>
  <c r="K215" i="12"/>
  <c r="J215" i="12"/>
  <c r="L215" i="12" s="1"/>
  <c r="H215" i="12"/>
  <c r="G215" i="12"/>
  <c r="E215" i="12"/>
  <c r="M214" i="12"/>
  <c r="K214" i="12"/>
  <c r="J214" i="12"/>
  <c r="H214" i="12"/>
  <c r="G214" i="12"/>
  <c r="E214" i="12"/>
  <c r="M213" i="12"/>
  <c r="L213" i="12"/>
  <c r="K213" i="12"/>
  <c r="J213" i="12"/>
  <c r="H213" i="12"/>
  <c r="G213" i="12"/>
  <c r="E213" i="12"/>
  <c r="M212" i="12"/>
  <c r="L212" i="12"/>
  <c r="K212" i="12"/>
  <c r="J212" i="12"/>
  <c r="H212" i="12"/>
  <c r="G212" i="12"/>
  <c r="E212" i="12"/>
  <c r="M211" i="12"/>
  <c r="K211" i="12"/>
  <c r="J211" i="12"/>
  <c r="L211" i="12" s="1"/>
  <c r="H211" i="12"/>
  <c r="G211" i="12"/>
  <c r="E211" i="12"/>
  <c r="M210" i="12"/>
  <c r="K210" i="12"/>
  <c r="J210" i="12"/>
  <c r="L210" i="12" s="1"/>
  <c r="H210" i="12"/>
  <c r="G210" i="12"/>
  <c r="E210" i="12"/>
  <c r="M209" i="12"/>
  <c r="K209" i="12"/>
  <c r="J209" i="12"/>
  <c r="L209" i="12" s="1"/>
  <c r="H209" i="12"/>
  <c r="G209" i="12"/>
  <c r="E209" i="12"/>
  <c r="M208" i="12"/>
  <c r="L208" i="12"/>
  <c r="K208" i="12"/>
  <c r="J208" i="12"/>
  <c r="H208" i="12"/>
  <c r="G208" i="12"/>
  <c r="E208" i="12"/>
  <c r="M207" i="12"/>
  <c r="L207" i="12"/>
  <c r="K207" i="12"/>
  <c r="J207" i="12"/>
  <c r="H207" i="12"/>
  <c r="G207" i="12"/>
  <c r="E207" i="12"/>
  <c r="M206" i="12"/>
  <c r="L206" i="12"/>
  <c r="K206" i="12"/>
  <c r="J206" i="12"/>
  <c r="H206" i="12"/>
  <c r="G206" i="12"/>
  <c r="E206" i="12"/>
  <c r="M205" i="12"/>
  <c r="L205" i="12"/>
  <c r="K205" i="12"/>
  <c r="J205" i="12"/>
  <c r="H205" i="12"/>
  <c r="G205" i="12"/>
  <c r="E205" i="12"/>
  <c r="M204" i="12"/>
  <c r="K204" i="12"/>
  <c r="J204" i="12"/>
  <c r="L204" i="12" s="1"/>
  <c r="H204" i="12"/>
  <c r="G204" i="12"/>
  <c r="E204" i="12"/>
  <c r="M203" i="12"/>
  <c r="K203" i="12"/>
  <c r="J203" i="12"/>
  <c r="H203" i="12"/>
  <c r="G203" i="12"/>
  <c r="E203" i="12"/>
  <c r="M202" i="12"/>
  <c r="K202" i="12"/>
  <c r="J202" i="12"/>
  <c r="L202" i="12" s="1"/>
  <c r="H202" i="12"/>
  <c r="G202" i="12"/>
  <c r="E202" i="12"/>
  <c r="M201" i="12"/>
  <c r="L201" i="12"/>
  <c r="K201" i="12"/>
  <c r="J201" i="12"/>
  <c r="H201" i="12"/>
  <c r="G201" i="12"/>
  <c r="E201" i="12"/>
  <c r="M200" i="12"/>
  <c r="L200" i="12"/>
  <c r="K200" i="12"/>
  <c r="J200" i="12"/>
  <c r="H200" i="12"/>
  <c r="G200" i="12"/>
  <c r="E200" i="12"/>
  <c r="M199" i="12"/>
  <c r="K199" i="12"/>
  <c r="J199" i="12"/>
  <c r="L199" i="12" s="1"/>
  <c r="H199" i="12"/>
  <c r="G199" i="12"/>
  <c r="E199" i="12"/>
  <c r="M198" i="12"/>
  <c r="K198" i="12"/>
  <c r="J198" i="12"/>
  <c r="L198" i="12" s="1"/>
  <c r="H198" i="12"/>
  <c r="G198" i="12"/>
  <c r="E198" i="12"/>
  <c r="M197" i="12"/>
  <c r="K197" i="12"/>
  <c r="J197" i="12"/>
  <c r="L197" i="12" s="1"/>
  <c r="H197" i="12"/>
  <c r="G197" i="12"/>
  <c r="E197" i="12"/>
  <c r="M196" i="12"/>
  <c r="K196" i="12"/>
  <c r="L196" i="12" s="1"/>
  <c r="J196" i="12"/>
  <c r="H196" i="12"/>
  <c r="G196" i="12"/>
  <c r="E196" i="12"/>
  <c r="M195" i="12"/>
  <c r="L195" i="12"/>
  <c r="K195" i="12"/>
  <c r="J195" i="12"/>
  <c r="H195" i="12"/>
  <c r="G195" i="12"/>
  <c r="E195" i="12"/>
  <c r="M194" i="12"/>
  <c r="L194" i="12"/>
  <c r="K194" i="12"/>
  <c r="J194" i="12"/>
  <c r="H194" i="12"/>
  <c r="G194" i="12"/>
  <c r="E194" i="12"/>
  <c r="M193" i="12"/>
  <c r="L193" i="12"/>
  <c r="K193" i="12"/>
  <c r="J193" i="12"/>
  <c r="H193" i="12"/>
  <c r="G193" i="12"/>
  <c r="E193" i="12"/>
  <c r="M192" i="12"/>
  <c r="K192" i="12"/>
  <c r="J192" i="12"/>
  <c r="L192" i="12" s="1"/>
  <c r="H192" i="12"/>
  <c r="G192" i="12"/>
  <c r="E192" i="12"/>
  <c r="M191" i="12"/>
  <c r="K191" i="12"/>
  <c r="J191" i="12"/>
  <c r="L191" i="12" s="1"/>
  <c r="H191" i="12"/>
  <c r="G191" i="12"/>
  <c r="E191" i="12"/>
  <c r="M190" i="12"/>
  <c r="K190" i="12"/>
  <c r="J190" i="12"/>
  <c r="L190" i="12" s="1"/>
  <c r="H190" i="12"/>
  <c r="G190" i="12"/>
  <c r="E190" i="12"/>
  <c r="M189" i="12"/>
  <c r="L189" i="12"/>
  <c r="K189" i="12"/>
  <c r="J189" i="12"/>
  <c r="H189" i="12"/>
  <c r="G189" i="12"/>
  <c r="E189" i="12"/>
  <c r="M188" i="12"/>
  <c r="L188" i="12"/>
  <c r="K188" i="12"/>
  <c r="J188" i="12"/>
  <c r="H188" i="12"/>
  <c r="G188" i="12"/>
  <c r="E188" i="12"/>
  <c r="M187" i="12"/>
  <c r="K187" i="12"/>
  <c r="J187" i="12"/>
  <c r="L187" i="12" s="1"/>
  <c r="H187" i="12"/>
  <c r="G187" i="12"/>
  <c r="E187" i="12"/>
  <c r="M186" i="12"/>
  <c r="K186" i="12"/>
  <c r="J186" i="12"/>
  <c r="L186" i="12" s="1"/>
  <c r="H186" i="12"/>
  <c r="G186" i="12"/>
  <c r="E186" i="12"/>
  <c r="M185" i="12"/>
  <c r="K185" i="12"/>
  <c r="J185" i="12"/>
  <c r="L185" i="12" s="1"/>
  <c r="H185" i="12"/>
  <c r="G185" i="12"/>
  <c r="E185" i="12"/>
  <c r="M184" i="12"/>
  <c r="L184" i="12"/>
  <c r="K184" i="12"/>
  <c r="J184" i="12"/>
  <c r="H184" i="12"/>
  <c r="G184" i="12"/>
  <c r="E184" i="12"/>
  <c r="M183" i="12"/>
  <c r="L183" i="12"/>
  <c r="K183" i="12"/>
  <c r="J183" i="12"/>
  <c r="H183" i="12"/>
  <c r="G183" i="12"/>
  <c r="E183" i="12"/>
  <c r="M182" i="12"/>
  <c r="L182" i="12"/>
  <c r="K182" i="12"/>
  <c r="J182" i="12"/>
  <c r="H182" i="12"/>
  <c r="G182" i="12"/>
  <c r="E182" i="12"/>
  <c r="M181" i="12"/>
  <c r="L181" i="12"/>
  <c r="K181" i="12"/>
  <c r="J181" i="12"/>
  <c r="H181" i="12"/>
  <c r="G181" i="12"/>
  <c r="E181" i="12"/>
  <c r="M180" i="12"/>
  <c r="K180" i="12"/>
  <c r="J180" i="12"/>
  <c r="L180" i="12" s="1"/>
  <c r="H180" i="12"/>
  <c r="G180" i="12"/>
  <c r="E180" i="12"/>
  <c r="M179" i="12"/>
  <c r="K179" i="12"/>
  <c r="J179" i="12"/>
  <c r="L179" i="12" s="1"/>
  <c r="H179" i="12"/>
  <c r="G179" i="12"/>
  <c r="E179" i="12"/>
  <c r="M178" i="12"/>
  <c r="K178" i="12"/>
  <c r="J178" i="12"/>
  <c r="L178" i="12" s="1"/>
  <c r="H178" i="12"/>
  <c r="G178" i="12"/>
  <c r="E178" i="12"/>
  <c r="M177" i="12"/>
  <c r="L177" i="12"/>
  <c r="K177" i="12"/>
  <c r="J177" i="12"/>
  <c r="H177" i="12"/>
  <c r="G177" i="12"/>
  <c r="E177" i="12"/>
  <c r="M176" i="12"/>
  <c r="L176" i="12"/>
  <c r="K176" i="12"/>
  <c r="J176" i="12"/>
  <c r="H176" i="12"/>
  <c r="G176" i="12"/>
  <c r="E176" i="12"/>
  <c r="M175" i="12"/>
  <c r="K175" i="12"/>
  <c r="J175" i="12"/>
  <c r="L175" i="12" s="1"/>
  <c r="H175" i="12"/>
  <c r="G175" i="12"/>
  <c r="E175" i="12"/>
  <c r="M174" i="12"/>
  <c r="K174" i="12"/>
  <c r="J174" i="12"/>
  <c r="L174" i="12" s="1"/>
  <c r="H174" i="12"/>
  <c r="G174" i="12"/>
  <c r="E174" i="12"/>
  <c r="M173" i="12"/>
  <c r="K173" i="12"/>
  <c r="J173" i="12"/>
  <c r="L173" i="12" s="1"/>
  <c r="H173" i="12"/>
  <c r="G173" i="12"/>
  <c r="E173" i="12"/>
  <c r="M172" i="12"/>
  <c r="K172" i="12"/>
  <c r="L172" i="12" s="1"/>
  <c r="J172" i="12"/>
  <c r="H172" i="12"/>
  <c r="G172" i="12"/>
  <c r="E172" i="12"/>
  <c r="M171" i="12"/>
  <c r="L171" i="12"/>
  <c r="K171" i="12"/>
  <c r="J171" i="12"/>
  <c r="H171" i="12"/>
  <c r="G171" i="12"/>
  <c r="E171" i="12"/>
  <c r="M170" i="12"/>
  <c r="L170" i="12"/>
  <c r="K170" i="12"/>
  <c r="J170" i="12"/>
  <c r="H170" i="12"/>
  <c r="G170" i="12"/>
  <c r="E170" i="12"/>
  <c r="M169" i="12"/>
  <c r="L169" i="12"/>
  <c r="K169" i="12"/>
  <c r="J169" i="12"/>
  <c r="H169" i="12"/>
  <c r="G169" i="12"/>
  <c r="E169" i="12"/>
  <c r="M168" i="12"/>
  <c r="K168" i="12"/>
  <c r="J168" i="12"/>
  <c r="L168" i="12" s="1"/>
  <c r="H168" i="12"/>
  <c r="G168" i="12"/>
  <c r="E168" i="12"/>
  <c r="M167" i="12"/>
  <c r="K167" i="12"/>
  <c r="J167" i="12"/>
  <c r="L167" i="12" s="1"/>
  <c r="H167" i="12"/>
  <c r="G167" i="12"/>
  <c r="E167" i="12"/>
  <c r="M166" i="12"/>
  <c r="K166" i="12"/>
  <c r="J166" i="12"/>
  <c r="L166" i="12" s="1"/>
  <c r="H166" i="12"/>
  <c r="G166" i="12"/>
  <c r="E166" i="12"/>
  <c r="M165" i="12"/>
  <c r="L165" i="12"/>
  <c r="K165" i="12"/>
  <c r="J165" i="12"/>
  <c r="H165" i="12"/>
  <c r="G165" i="12"/>
  <c r="E165" i="12"/>
  <c r="M164" i="12"/>
  <c r="L164" i="12"/>
  <c r="K164" i="12"/>
  <c r="J164" i="12"/>
  <c r="H164" i="12"/>
  <c r="G164" i="12"/>
  <c r="E164" i="12"/>
  <c r="M163" i="12"/>
  <c r="K163" i="12"/>
  <c r="J163" i="12"/>
  <c r="L163" i="12" s="1"/>
  <c r="H163" i="12"/>
  <c r="G163" i="12"/>
  <c r="E163" i="12"/>
  <c r="M162" i="12"/>
  <c r="K162" i="12"/>
  <c r="J162" i="12"/>
  <c r="L162" i="12" s="1"/>
  <c r="H162" i="12"/>
  <c r="G162" i="12"/>
  <c r="E162" i="12"/>
  <c r="M161" i="12"/>
  <c r="K161" i="12"/>
  <c r="J161" i="12"/>
  <c r="L161" i="12" s="1"/>
  <c r="H161" i="12"/>
  <c r="G161" i="12"/>
  <c r="E161" i="12"/>
  <c r="M160" i="12"/>
  <c r="L160" i="12"/>
  <c r="K160" i="12"/>
  <c r="J160" i="12"/>
  <c r="H160" i="12"/>
  <c r="G160" i="12"/>
  <c r="E160" i="12"/>
  <c r="M159" i="12"/>
  <c r="L159" i="12"/>
  <c r="K159" i="12"/>
  <c r="J159" i="12"/>
  <c r="H159" i="12"/>
  <c r="G159" i="12"/>
  <c r="E159" i="12"/>
  <c r="M158" i="12"/>
  <c r="L158" i="12"/>
  <c r="K158" i="12"/>
  <c r="J158" i="12"/>
  <c r="H158" i="12"/>
  <c r="G158" i="12"/>
  <c r="E158" i="12"/>
  <c r="M157" i="12"/>
  <c r="L157" i="12"/>
  <c r="K157" i="12"/>
  <c r="J157" i="12"/>
  <c r="H157" i="12"/>
  <c r="G157" i="12"/>
  <c r="E157" i="12"/>
  <c r="M156" i="12"/>
  <c r="K156" i="12"/>
  <c r="J156" i="12"/>
  <c r="L156" i="12" s="1"/>
  <c r="H156" i="12"/>
  <c r="G156" i="12"/>
  <c r="E156" i="12"/>
  <c r="M155" i="12"/>
  <c r="K155" i="12"/>
  <c r="J155" i="12"/>
  <c r="L155" i="12" s="1"/>
  <c r="H155" i="12"/>
  <c r="G155" i="12"/>
  <c r="E155" i="12"/>
  <c r="M154" i="12"/>
  <c r="K154" i="12"/>
  <c r="J154" i="12"/>
  <c r="L154" i="12" s="1"/>
  <c r="H154" i="12"/>
  <c r="G154" i="12"/>
  <c r="E154" i="12"/>
  <c r="M153" i="12"/>
  <c r="L153" i="12"/>
  <c r="K153" i="12"/>
  <c r="J153" i="12"/>
  <c r="H153" i="12"/>
  <c r="G153" i="12"/>
  <c r="E153" i="12"/>
  <c r="M152" i="12"/>
  <c r="L152" i="12"/>
  <c r="K152" i="12"/>
  <c r="J152" i="12"/>
  <c r="H152" i="12"/>
  <c r="G152" i="12"/>
  <c r="E152" i="12"/>
  <c r="M151" i="12"/>
  <c r="K151" i="12"/>
  <c r="J151" i="12"/>
  <c r="L151" i="12" s="1"/>
  <c r="H151" i="12"/>
  <c r="G151" i="12"/>
  <c r="E151" i="12"/>
  <c r="M150" i="12"/>
  <c r="K150" i="12"/>
  <c r="J150" i="12"/>
  <c r="L150" i="12" s="1"/>
  <c r="H150" i="12"/>
  <c r="G150" i="12"/>
  <c r="E150" i="12"/>
  <c r="M149" i="12"/>
  <c r="K149" i="12"/>
  <c r="J149" i="12"/>
  <c r="L149" i="12" s="1"/>
  <c r="H149" i="12"/>
  <c r="G149" i="12"/>
  <c r="E149" i="12"/>
  <c r="M148" i="12"/>
  <c r="K148" i="12"/>
  <c r="L148" i="12" s="1"/>
  <c r="J148" i="12"/>
  <c r="H148" i="12"/>
  <c r="G148" i="12"/>
  <c r="E148" i="12"/>
  <c r="M147" i="12"/>
  <c r="L147" i="12"/>
  <c r="K147" i="12"/>
  <c r="J147" i="12"/>
  <c r="H147" i="12"/>
  <c r="G147" i="12"/>
  <c r="E147" i="12"/>
  <c r="M146" i="12"/>
  <c r="L146" i="12"/>
  <c r="K146" i="12"/>
  <c r="J146" i="12"/>
  <c r="H146" i="12"/>
  <c r="G146" i="12"/>
  <c r="E146" i="12"/>
  <c r="M145" i="12"/>
  <c r="L145" i="12"/>
  <c r="K145" i="12"/>
  <c r="J145" i="12"/>
  <c r="H145" i="12"/>
  <c r="G145" i="12"/>
  <c r="E145" i="12"/>
  <c r="M144" i="12"/>
  <c r="K144" i="12"/>
  <c r="J144" i="12"/>
  <c r="L144" i="12" s="1"/>
  <c r="H144" i="12"/>
  <c r="G144" i="12"/>
  <c r="E144" i="12"/>
  <c r="M143" i="12"/>
  <c r="K143" i="12"/>
  <c r="J143" i="12"/>
  <c r="L143" i="12" s="1"/>
  <c r="H143" i="12"/>
  <c r="G143" i="12"/>
  <c r="E143" i="12"/>
  <c r="M142" i="12"/>
  <c r="K142" i="12"/>
  <c r="J142" i="12"/>
  <c r="L142" i="12" s="1"/>
  <c r="H142" i="12"/>
  <c r="G142" i="12"/>
  <c r="E142" i="12"/>
  <c r="M141" i="12"/>
  <c r="L141" i="12"/>
  <c r="K141" i="12"/>
  <c r="J141" i="12"/>
  <c r="H141" i="12"/>
  <c r="G141" i="12"/>
  <c r="E141" i="12"/>
  <c r="M140" i="12"/>
  <c r="L140" i="12"/>
  <c r="K140" i="12"/>
  <c r="J140" i="12"/>
  <c r="H140" i="12"/>
  <c r="G140" i="12"/>
  <c r="E140" i="12"/>
  <c r="M139" i="12"/>
  <c r="K139" i="12"/>
  <c r="J139" i="12"/>
  <c r="L139" i="12" s="1"/>
  <c r="H139" i="12"/>
  <c r="G139" i="12"/>
  <c r="E139" i="12"/>
  <c r="M138" i="12"/>
  <c r="K138" i="12"/>
  <c r="J138" i="12"/>
  <c r="L138" i="12" s="1"/>
  <c r="H138" i="12"/>
  <c r="G138" i="12"/>
  <c r="E138" i="12"/>
  <c r="M137" i="12"/>
  <c r="K137" i="12"/>
  <c r="J137" i="12"/>
  <c r="L137" i="12" s="1"/>
  <c r="H137" i="12"/>
  <c r="G137" i="12"/>
  <c r="E137" i="12"/>
  <c r="M136" i="12"/>
  <c r="L136" i="12"/>
  <c r="K136" i="12"/>
  <c r="J136" i="12"/>
  <c r="H136" i="12"/>
  <c r="G136" i="12"/>
  <c r="E136" i="12"/>
  <c r="M135" i="12"/>
  <c r="L135" i="12"/>
  <c r="K135" i="12"/>
  <c r="J135" i="12"/>
  <c r="H135" i="12"/>
  <c r="G135" i="12"/>
  <c r="E135" i="12"/>
  <c r="M134" i="12"/>
  <c r="L134" i="12"/>
  <c r="K134" i="12"/>
  <c r="J134" i="12"/>
  <c r="H134" i="12"/>
  <c r="G134" i="12"/>
  <c r="E134" i="12"/>
  <c r="M133" i="12"/>
  <c r="L133" i="12"/>
  <c r="K133" i="12"/>
  <c r="J133" i="12"/>
  <c r="H133" i="12"/>
  <c r="G133" i="12"/>
  <c r="E133" i="12"/>
  <c r="M132" i="12"/>
  <c r="K132" i="12"/>
  <c r="J132" i="12"/>
  <c r="L132" i="12" s="1"/>
  <c r="H132" i="12"/>
  <c r="G132" i="12"/>
  <c r="E132" i="12"/>
  <c r="M131" i="12"/>
  <c r="K131" i="12"/>
  <c r="J131" i="12"/>
  <c r="L131" i="12" s="1"/>
  <c r="H131" i="12"/>
  <c r="G131" i="12"/>
  <c r="E131" i="12"/>
  <c r="M130" i="12"/>
  <c r="K130" i="12"/>
  <c r="J130" i="12"/>
  <c r="L130" i="12" s="1"/>
  <c r="H130" i="12"/>
  <c r="G130" i="12"/>
  <c r="E130" i="12"/>
  <c r="M129" i="12"/>
  <c r="L129" i="12"/>
  <c r="K129" i="12"/>
  <c r="J129" i="12"/>
  <c r="H129" i="12"/>
  <c r="G129" i="12"/>
  <c r="E129" i="12"/>
  <c r="M128" i="12"/>
  <c r="L128" i="12"/>
  <c r="K128" i="12"/>
  <c r="J128" i="12"/>
  <c r="H128" i="12"/>
  <c r="G128" i="12"/>
  <c r="E128" i="12"/>
  <c r="M127" i="12"/>
  <c r="K127" i="12"/>
  <c r="J127" i="12"/>
  <c r="L127" i="12" s="1"/>
  <c r="H127" i="12"/>
  <c r="G127" i="12"/>
  <c r="E127" i="12"/>
  <c r="M126" i="12"/>
  <c r="K126" i="12"/>
  <c r="J126" i="12"/>
  <c r="L126" i="12" s="1"/>
  <c r="H126" i="12"/>
  <c r="G126" i="12"/>
  <c r="E126" i="12"/>
  <c r="M125" i="12"/>
  <c r="K125" i="12"/>
  <c r="J125" i="12"/>
  <c r="L125" i="12" s="1"/>
  <c r="H125" i="12"/>
  <c r="G125" i="12"/>
  <c r="E125" i="12"/>
  <c r="M124" i="12"/>
  <c r="K124" i="12"/>
  <c r="L124" i="12" s="1"/>
  <c r="J124" i="12"/>
  <c r="H124" i="12"/>
  <c r="G124" i="12"/>
  <c r="E124" i="12"/>
  <c r="M123" i="12"/>
  <c r="L123" i="12"/>
  <c r="K123" i="12"/>
  <c r="J123" i="12"/>
  <c r="H123" i="12"/>
  <c r="G123" i="12"/>
  <c r="E123" i="12"/>
  <c r="M122" i="12"/>
  <c r="L122" i="12"/>
  <c r="K122" i="12"/>
  <c r="J122" i="12"/>
  <c r="H122" i="12"/>
  <c r="G122" i="12"/>
  <c r="E122" i="12"/>
  <c r="M121" i="12"/>
  <c r="L121" i="12"/>
  <c r="K121" i="12"/>
  <c r="J121" i="12"/>
  <c r="H121" i="12"/>
  <c r="G121" i="12"/>
  <c r="E121" i="12"/>
  <c r="M120" i="12"/>
  <c r="K120" i="12"/>
  <c r="J120" i="12"/>
  <c r="L120" i="12" s="1"/>
  <c r="H120" i="12"/>
  <c r="G120" i="12"/>
  <c r="E120" i="12"/>
  <c r="M119" i="12"/>
  <c r="K119" i="12"/>
  <c r="J119" i="12"/>
  <c r="L119" i="12" s="1"/>
  <c r="H119" i="12"/>
  <c r="G119" i="12"/>
  <c r="E119" i="12"/>
  <c r="M118" i="12"/>
  <c r="K118" i="12"/>
  <c r="J118" i="12"/>
  <c r="L118" i="12" s="1"/>
  <c r="H118" i="12"/>
  <c r="G118" i="12"/>
  <c r="E118" i="12"/>
  <c r="M117" i="12"/>
  <c r="L117" i="12"/>
  <c r="K117" i="12"/>
  <c r="J117" i="12"/>
  <c r="H117" i="12"/>
  <c r="G117" i="12"/>
  <c r="E117" i="12"/>
  <c r="M116" i="12"/>
  <c r="L116" i="12"/>
  <c r="K116" i="12"/>
  <c r="J116" i="12"/>
  <c r="H116" i="12"/>
  <c r="G116" i="12"/>
  <c r="E116" i="12"/>
  <c r="M115" i="12"/>
  <c r="K115" i="12"/>
  <c r="J115" i="12"/>
  <c r="L115" i="12" s="1"/>
  <c r="H115" i="12"/>
  <c r="G115" i="12"/>
  <c r="E115" i="12"/>
  <c r="M114" i="12"/>
  <c r="K114" i="12"/>
  <c r="J114" i="12"/>
  <c r="L114" i="12" s="1"/>
  <c r="H114" i="12"/>
  <c r="G114" i="12"/>
  <c r="E114" i="12"/>
  <c r="M113" i="12"/>
  <c r="K113" i="12"/>
  <c r="J113" i="12"/>
  <c r="L113" i="12" s="1"/>
  <c r="H113" i="12"/>
  <c r="G113" i="12"/>
  <c r="E113" i="12"/>
  <c r="M112" i="12"/>
  <c r="L112" i="12"/>
  <c r="K112" i="12"/>
  <c r="J112" i="12"/>
  <c r="H112" i="12"/>
  <c r="G112" i="12"/>
  <c r="E112" i="12"/>
  <c r="M111" i="12"/>
  <c r="L111" i="12"/>
  <c r="K111" i="12"/>
  <c r="J111" i="12"/>
  <c r="H111" i="12"/>
  <c r="G111" i="12"/>
  <c r="E111" i="12"/>
  <c r="M110" i="12"/>
  <c r="L110" i="12"/>
  <c r="K110" i="12"/>
  <c r="J110" i="12"/>
  <c r="H110" i="12"/>
  <c r="G110" i="12"/>
  <c r="E110" i="12"/>
  <c r="M109" i="12"/>
  <c r="L109" i="12"/>
  <c r="K109" i="12"/>
  <c r="J109" i="12"/>
  <c r="H109" i="12"/>
  <c r="G109" i="12"/>
  <c r="E109" i="12"/>
  <c r="M108" i="12"/>
  <c r="K108" i="12"/>
  <c r="J108" i="12"/>
  <c r="L108" i="12" s="1"/>
  <c r="H108" i="12"/>
  <c r="G108" i="12"/>
  <c r="E108" i="12"/>
  <c r="M107" i="12"/>
  <c r="K107" i="12"/>
  <c r="J107" i="12"/>
  <c r="L107" i="12" s="1"/>
  <c r="H107" i="12"/>
  <c r="G107" i="12"/>
  <c r="E107" i="12"/>
  <c r="M106" i="12"/>
  <c r="K106" i="12"/>
  <c r="J106" i="12"/>
  <c r="L106" i="12" s="1"/>
  <c r="H106" i="12"/>
  <c r="G106" i="12"/>
  <c r="E106" i="12"/>
  <c r="M105" i="12"/>
  <c r="L105" i="12"/>
  <c r="K105" i="12"/>
  <c r="J105" i="12"/>
  <c r="H105" i="12"/>
  <c r="G105" i="12"/>
  <c r="E105" i="12"/>
  <c r="M104" i="12"/>
  <c r="L104" i="12"/>
  <c r="K104" i="12"/>
  <c r="J104" i="12"/>
  <c r="H104" i="12"/>
  <c r="G104" i="12"/>
  <c r="E104" i="12"/>
  <c r="M103" i="12"/>
  <c r="K103" i="12"/>
  <c r="J103" i="12"/>
  <c r="L103" i="12" s="1"/>
  <c r="H103" i="12"/>
  <c r="G103" i="12"/>
  <c r="E103" i="12"/>
  <c r="M102" i="12"/>
  <c r="K102" i="12"/>
  <c r="J102" i="12"/>
  <c r="L102" i="12" s="1"/>
  <c r="H102" i="12"/>
  <c r="G102" i="12"/>
  <c r="E102" i="12"/>
  <c r="M101" i="12"/>
  <c r="K101" i="12"/>
  <c r="J101" i="12"/>
  <c r="L101" i="12" s="1"/>
  <c r="H101" i="12"/>
  <c r="G101" i="12"/>
  <c r="E101" i="12"/>
  <c r="M100" i="12"/>
  <c r="K100" i="12"/>
  <c r="L100" i="12" s="1"/>
  <c r="J100" i="12"/>
  <c r="H100" i="12"/>
  <c r="G100" i="12"/>
  <c r="E100" i="12"/>
  <c r="M99" i="12"/>
  <c r="L99" i="12"/>
  <c r="K99" i="12"/>
  <c r="J99" i="12"/>
  <c r="H99" i="12"/>
  <c r="G99" i="12"/>
  <c r="E99" i="12"/>
  <c r="M98" i="12"/>
  <c r="L98" i="12"/>
  <c r="K98" i="12"/>
  <c r="J98" i="12"/>
  <c r="H98" i="12"/>
  <c r="G98" i="12"/>
  <c r="E98" i="12"/>
  <c r="M97" i="12"/>
  <c r="L97" i="12"/>
  <c r="K97" i="12"/>
  <c r="J97" i="12"/>
  <c r="H97" i="12"/>
  <c r="G97" i="12"/>
  <c r="E97" i="12"/>
  <c r="M96" i="12"/>
  <c r="K96" i="12"/>
  <c r="J96" i="12"/>
  <c r="L96" i="12" s="1"/>
  <c r="H96" i="12"/>
  <c r="G96" i="12"/>
  <c r="E96" i="12"/>
  <c r="M95" i="12"/>
  <c r="K95" i="12"/>
  <c r="J95" i="12"/>
  <c r="L95" i="12" s="1"/>
  <c r="H95" i="12"/>
  <c r="G95" i="12"/>
  <c r="E95" i="12"/>
  <c r="M94" i="12"/>
  <c r="K94" i="12"/>
  <c r="J94" i="12"/>
  <c r="L94" i="12" s="1"/>
  <c r="H94" i="12"/>
  <c r="G94" i="12"/>
  <c r="E94" i="12"/>
  <c r="M93" i="12"/>
  <c r="L93" i="12"/>
  <c r="K93" i="12"/>
  <c r="J93" i="12"/>
  <c r="H93" i="12"/>
  <c r="G93" i="12"/>
  <c r="E93" i="12"/>
  <c r="M92" i="12"/>
  <c r="L92" i="12"/>
  <c r="K92" i="12"/>
  <c r="J92" i="12"/>
  <c r="H92" i="12"/>
  <c r="G92" i="12"/>
  <c r="E92" i="12"/>
  <c r="M91" i="12"/>
  <c r="K91" i="12"/>
  <c r="J91" i="12"/>
  <c r="L91" i="12" s="1"/>
  <c r="H91" i="12"/>
  <c r="G91" i="12"/>
  <c r="E91" i="12"/>
  <c r="M90" i="12"/>
  <c r="K90" i="12"/>
  <c r="J90" i="12"/>
  <c r="L90" i="12" s="1"/>
  <c r="H90" i="12"/>
  <c r="G90" i="12"/>
  <c r="E90" i="12"/>
  <c r="M89" i="12"/>
  <c r="K89" i="12"/>
  <c r="J89" i="12"/>
  <c r="L89" i="12" s="1"/>
  <c r="H89" i="12"/>
  <c r="G89" i="12"/>
  <c r="E89" i="12"/>
  <c r="M88" i="12"/>
  <c r="L88" i="12"/>
  <c r="K88" i="12"/>
  <c r="J88" i="12"/>
  <c r="H88" i="12"/>
  <c r="G88" i="12"/>
  <c r="E88" i="12"/>
  <c r="M87" i="12"/>
  <c r="L87" i="12"/>
  <c r="K87" i="12"/>
  <c r="J87" i="12"/>
  <c r="H87" i="12"/>
  <c r="G87" i="12"/>
  <c r="E87" i="12"/>
  <c r="M86" i="12"/>
  <c r="L86" i="12"/>
  <c r="K86" i="12"/>
  <c r="J86" i="12"/>
  <c r="H86" i="12"/>
  <c r="G86" i="12"/>
  <c r="E86" i="12"/>
  <c r="M85" i="12"/>
  <c r="L85" i="12"/>
  <c r="K85" i="12"/>
  <c r="J85" i="12"/>
  <c r="H85" i="12"/>
  <c r="G85" i="12"/>
  <c r="E85" i="12"/>
  <c r="M84" i="12"/>
  <c r="K84" i="12"/>
  <c r="J84" i="12"/>
  <c r="L84" i="12" s="1"/>
  <c r="H84" i="12"/>
  <c r="G84" i="12"/>
  <c r="E84" i="12"/>
  <c r="M83" i="12"/>
  <c r="K83" i="12"/>
  <c r="J83" i="12"/>
  <c r="L83" i="12" s="1"/>
  <c r="H83" i="12"/>
  <c r="G83" i="12"/>
  <c r="E83" i="12"/>
  <c r="M82" i="12"/>
  <c r="K82" i="12"/>
  <c r="J82" i="12"/>
  <c r="L82" i="12" s="1"/>
  <c r="H82" i="12"/>
  <c r="G82" i="12"/>
  <c r="E82" i="12"/>
  <c r="M81" i="12"/>
  <c r="L81" i="12"/>
  <c r="K81" i="12"/>
  <c r="J81" i="12"/>
  <c r="H81" i="12"/>
  <c r="G81" i="12"/>
  <c r="E81" i="12"/>
  <c r="M80" i="12"/>
  <c r="L80" i="12"/>
  <c r="K80" i="12"/>
  <c r="J80" i="12"/>
  <c r="H80" i="12"/>
  <c r="G80" i="12"/>
  <c r="E80" i="12"/>
  <c r="M79" i="12"/>
  <c r="K79" i="12"/>
  <c r="J79" i="12"/>
  <c r="L79" i="12" s="1"/>
  <c r="H79" i="12"/>
  <c r="G79" i="12"/>
  <c r="E79" i="12"/>
  <c r="M78" i="12"/>
  <c r="K78" i="12"/>
  <c r="J78" i="12"/>
  <c r="L78" i="12" s="1"/>
  <c r="H78" i="12"/>
  <c r="G78" i="12"/>
  <c r="E78" i="12"/>
  <c r="M77" i="12"/>
  <c r="K77" i="12"/>
  <c r="J77" i="12"/>
  <c r="L77" i="12" s="1"/>
  <c r="H77" i="12"/>
  <c r="G77" i="12"/>
  <c r="E77" i="12"/>
  <c r="M76" i="12"/>
  <c r="K76" i="12"/>
  <c r="L76" i="12" s="1"/>
  <c r="J76" i="12"/>
  <c r="H76" i="12"/>
  <c r="G76" i="12"/>
  <c r="E76" i="12"/>
  <c r="M75" i="12"/>
  <c r="L75" i="12"/>
  <c r="K75" i="12"/>
  <c r="J75" i="12"/>
  <c r="H75" i="12"/>
  <c r="G75" i="12"/>
  <c r="E75" i="12"/>
  <c r="M74" i="12"/>
  <c r="L74" i="12"/>
  <c r="K74" i="12"/>
  <c r="J74" i="12"/>
  <c r="H74" i="12"/>
  <c r="G74" i="12"/>
  <c r="E74" i="12"/>
  <c r="M73" i="12"/>
  <c r="L73" i="12"/>
  <c r="K73" i="12"/>
  <c r="J73" i="12"/>
  <c r="H73" i="12"/>
  <c r="G73" i="12"/>
  <c r="E73" i="12"/>
  <c r="M72" i="12"/>
  <c r="K72" i="12"/>
  <c r="J72" i="12"/>
  <c r="L72" i="12" s="1"/>
  <c r="H72" i="12"/>
  <c r="G72" i="12"/>
  <c r="E72" i="12"/>
  <c r="M71" i="12"/>
  <c r="K71" i="12"/>
  <c r="J71" i="12"/>
  <c r="L71" i="12" s="1"/>
  <c r="H71" i="12"/>
  <c r="G71" i="12"/>
  <c r="E71" i="12"/>
  <c r="M70" i="12"/>
  <c r="L70" i="12"/>
  <c r="K70" i="12"/>
  <c r="J70" i="12"/>
  <c r="H70" i="12"/>
  <c r="G70" i="12"/>
  <c r="E70" i="12"/>
  <c r="M69" i="12"/>
  <c r="L69" i="12"/>
  <c r="K69" i="12"/>
  <c r="J69" i="12"/>
  <c r="H69" i="12"/>
  <c r="G69" i="12"/>
  <c r="E69" i="12"/>
  <c r="M68" i="12"/>
  <c r="L68" i="12"/>
  <c r="K68" i="12"/>
  <c r="J68" i="12"/>
  <c r="H68" i="12"/>
  <c r="G68" i="12"/>
  <c r="E68" i="12"/>
  <c r="M67" i="12"/>
  <c r="K67" i="12"/>
  <c r="J67" i="12"/>
  <c r="L67" i="12" s="1"/>
  <c r="H67" i="12"/>
  <c r="G67" i="12"/>
  <c r="E67" i="12"/>
  <c r="M66" i="12"/>
  <c r="K66" i="12"/>
  <c r="J66" i="12"/>
  <c r="L66" i="12" s="1"/>
  <c r="H66" i="12"/>
  <c r="G66" i="12"/>
  <c r="E66" i="12"/>
  <c r="M65" i="12"/>
  <c r="K65" i="12"/>
  <c r="J65" i="12"/>
  <c r="H65" i="12"/>
  <c r="G65" i="12"/>
  <c r="E65" i="12"/>
  <c r="M64" i="12"/>
  <c r="L64" i="12"/>
  <c r="K64" i="12"/>
  <c r="J64" i="12"/>
  <c r="H64" i="12"/>
  <c r="G64" i="12"/>
  <c r="E64" i="12"/>
  <c r="M63" i="12"/>
  <c r="K63" i="12"/>
  <c r="J63" i="12"/>
  <c r="L63" i="12" s="1"/>
  <c r="H63" i="12"/>
  <c r="G63" i="12"/>
  <c r="E63" i="12"/>
  <c r="M62" i="12"/>
  <c r="L62" i="12"/>
  <c r="K62" i="12"/>
  <c r="J62" i="12"/>
  <c r="H62" i="12"/>
  <c r="G62" i="12"/>
  <c r="E62" i="12"/>
  <c r="M61" i="12"/>
  <c r="L61" i="12"/>
  <c r="K61" i="12"/>
  <c r="J61" i="12"/>
  <c r="H61" i="12"/>
  <c r="G61" i="12"/>
  <c r="E61" i="12"/>
  <c r="M60" i="12"/>
  <c r="K60" i="12"/>
  <c r="J60" i="12"/>
  <c r="L60" i="12" s="1"/>
  <c r="H60" i="12"/>
  <c r="G60" i="12"/>
  <c r="E60" i="12"/>
  <c r="M59" i="12"/>
  <c r="K59" i="12"/>
  <c r="J59" i="12"/>
  <c r="H59" i="12"/>
  <c r="G59" i="12"/>
  <c r="E59" i="12"/>
  <c r="M58" i="12"/>
  <c r="L58" i="12"/>
  <c r="K58" i="12"/>
  <c r="J58" i="12"/>
  <c r="H58" i="12"/>
  <c r="G58" i="12"/>
  <c r="E58" i="12"/>
  <c r="M57" i="12"/>
  <c r="L57" i="12"/>
  <c r="K57" i="12"/>
  <c r="J57" i="12"/>
  <c r="H57" i="12"/>
  <c r="G57" i="12"/>
  <c r="E57" i="12"/>
  <c r="M56" i="12"/>
  <c r="L56" i="12"/>
  <c r="K56" i="12"/>
  <c r="J56" i="12"/>
  <c r="H56" i="12"/>
  <c r="G56" i="12"/>
  <c r="E56" i="12"/>
  <c r="M55" i="12"/>
  <c r="K55" i="12"/>
  <c r="J55" i="12"/>
  <c r="L55" i="12" s="1"/>
  <c r="H55" i="12"/>
  <c r="G55" i="12"/>
  <c r="E55" i="12"/>
  <c r="M54" i="12"/>
  <c r="K54" i="12"/>
  <c r="J54" i="12"/>
  <c r="L54" i="12" s="1"/>
  <c r="H54" i="12"/>
  <c r="G54" i="12"/>
  <c r="E54" i="12"/>
  <c r="M53" i="12"/>
  <c r="K53" i="12"/>
  <c r="J53" i="12"/>
  <c r="L53" i="12" s="1"/>
  <c r="H53" i="12"/>
  <c r="G53" i="12"/>
  <c r="E53" i="12"/>
  <c r="M52" i="12"/>
  <c r="K52" i="12"/>
  <c r="L52" i="12" s="1"/>
  <c r="J52" i="12"/>
  <c r="H52" i="12"/>
  <c r="G52" i="12"/>
  <c r="E52" i="12"/>
  <c r="M51" i="12"/>
  <c r="K51" i="12"/>
  <c r="J51" i="12"/>
  <c r="L51" i="12" s="1"/>
  <c r="H51" i="12"/>
  <c r="G51" i="12"/>
  <c r="E51" i="12"/>
  <c r="M50" i="12"/>
  <c r="L50" i="12"/>
  <c r="K50" i="12"/>
  <c r="J50" i="12"/>
  <c r="H50" i="12"/>
  <c r="G50" i="12"/>
  <c r="E50" i="12"/>
  <c r="M49" i="12"/>
  <c r="L49" i="12"/>
  <c r="K49" i="12"/>
  <c r="J49" i="12"/>
  <c r="H49" i="12"/>
  <c r="G49" i="12"/>
  <c r="E49" i="12"/>
  <c r="M48" i="12"/>
  <c r="K48" i="12"/>
  <c r="J48" i="12"/>
  <c r="L48" i="12" s="1"/>
  <c r="H48" i="12"/>
  <c r="G48" i="12"/>
  <c r="E48" i="12"/>
  <c r="M47" i="12"/>
  <c r="K47" i="12"/>
  <c r="J47" i="12"/>
  <c r="L47" i="12" s="1"/>
  <c r="H47" i="12"/>
  <c r="G47" i="12"/>
  <c r="E47" i="12"/>
  <c r="M46" i="12"/>
  <c r="L46" i="12"/>
  <c r="K46" i="12"/>
  <c r="J46" i="12"/>
  <c r="H46" i="12"/>
  <c r="G46" i="12"/>
  <c r="E46" i="12"/>
  <c r="M45" i="12"/>
  <c r="L45" i="12"/>
  <c r="K45" i="12"/>
  <c r="J45" i="12"/>
  <c r="H45" i="12"/>
  <c r="G45" i="12"/>
  <c r="E45" i="12"/>
  <c r="M44" i="12"/>
  <c r="K44" i="12"/>
  <c r="L44" i="12" s="1"/>
  <c r="J44" i="12"/>
  <c r="H44" i="12"/>
  <c r="G44" i="12"/>
  <c r="E44" i="12"/>
  <c r="M43" i="12"/>
  <c r="K43" i="12"/>
  <c r="J43" i="12"/>
  <c r="L43" i="12" s="1"/>
  <c r="H43" i="12"/>
  <c r="G43" i="12"/>
  <c r="E43" i="12"/>
  <c r="M42" i="12"/>
  <c r="K42" i="12"/>
  <c r="J42" i="12"/>
  <c r="L42" i="12" s="1"/>
  <c r="H42" i="12"/>
  <c r="G42" i="12"/>
  <c r="E42" i="12"/>
  <c r="M41" i="12"/>
  <c r="K41" i="12"/>
  <c r="J41" i="12"/>
  <c r="L41" i="12" s="1"/>
  <c r="H41" i="12"/>
  <c r="G41" i="12"/>
  <c r="E41" i="12"/>
  <c r="M40" i="12"/>
  <c r="K40" i="12"/>
  <c r="L40" i="12" s="1"/>
  <c r="J40" i="12"/>
  <c r="H40" i="12"/>
  <c r="G40" i="12"/>
  <c r="E40" i="12"/>
  <c r="M39" i="12"/>
  <c r="L39" i="12"/>
  <c r="K39" i="12"/>
  <c r="J39" i="12"/>
  <c r="H39" i="12"/>
  <c r="G39" i="12"/>
  <c r="E39" i="12"/>
  <c r="M38" i="12"/>
  <c r="L38" i="12"/>
  <c r="K38" i="12"/>
  <c r="J38" i="12"/>
  <c r="H38" i="12"/>
  <c r="G38" i="12"/>
  <c r="E38" i="12"/>
  <c r="M37" i="12"/>
  <c r="L37" i="12"/>
  <c r="K37" i="12"/>
  <c r="J37" i="12"/>
  <c r="H37" i="12"/>
  <c r="G37" i="12"/>
  <c r="E37" i="12"/>
  <c r="K36" i="12"/>
  <c r="J36" i="12"/>
  <c r="H36" i="12"/>
  <c r="G36" i="12"/>
  <c r="E36" i="12"/>
  <c r="K35" i="12"/>
  <c r="J35" i="12"/>
  <c r="H35" i="12"/>
  <c r="G35" i="12"/>
  <c r="E35" i="12"/>
  <c r="K34" i="12"/>
  <c r="J34" i="12"/>
  <c r="H34" i="12"/>
  <c r="G34" i="12"/>
  <c r="E34" i="12"/>
  <c r="M33" i="12"/>
  <c r="L33" i="12"/>
  <c r="K33" i="12"/>
  <c r="H33" i="12"/>
  <c r="J33" i="12" s="1"/>
  <c r="G33" i="12"/>
  <c r="E33" i="12"/>
  <c r="L32" i="12"/>
  <c r="K32" i="12"/>
  <c r="H32" i="12"/>
  <c r="J32" i="12" s="1"/>
  <c r="M32" i="12" s="1"/>
  <c r="G32" i="12"/>
  <c r="E32" i="12"/>
  <c r="K31" i="12"/>
  <c r="H31" i="12"/>
  <c r="J31" i="12" s="1"/>
  <c r="G31" i="12"/>
  <c r="E31" i="12"/>
  <c r="K30" i="12"/>
  <c r="H30" i="12"/>
  <c r="J30" i="12" s="1"/>
  <c r="G30" i="12"/>
  <c r="E30" i="12"/>
  <c r="K29" i="12"/>
  <c r="H29" i="12"/>
  <c r="J29" i="12" s="1"/>
  <c r="G29" i="12"/>
  <c r="E29" i="12"/>
  <c r="M28" i="12"/>
  <c r="K28" i="12"/>
  <c r="L28" i="12" s="1"/>
  <c r="J28" i="12"/>
  <c r="H28" i="12"/>
  <c r="G28" i="12"/>
  <c r="E28" i="12"/>
  <c r="K27" i="12"/>
  <c r="J27" i="12"/>
  <c r="H27" i="12"/>
  <c r="G27" i="12"/>
  <c r="E27" i="12"/>
  <c r="K26" i="12"/>
  <c r="H26" i="12"/>
  <c r="J26" i="12" s="1"/>
  <c r="G26" i="12"/>
  <c r="E26" i="12"/>
  <c r="K25" i="12"/>
  <c r="H25" i="12"/>
  <c r="J25" i="12" s="1"/>
  <c r="G25" i="12"/>
  <c r="E25" i="12"/>
  <c r="K24" i="12"/>
  <c r="H24" i="12"/>
  <c r="J24" i="12" s="1"/>
  <c r="G24" i="12"/>
  <c r="E24" i="12"/>
  <c r="K23" i="12"/>
  <c r="J23" i="12"/>
  <c r="H23" i="12"/>
  <c r="G23" i="12"/>
  <c r="E23" i="12"/>
  <c r="K22" i="12"/>
  <c r="H22" i="12"/>
  <c r="J22" i="12" s="1"/>
  <c r="G22" i="12"/>
  <c r="E22" i="12"/>
  <c r="K21" i="12"/>
  <c r="H21" i="12"/>
  <c r="J21" i="12" s="1"/>
  <c r="G21" i="12"/>
  <c r="E21" i="12"/>
  <c r="K20" i="12"/>
  <c r="H20" i="12"/>
  <c r="J20" i="12" s="1"/>
  <c r="G20" i="12"/>
  <c r="E20" i="12"/>
  <c r="K19" i="12"/>
  <c r="H19" i="12"/>
  <c r="J19" i="12" s="1"/>
  <c r="G19" i="12"/>
  <c r="E19" i="12"/>
  <c r="M18" i="12"/>
  <c r="K18" i="12"/>
  <c r="H18" i="12"/>
  <c r="J18" i="12" s="1"/>
  <c r="L18" i="12" s="1"/>
  <c r="G18" i="12"/>
  <c r="E18" i="12"/>
  <c r="K17" i="12"/>
  <c r="J17" i="12"/>
  <c r="H17" i="12"/>
  <c r="G17" i="12"/>
  <c r="E17" i="12"/>
  <c r="M16" i="12"/>
  <c r="L16" i="12"/>
  <c r="K16" i="12"/>
  <c r="J16" i="12"/>
  <c r="H16" i="12"/>
  <c r="G16" i="12"/>
  <c r="E16" i="12"/>
  <c r="M15" i="12"/>
  <c r="L15" i="12"/>
  <c r="K15" i="12"/>
  <c r="J15" i="12"/>
  <c r="H15" i="12"/>
  <c r="G15" i="12"/>
  <c r="E15" i="12"/>
  <c r="M14" i="12"/>
  <c r="K14" i="12"/>
  <c r="H14" i="12"/>
  <c r="J14" i="12" s="1"/>
  <c r="L14" i="12" s="1"/>
  <c r="G14" i="12"/>
  <c r="E14" i="12"/>
  <c r="M13" i="12"/>
  <c r="K13" i="12"/>
  <c r="H13" i="12"/>
  <c r="J13" i="12" s="1"/>
  <c r="L13" i="12" s="1"/>
  <c r="G13" i="12"/>
  <c r="E13" i="12"/>
  <c r="K12" i="12"/>
  <c r="H12" i="12"/>
  <c r="J12" i="12" s="1"/>
  <c r="G12" i="12"/>
  <c r="E12" i="12"/>
  <c r="K11" i="12"/>
  <c r="L11" i="12" s="1"/>
  <c r="J11" i="12"/>
  <c r="M11" i="12" s="1"/>
  <c r="H11" i="12"/>
  <c r="G11" i="12"/>
  <c r="E11" i="12"/>
  <c r="K10" i="12"/>
  <c r="H10" i="12"/>
  <c r="J10" i="12" s="1"/>
  <c r="M10" i="12" s="1"/>
  <c r="G10" i="12"/>
  <c r="E10" i="12"/>
  <c r="M9" i="12"/>
  <c r="L9" i="12"/>
  <c r="K9" i="12"/>
  <c r="H9" i="12"/>
  <c r="J9" i="12" s="1"/>
  <c r="G9" i="12"/>
  <c r="E9" i="12"/>
  <c r="M8" i="12"/>
  <c r="L8" i="12"/>
  <c r="K8" i="12"/>
  <c r="H8" i="12"/>
  <c r="J8" i="12" s="1"/>
  <c r="G8" i="12"/>
  <c r="E8" i="12"/>
  <c r="K7" i="12"/>
  <c r="H7" i="12"/>
  <c r="J7" i="12" s="1"/>
  <c r="G7" i="12"/>
  <c r="E7" i="12"/>
  <c r="K6" i="12"/>
  <c r="J6" i="12"/>
  <c r="L6" i="12" s="1"/>
  <c r="H6" i="12"/>
  <c r="G6" i="12"/>
  <c r="E6" i="12"/>
  <c r="K5" i="12"/>
  <c r="H5" i="12"/>
  <c r="J5" i="12" s="1"/>
  <c r="G5" i="12"/>
  <c r="E5" i="12"/>
  <c r="M304" i="11"/>
  <c r="K304" i="11"/>
  <c r="L304" i="11" s="1"/>
  <c r="J304" i="11"/>
  <c r="H304" i="11"/>
  <c r="G304" i="11"/>
  <c r="E304" i="11"/>
  <c r="M303" i="11"/>
  <c r="K303" i="11"/>
  <c r="J303" i="11"/>
  <c r="L303" i="11" s="1"/>
  <c r="H303" i="11"/>
  <c r="G303" i="11"/>
  <c r="E303" i="11"/>
  <c r="M302" i="11"/>
  <c r="L302" i="11"/>
  <c r="K302" i="11"/>
  <c r="J302" i="11"/>
  <c r="H302" i="11"/>
  <c r="G302" i="11"/>
  <c r="E302" i="11"/>
  <c r="M301" i="11"/>
  <c r="L301" i="11"/>
  <c r="K301" i="11"/>
  <c r="J301" i="11"/>
  <c r="H301" i="11"/>
  <c r="G301" i="11"/>
  <c r="E301" i="11"/>
  <c r="M300" i="11"/>
  <c r="K300" i="11"/>
  <c r="J300" i="11"/>
  <c r="L300" i="11" s="1"/>
  <c r="H300" i="11"/>
  <c r="G300" i="11"/>
  <c r="E300" i="11"/>
  <c r="M299" i="11"/>
  <c r="K299" i="11"/>
  <c r="J299" i="11"/>
  <c r="L299" i="11" s="1"/>
  <c r="H299" i="11"/>
  <c r="G299" i="11"/>
  <c r="E299" i="11"/>
  <c r="M298" i="11"/>
  <c r="K298" i="11"/>
  <c r="J298" i="11"/>
  <c r="L298" i="11" s="1"/>
  <c r="H298" i="11"/>
  <c r="G298" i="11"/>
  <c r="E298" i="11"/>
  <c r="M297" i="11"/>
  <c r="L297" i="11"/>
  <c r="K297" i="11"/>
  <c r="J297" i="11"/>
  <c r="H297" i="11"/>
  <c r="G297" i="11"/>
  <c r="E297" i="11"/>
  <c r="M296" i="11"/>
  <c r="L296" i="11"/>
  <c r="K296" i="11"/>
  <c r="J296" i="11"/>
  <c r="H296" i="11"/>
  <c r="G296" i="11"/>
  <c r="E296" i="11"/>
  <c r="M295" i="11"/>
  <c r="K295" i="11"/>
  <c r="J295" i="11"/>
  <c r="L295" i="11" s="1"/>
  <c r="H295" i="11"/>
  <c r="G295" i="11"/>
  <c r="E295" i="11"/>
  <c r="M294" i="11"/>
  <c r="K294" i="11"/>
  <c r="J294" i="11"/>
  <c r="H294" i="11"/>
  <c r="G294" i="11"/>
  <c r="E294" i="11"/>
  <c r="M293" i="11"/>
  <c r="K293" i="11"/>
  <c r="J293" i="11"/>
  <c r="H293" i="11"/>
  <c r="G293" i="11"/>
  <c r="E293" i="11"/>
  <c r="M292" i="11"/>
  <c r="L292" i="11"/>
  <c r="K292" i="11"/>
  <c r="J292" i="11"/>
  <c r="H292" i="11"/>
  <c r="G292" i="11"/>
  <c r="E292" i="11"/>
  <c r="M291" i="11"/>
  <c r="L291" i="11"/>
  <c r="K291" i="11"/>
  <c r="J291" i="11"/>
  <c r="H291" i="11"/>
  <c r="G291" i="11"/>
  <c r="E291" i="11"/>
  <c r="M290" i="11"/>
  <c r="L290" i="11"/>
  <c r="K290" i="11"/>
  <c r="J290" i="11"/>
  <c r="H290" i="11"/>
  <c r="G290" i="11"/>
  <c r="E290" i="11"/>
  <c r="M289" i="11"/>
  <c r="K289" i="11"/>
  <c r="J289" i="11"/>
  <c r="L289" i="11" s="1"/>
  <c r="H289" i="11"/>
  <c r="G289" i="11"/>
  <c r="E289" i="11"/>
  <c r="M288" i="11"/>
  <c r="K288" i="11"/>
  <c r="J288" i="11"/>
  <c r="L288" i="11" s="1"/>
  <c r="H288" i="11"/>
  <c r="G288" i="11"/>
  <c r="E288" i="11"/>
  <c r="M287" i="11"/>
  <c r="K287" i="11"/>
  <c r="J287" i="11"/>
  <c r="L287" i="11" s="1"/>
  <c r="H287" i="11"/>
  <c r="G287" i="11"/>
  <c r="E287" i="11"/>
  <c r="M286" i="11"/>
  <c r="K286" i="11"/>
  <c r="L286" i="11" s="1"/>
  <c r="J286" i="11"/>
  <c r="H286" i="11"/>
  <c r="G286" i="11"/>
  <c r="E286" i="11"/>
  <c r="M285" i="11"/>
  <c r="L285" i="11"/>
  <c r="K285" i="11"/>
  <c r="J285" i="11"/>
  <c r="H285" i="11"/>
  <c r="G285" i="11"/>
  <c r="E285" i="11"/>
  <c r="M284" i="11"/>
  <c r="L284" i="11"/>
  <c r="K284" i="11"/>
  <c r="J284" i="11"/>
  <c r="H284" i="11"/>
  <c r="G284" i="11"/>
  <c r="E284" i="11"/>
  <c r="M283" i="11"/>
  <c r="K283" i="11"/>
  <c r="J283" i="11"/>
  <c r="L283" i="11" s="1"/>
  <c r="H283" i="11"/>
  <c r="G283" i="11"/>
  <c r="E283" i="11"/>
  <c r="M282" i="11"/>
  <c r="K282" i="11"/>
  <c r="J282" i="11"/>
  <c r="L282" i="11" s="1"/>
  <c r="H282" i="11"/>
  <c r="G282" i="11"/>
  <c r="E282" i="11"/>
  <c r="M281" i="11"/>
  <c r="K281" i="11"/>
  <c r="J281" i="11"/>
  <c r="L281" i="11" s="1"/>
  <c r="H281" i="11"/>
  <c r="G281" i="11"/>
  <c r="E281" i="11"/>
  <c r="M280" i="11"/>
  <c r="K280" i="11"/>
  <c r="L280" i="11" s="1"/>
  <c r="J280" i="11"/>
  <c r="H280" i="11"/>
  <c r="G280" i="11"/>
  <c r="E280" i="11"/>
  <c r="M279" i="11"/>
  <c r="K279" i="11"/>
  <c r="J279" i="11"/>
  <c r="H279" i="11"/>
  <c r="G279" i="11"/>
  <c r="E279" i="11"/>
  <c r="M278" i="11"/>
  <c r="L278" i="11"/>
  <c r="K278" i="11"/>
  <c r="J278" i="11"/>
  <c r="H278" i="11"/>
  <c r="G278" i="11"/>
  <c r="E278" i="11"/>
  <c r="M277" i="11"/>
  <c r="L277" i="11"/>
  <c r="K277" i="11"/>
  <c r="J277" i="11"/>
  <c r="H277" i="11"/>
  <c r="G277" i="11"/>
  <c r="E277" i="11"/>
  <c r="M276" i="11"/>
  <c r="K276" i="11"/>
  <c r="J276" i="11"/>
  <c r="L276" i="11" s="1"/>
  <c r="H276" i="11"/>
  <c r="G276" i="11"/>
  <c r="E276" i="11"/>
  <c r="M275" i="11"/>
  <c r="L275" i="11"/>
  <c r="K275" i="11"/>
  <c r="J275" i="11"/>
  <c r="H275" i="11"/>
  <c r="G275" i="11"/>
  <c r="E275" i="11"/>
  <c r="M274" i="11"/>
  <c r="L274" i="11"/>
  <c r="K274" i="11"/>
  <c r="J274" i="11"/>
  <c r="H274" i="11"/>
  <c r="G274" i="11"/>
  <c r="E274" i="11"/>
  <c r="M273" i="11"/>
  <c r="L273" i="11"/>
  <c r="K273" i="11"/>
  <c r="J273" i="11"/>
  <c r="H273" i="11"/>
  <c r="G273" i="11"/>
  <c r="E273" i="11"/>
  <c r="M272" i="11"/>
  <c r="K272" i="11"/>
  <c r="L272" i="11" s="1"/>
  <c r="J272" i="11"/>
  <c r="H272" i="11"/>
  <c r="G272" i="11"/>
  <c r="E272" i="11"/>
  <c r="M271" i="11"/>
  <c r="K271" i="11"/>
  <c r="J271" i="11"/>
  <c r="L271" i="11" s="1"/>
  <c r="H271" i="11"/>
  <c r="G271" i="11"/>
  <c r="E271" i="11"/>
  <c r="M270" i="11"/>
  <c r="K270" i="11"/>
  <c r="J270" i="11"/>
  <c r="H270" i="11"/>
  <c r="G270" i="11"/>
  <c r="E270" i="11"/>
  <c r="M269" i="11"/>
  <c r="K269" i="11"/>
  <c r="J269" i="11"/>
  <c r="L269" i="11" s="1"/>
  <c r="H269" i="11"/>
  <c r="G269" i="11"/>
  <c r="E269" i="11"/>
  <c r="M268" i="11"/>
  <c r="L268" i="11"/>
  <c r="K268" i="11"/>
  <c r="J268" i="11"/>
  <c r="H268" i="11"/>
  <c r="G268" i="11"/>
  <c r="E268" i="11"/>
  <c r="M267" i="11"/>
  <c r="K267" i="11"/>
  <c r="J267" i="11"/>
  <c r="L267" i="11" s="1"/>
  <c r="H267" i="11"/>
  <c r="G267" i="11"/>
  <c r="E267" i="11"/>
  <c r="M266" i="11"/>
  <c r="L266" i="11"/>
  <c r="K266" i="11"/>
  <c r="J266" i="11"/>
  <c r="H266" i="11"/>
  <c r="G266" i="11"/>
  <c r="E266" i="11"/>
  <c r="M265" i="11"/>
  <c r="L265" i="11"/>
  <c r="K265" i="11"/>
  <c r="J265" i="11"/>
  <c r="H265" i="11"/>
  <c r="G265" i="11"/>
  <c r="E265" i="11"/>
  <c r="M264" i="11"/>
  <c r="K264" i="11"/>
  <c r="J264" i="11"/>
  <c r="L264" i="11" s="1"/>
  <c r="H264" i="11"/>
  <c r="G264" i="11"/>
  <c r="E264" i="11"/>
  <c r="M263" i="11"/>
  <c r="K263" i="11"/>
  <c r="J263" i="11"/>
  <c r="L263" i="11" s="1"/>
  <c r="H263" i="11"/>
  <c r="G263" i="11"/>
  <c r="E263" i="11"/>
  <c r="M262" i="11"/>
  <c r="K262" i="11"/>
  <c r="J262" i="11"/>
  <c r="L262" i="11" s="1"/>
  <c r="H262" i="11"/>
  <c r="G262" i="11"/>
  <c r="E262" i="11"/>
  <c r="M261" i="11"/>
  <c r="L261" i="11"/>
  <c r="K261" i="11"/>
  <c r="J261" i="11"/>
  <c r="H261" i="11"/>
  <c r="G261" i="11"/>
  <c r="E261" i="11"/>
  <c r="M260" i="11"/>
  <c r="K260" i="11"/>
  <c r="L260" i="11" s="1"/>
  <c r="J260" i="11"/>
  <c r="H260" i="11"/>
  <c r="G260" i="11"/>
  <c r="E260" i="11"/>
  <c r="M259" i="11"/>
  <c r="K259" i="11"/>
  <c r="J259" i="11"/>
  <c r="L259" i="11" s="1"/>
  <c r="H259" i="11"/>
  <c r="G259" i="11"/>
  <c r="E259" i="11"/>
  <c r="M258" i="11"/>
  <c r="K258" i="11"/>
  <c r="J258" i="11"/>
  <c r="H258" i="11"/>
  <c r="G258" i="11"/>
  <c r="E258" i="11"/>
  <c r="M257" i="11"/>
  <c r="K257" i="11"/>
  <c r="J257" i="11"/>
  <c r="H257" i="11"/>
  <c r="G257" i="11"/>
  <c r="E257" i="11"/>
  <c r="M256" i="11"/>
  <c r="L256" i="11"/>
  <c r="K256" i="11"/>
  <c r="J256" i="11"/>
  <c r="H256" i="11"/>
  <c r="G256" i="11"/>
  <c r="E256" i="11"/>
  <c r="M255" i="11"/>
  <c r="L255" i="11"/>
  <c r="K255" i="11"/>
  <c r="J255" i="11"/>
  <c r="H255" i="11"/>
  <c r="G255" i="11"/>
  <c r="E255" i="11"/>
  <c r="M254" i="11"/>
  <c r="L254" i="11"/>
  <c r="K254" i="11"/>
  <c r="J254" i="11"/>
  <c r="H254" i="11"/>
  <c r="G254" i="11"/>
  <c r="E254" i="11"/>
  <c r="M253" i="11"/>
  <c r="K253" i="11"/>
  <c r="J253" i="11"/>
  <c r="L253" i="11" s="1"/>
  <c r="H253" i="11"/>
  <c r="G253" i="11"/>
  <c r="E253" i="11"/>
  <c r="M252" i="11"/>
  <c r="K252" i="11"/>
  <c r="J252" i="11"/>
  <c r="L252" i="11" s="1"/>
  <c r="H252" i="11"/>
  <c r="G252" i="11"/>
  <c r="E252" i="11"/>
  <c r="M251" i="11"/>
  <c r="K251" i="11"/>
  <c r="J251" i="11"/>
  <c r="L251" i="11" s="1"/>
  <c r="H251" i="11"/>
  <c r="G251" i="11"/>
  <c r="E251" i="11"/>
  <c r="M250" i="11"/>
  <c r="K250" i="11"/>
  <c r="L250" i="11" s="1"/>
  <c r="J250" i="11"/>
  <c r="H250" i="11"/>
  <c r="G250" i="11"/>
  <c r="E250" i="11"/>
  <c r="M249" i="11"/>
  <c r="L249" i="11"/>
  <c r="K249" i="11"/>
  <c r="J249" i="11"/>
  <c r="H249" i="11"/>
  <c r="G249" i="11"/>
  <c r="E249" i="11"/>
  <c r="M248" i="11"/>
  <c r="L248" i="11"/>
  <c r="K248" i="11"/>
  <c r="J248" i="11"/>
  <c r="H248" i="11"/>
  <c r="G248" i="11"/>
  <c r="E248" i="11"/>
  <c r="M247" i="11"/>
  <c r="K247" i="11"/>
  <c r="J247" i="11"/>
  <c r="L247" i="11" s="1"/>
  <c r="H247" i="11"/>
  <c r="G247" i="11"/>
  <c r="E247" i="11"/>
  <c r="M246" i="11"/>
  <c r="K246" i="11"/>
  <c r="J246" i="11"/>
  <c r="L246" i="11" s="1"/>
  <c r="H246" i="11"/>
  <c r="G246" i="11"/>
  <c r="E246" i="11"/>
  <c r="M245" i="11"/>
  <c r="K245" i="11"/>
  <c r="J245" i="11"/>
  <c r="L245" i="11" s="1"/>
  <c r="H245" i="11"/>
  <c r="G245" i="11"/>
  <c r="E245" i="11"/>
  <c r="M244" i="11"/>
  <c r="K244" i="11"/>
  <c r="L244" i="11" s="1"/>
  <c r="J244" i="11"/>
  <c r="H244" i="11"/>
  <c r="G244" i="11"/>
  <c r="E244" i="11"/>
  <c r="M243" i="11"/>
  <c r="K243" i="11"/>
  <c r="J243" i="11"/>
  <c r="H243" i="11"/>
  <c r="G243" i="11"/>
  <c r="E243" i="11"/>
  <c r="M242" i="11"/>
  <c r="L242" i="11"/>
  <c r="K242" i="11"/>
  <c r="J242" i="11"/>
  <c r="H242" i="11"/>
  <c r="G242" i="11"/>
  <c r="E242" i="11"/>
  <c r="M241" i="11"/>
  <c r="L241" i="11"/>
  <c r="K241" i="11"/>
  <c r="J241" i="11"/>
  <c r="H241" i="11"/>
  <c r="G241" i="11"/>
  <c r="E241" i="11"/>
  <c r="M240" i="11"/>
  <c r="K240" i="11"/>
  <c r="J240" i="11"/>
  <c r="L240" i="11" s="1"/>
  <c r="H240" i="11"/>
  <c r="G240" i="11"/>
  <c r="E240" i="11"/>
  <c r="M239" i="11"/>
  <c r="L239" i="11"/>
  <c r="K239" i="11"/>
  <c r="J239" i="11"/>
  <c r="H239" i="11"/>
  <c r="G239" i="11"/>
  <c r="E239" i="11"/>
  <c r="M238" i="11"/>
  <c r="L238" i="11"/>
  <c r="K238" i="11"/>
  <c r="J238" i="11"/>
  <c r="H238" i="11"/>
  <c r="G238" i="11"/>
  <c r="E238" i="11"/>
  <c r="M237" i="11"/>
  <c r="L237" i="11"/>
  <c r="K237" i="11"/>
  <c r="J237" i="11"/>
  <c r="H237" i="11"/>
  <c r="G237" i="11"/>
  <c r="E237" i="11"/>
  <c r="M236" i="11"/>
  <c r="K236" i="11"/>
  <c r="L236" i="11" s="1"/>
  <c r="J236" i="11"/>
  <c r="H236" i="11"/>
  <c r="G236" i="11"/>
  <c r="E236" i="11"/>
  <c r="M235" i="11"/>
  <c r="K235" i="11"/>
  <c r="J235" i="11"/>
  <c r="L235" i="11" s="1"/>
  <c r="H235" i="11"/>
  <c r="G235" i="11"/>
  <c r="E235" i="11"/>
  <c r="M234" i="11"/>
  <c r="K234" i="11"/>
  <c r="J234" i="11"/>
  <c r="L234" i="11" s="1"/>
  <c r="H234" i="11"/>
  <c r="G234" i="11"/>
  <c r="E234" i="11"/>
  <c r="M233" i="11"/>
  <c r="K233" i="11"/>
  <c r="J233" i="11"/>
  <c r="L233" i="11" s="1"/>
  <c r="H233" i="11"/>
  <c r="G233" i="11"/>
  <c r="E233" i="11"/>
  <c r="M232" i="11"/>
  <c r="K232" i="11"/>
  <c r="L232" i="11" s="1"/>
  <c r="J232" i="11"/>
  <c r="H232" i="11"/>
  <c r="G232" i="11"/>
  <c r="E232" i="11"/>
  <c r="M231" i="11"/>
  <c r="L231" i="11"/>
  <c r="K231" i="11"/>
  <c r="J231" i="11"/>
  <c r="H231" i="11"/>
  <c r="G231" i="11"/>
  <c r="E231" i="11"/>
  <c r="M230" i="11"/>
  <c r="L230" i="11"/>
  <c r="K230" i="11"/>
  <c r="J230" i="11"/>
  <c r="H230" i="11"/>
  <c r="G230" i="11"/>
  <c r="E230" i="11"/>
  <c r="M229" i="11"/>
  <c r="L229" i="11"/>
  <c r="K229" i="11"/>
  <c r="J229" i="11"/>
  <c r="H229" i="11"/>
  <c r="G229" i="11"/>
  <c r="E229" i="11"/>
  <c r="M228" i="11"/>
  <c r="K228" i="11"/>
  <c r="J228" i="11"/>
  <c r="L228" i="11" s="1"/>
  <c r="H228" i="11"/>
  <c r="G228" i="11"/>
  <c r="E228" i="11"/>
  <c r="M227" i="11"/>
  <c r="K227" i="11"/>
  <c r="J227" i="11"/>
  <c r="L227" i="11" s="1"/>
  <c r="H227" i="11"/>
  <c r="G227" i="11"/>
  <c r="E227" i="11"/>
  <c r="M226" i="11"/>
  <c r="K226" i="11"/>
  <c r="J226" i="11"/>
  <c r="L226" i="11" s="1"/>
  <c r="H226" i="11"/>
  <c r="G226" i="11"/>
  <c r="E226" i="11"/>
  <c r="M225" i="11"/>
  <c r="L225" i="11"/>
  <c r="K225" i="11"/>
  <c r="J225" i="11"/>
  <c r="H225" i="11"/>
  <c r="G225" i="11"/>
  <c r="E225" i="11"/>
  <c r="M224" i="11"/>
  <c r="L224" i="11"/>
  <c r="K224" i="11"/>
  <c r="J224" i="11"/>
  <c r="H224" i="11"/>
  <c r="G224" i="11"/>
  <c r="E224" i="11"/>
  <c r="M223" i="11"/>
  <c r="K223" i="11"/>
  <c r="J223" i="11"/>
  <c r="L223" i="11" s="1"/>
  <c r="H223" i="11"/>
  <c r="G223" i="11"/>
  <c r="E223" i="11"/>
  <c r="M222" i="11"/>
  <c r="K222" i="11"/>
  <c r="J222" i="11"/>
  <c r="L222" i="11" s="1"/>
  <c r="H222" i="11"/>
  <c r="G222" i="11"/>
  <c r="E222" i="11"/>
  <c r="M221" i="11"/>
  <c r="K221" i="11"/>
  <c r="J221" i="11"/>
  <c r="H221" i="11"/>
  <c r="G221" i="11"/>
  <c r="E221" i="11"/>
  <c r="M220" i="11"/>
  <c r="K220" i="11"/>
  <c r="L220" i="11" s="1"/>
  <c r="J220" i="11"/>
  <c r="H220" i="11"/>
  <c r="G220" i="11"/>
  <c r="E220" i="11"/>
  <c r="M219" i="11"/>
  <c r="L219" i="11"/>
  <c r="K219" i="11"/>
  <c r="J219" i="11"/>
  <c r="H219" i="11"/>
  <c r="G219" i="11"/>
  <c r="E219" i="11"/>
  <c r="M218" i="11"/>
  <c r="L218" i="11"/>
  <c r="K218" i="11"/>
  <c r="J218" i="11"/>
  <c r="H218" i="11"/>
  <c r="G218" i="11"/>
  <c r="E218" i="11"/>
  <c r="M217" i="11"/>
  <c r="K217" i="11"/>
  <c r="J217" i="11"/>
  <c r="L217" i="11" s="1"/>
  <c r="H217" i="11"/>
  <c r="G217" i="11"/>
  <c r="E217" i="11"/>
  <c r="M216" i="11"/>
  <c r="K216" i="11"/>
  <c r="J216" i="11"/>
  <c r="L216" i="11" s="1"/>
  <c r="H216" i="11"/>
  <c r="G216" i="11"/>
  <c r="E216" i="11"/>
  <c r="M215" i="11"/>
  <c r="K215" i="11"/>
  <c r="J215" i="11"/>
  <c r="L215" i="11" s="1"/>
  <c r="H215" i="11"/>
  <c r="G215" i="11"/>
  <c r="E215" i="11"/>
  <c r="M214" i="11"/>
  <c r="K214" i="11"/>
  <c r="L214" i="11" s="1"/>
  <c r="J214" i="11"/>
  <c r="H214" i="11"/>
  <c r="G214" i="11"/>
  <c r="E214" i="11"/>
  <c r="M213" i="11"/>
  <c r="L213" i="11"/>
  <c r="K213" i="11"/>
  <c r="J213" i="11"/>
  <c r="H213" i="11"/>
  <c r="G213" i="11"/>
  <c r="E213" i="11"/>
  <c r="M212" i="11"/>
  <c r="L212" i="11"/>
  <c r="K212" i="11"/>
  <c r="J212" i="11"/>
  <c r="H212" i="11"/>
  <c r="G212" i="11"/>
  <c r="E212" i="11"/>
  <c r="M211" i="11"/>
  <c r="K211" i="11"/>
  <c r="J211" i="11"/>
  <c r="L211" i="11" s="1"/>
  <c r="H211" i="11"/>
  <c r="G211" i="11"/>
  <c r="E211" i="11"/>
  <c r="M210" i="11"/>
  <c r="K210" i="11"/>
  <c r="J210" i="11"/>
  <c r="L210" i="11" s="1"/>
  <c r="H210" i="11"/>
  <c r="G210" i="11"/>
  <c r="E210" i="11"/>
  <c r="M209" i="11"/>
  <c r="K209" i="11"/>
  <c r="J209" i="11"/>
  <c r="L209" i="11" s="1"/>
  <c r="H209" i="11"/>
  <c r="G209" i="11"/>
  <c r="E209" i="11"/>
  <c r="M208" i="11"/>
  <c r="K208" i="11"/>
  <c r="L208" i="11" s="1"/>
  <c r="J208" i="11"/>
  <c r="H208" i="11"/>
  <c r="G208" i="11"/>
  <c r="E208" i="11"/>
  <c r="M207" i="11"/>
  <c r="L207" i="11"/>
  <c r="K207" i="11"/>
  <c r="J207" i="11"/>
  <c r="H207" i="11"/>
  <c r="G207" i="11"/>
  <c r="E207" i="11"/>
  <c r="M206" i="11"/>
  <c r="L206" i="11"/>
  <c r="K206" i="11"/>
  <c r="J206" i="11"/>
  <c r="H206" i="11"/>
  <c r="G206" i="11"/>
  <c r="E206" i="11"/>
  <c r="M205" i="11"/>
  <c r="L205" i="11"/>
  <c r="K205" i="11"/>
  <c r="J205" i="11"/>
  <c r="H205" i="11"/>
  <c r="G205" i="11"/>
  <c r="E205" i="11"/>
  <c r="M204" i="11"/>
  <c r="K204" i="11"/>
  <c r="J204" i="11"/>
  <c r="L204" i="11" s="1"/>
  <c r="H204" i="11"/>
  <c r="G204" i="11"/>
  <c r="E204" i="11"/>
  <c r="M203" i="11"/>
  <c r="L203" i="11"/>
  <c r="K203" i="11"/>
  <c r="J203" i="11"/>
  <c r="H203" i="11"/>
  <c r="G203" i="11"/>
  <c r="E203" i="11"/>
  <c r="M202" i="11"/>
  <c r="K202" i="11"/>
  <c r="J202" i="11"/>
  <c r="L202" i="11" s="1"/>
  <c r="H202" i="11"/>
  <c r="G202" i="11"/>
  <c r="E202" i="11"/>
  <c r="M201" i="11"/>
  <c r="L201" i="11"/>
  <c r="K201" i="11"/>
  <c r="J201" i="11"/>
  <c r="H201" i="11"/>
  <c r="G201" i="11"/>
  <c r="E201" i="11"/>
  <c r="M200" i="11"/>
  <c r="L200" i="11"/>
  <c r="K200" i="11"/>
  <c r="J200" i="11"/>
  <c r="H200" i="11"/>
  <c r="G200" i="11"/>
  <c r="E200" i="11"/>
  <c r="M199" i="11"/>
  <c r="K199" i="11"/>
  <c r="J199" i="11"/>
  <c r="L199" i="11" s="1"/>
  <c r="H199" i="11"/>
  <c r="G199" i="11"/>
  <c r="E199" i="11"/>
  <c r="M198" i="11"/>
  <c r="L198" i="11"/>
  <c r="K198" i="11"/>
  <c r="J198" i="11"/>
  <c r="H198" i="11"/>
  <c r="G198" i="11"/>
  <c r="E198" i="11"/>
  <c r="M197" i="11"/>
  <c r="K197" i="11"/>
  <c r="J197" i="11"/>
  <c r="H197" i="11"/>
  <c r="G197" i="11"/>
  <c r="E197" i="11"/>
  <c r="M196" i="11"/>
  <c r="L196" i="11"/>
  <c r="K196" i="11"/>
  <c r="J196" i="11"/>
  <c r="H196" i="11"/>
  <c r="G196" i="11"/>
  <c r="E196" i="11"/>
  <c r="M195" i="11"/>
  <c r="L195" i="11"/>
  <c r="K195" i="11"/>
  <c r="J195" i="11"/>
  <c r="H195" i="11"/>
  <c r="G195" i="11"/>
  <c r="E195" i="11"/>
  <c r="M194" i="11"/>
  <c r="L194" i="11"/>
  <c r="K194" i="11"/>
  <c r="J194" i="11"/>
  <c r="H194" i="11"/>
  <c r="G194" i="11"/>
  <c r="E194" i="11"/>
  <c r="M193" i="11"/>
  <c r="K193" i="11"/>
  <c r="J193" i="11"/>
  <c r="L193" i="11" s="1"/>
  <c r="H193" i="11"/>
  <c r="G193" i="11"/>
  <c r="E193" i="11"/>
  <c r="M192" i="11"/>
  <c r="K192" i="11"/>
  <c r="J192" i="11"/>
  <c r="L192" i="11" s="1"/>
  <c r="H192" i="11"/>
  <c r="G192" i="11"/>
  <c r="E192" i="11"/>
  <c r="M191" i="11"/>
  <c r="K191" i="11"/>
  <c r="L191" i="11" s="1"/>
  <c r="J191" i="11"/>
  <c r="H191" i="11"/>
  <c r="G191" i="11"/>
  <c r="E191" i="11"/>
  <c r="M190" i="11"/>
  <c r="K190" i="11"/>
  <c r="J190" i="11"/>
  <c r="H190" i="11"/>
  <c r="G190" i="11"/>
  <c r="E190" i="11"/>
  <c r="M189" i="11"/>
  <c r="L189" i="11"/>
  <c r="K189" i="11"/>
  <c r="J189" i="11"/>
  <c r="H189" i="11"/>
  <c r="G189" i="11"/>
  <c r="E189" i="11"/>
  <c r="M188" i="11"/>
  <c r="L188" i="11"/>
  <c r="K188" i="11"/>
  <c r="J188" i="11"/>
  <c r="H188" i="11"/>
  <c r="G188" i="11"/>
  <c r="E188" i="11"/>
  <c r="M187" i="11"/>
  <c r="K187" i="11"/>
  <c r="J187" i="11"/>
  <c r="L187" i="11" s="1"/>
  <c r="H187" i="11"/>
  <c r="G187" i="11"/>
  <c r="E187" i="11"/>
  <c r="M186" i="11"/>
  <c r="K186" i="11"/>
  <c r="J186" i="11"/>
  <c r="L186" i="11" s="1"/>
  <c r="H186" i="11"/>
  <c r="G186" i="11"/>
  <c r="E186" i="11"/>
  <c r="M185" i="11"/>
  <c r="K185" i="11"/>
  <c r="J185" i="11"/>
  <c r="L185" i="11" s="1"/>
  <c r="H185" i="11"/>
  <c r="G185" i="11"/>
  <c r="E185" i="11"/>
  <c r="M184" i="11"/>
  <c r="K184" i="11"/>
  <c r="L184" i="11" s="1"/>
  <c r="J184" i="11"/>
  <c r="H184" i="11"/>
  <c r="G184" i="11"/>
  <c r="E184" i="11"/>
  <c r="M183" i="11"/>
  <c r="K183" i="11"/>
  <c r="J183" i="11"/>
  <c r="H183" i="11"/>
  <c r="G183" i="11"/>
  <c r="E183" i="11"/>
  <c r="M182" i="11"/>
  <c r="L182" i="11"/>
  <c r="K182" i="11"/>
  <c r="J182" i="11"/>
  <c r="H182" i="11"/>
  <c r="G182" i="11"/>
  <c r="E182" i="11"/>
  <c r="M181" i="11"/>
  <c r="L181" i="11"/>
  <c r="K181" i="11"/>
  <c r="J181" i="11"/>
  <c r="H181" i="11"/>
  <c r="G181" i="11"/>
  <c r="E181" i="11"/>
  <c r="M180" i="11"/>
  <c r="K180" i="11"/>
  <c r="J180" i="11"/>
  <c r="L180" i="11" s="1"/>
  <c r="H180" i="11"/>
  <c r="G180" i="11"/>
  <c r="E180" i="11"/>
  <c r="M179" i="11"/>
  <c r="L179" i="11"/>
  <c r="K179" i="11"/>
  <c r="J179" i="11"/>
  <c r="H179" i="11"/>
  <c r="G179" i="11"/>
  <c r="E179" i="11"/>
  <c r="M178" i="11"/>
  <c r="K178" i="11"/>
  <c r="J178" i="11"/>
  <c r="L178" i="11" s="1"/>
  <c r="H178" i="11"/>
  <c r="G178" i="11"/>
  <c r="E178" i="11"/>
  <c r="M177" i="11"/>
  <c r="L177" i="11"/>
  <c r="K177" i="11"/>
  <c r="J177" i="11"/>
  <c r="H177" i="11"/>
  <c r="G177" i="11"/>
  <c r="E177" i="11"/>
  <c r="M176" i="11"/>
  <c r="K176" i="11"/>
  <c r="J176" i="11"/>
  <c r="H176" i="11"/>
  <c r="G176" i="11"/>
  <c r="E176" i="11"/>
  <c r="M175" i="11"/>
  <c r="K175" i="11"/>
  <c r="J175" i="11"/>
  <c r="L175" i="11" s="1"/>
  <c r="H175" i="11"/>
  <c r="G175" i="11"/>
  <c r="E175" i="11"/>
  <c r="M174" i="11"/>
  <c r="L174" i="11"/>
  <c r="K174" i="11"/>
  <c r="J174" i="11"/>
  <c r="H174" i="11"/>
  <c r="G174" i="11"/>
  <c r="E174" i="11"/>
  <c r="M173" i="11"/>
  <c r="K173" i="11"/>
  <c r="J173" i="11"/>
  <c r="H173" i="11"/>
  <c r="G173" i="11"/>
  <c r="E173" i="11"/>
  <c r="M172" i="11"/>
  <c r="L172" i="11"/>
  <c r="K172" i="11"/>
  <c r="J172" i="11"/>
  <c r="H172" i="11"/>
  <c r="G172" i="11"/>
  <c r="E172" i="11"/>
  <c r="M171" i="11"/>
  <c r="L171" i="11"/>
  <c r="K171" i="11"/>
  <c r="J171" i="11"/>
  <c r="H171" i="11"/>
  <c r="G171" i="11"/>
  <c r="E171" i="11"/>
  <c r="M170" i="11"/>
  <c r="L170" i="11"/>
  <c r="K170" i="11"/>
  <c r="J170" i="11"/>
  <c r="H170" i="11"/>
  <c r="G170" i="11"/>
  <c r="E170" i="11"/>
  <c r="M169" i="11"/>
  <c r="K169" i="11"/>
  <c r="J169" i="11"/>
  <c r="L169" i="11" s="1"/>
  <c r="H169" i="11"/>
  <c r="G169" i="11"/>
  <c r="E169" i="11"/>
  <c r="M168" i="11"/>
  <c r="K168" i="11"/>
  <c r="J168" i="11"/>
  <c r="L168" i="11" s="1"/>
  <c r="H168" i="11"/>
  <c r="G168" i="11"/>
  <c r="E168" i="11"/>
  <c r="M167" i="11"/>
  <c r="K167" i="11"/>
  <c r="J167" i="11"/>
  <c r="L167" i="11" s="1"/>
  <c r="H167" i="11"/>
  <c r="G167" i="11"/>
  <c r="E167" i="11"/>
  <c r="M166" i="11"/>
  <c r="K166" i="11"/>
  <c r="L166" i="11" s="1"/>
  <c r="J166" i="11"/>
  <c r="H166" i="11"/>
  <c r="G166" i="11"/>
  <c r="E166" i="11"/>
  <c r="M165" i="11"/>
  <c r="L165" i="11"/>
  <c r="K165" i="11"/>
  <c r="J165" i="11"/>
  <c r="H165" i="11"/>
  <c r="G165" i="11"/>
  <c r="E165" i="11"/>
  <c r="M164" i="11"/>
  <c r="L164" i="11"/>
  <c r="K164" i="11"/>
  <c r="J164" i="11"/>
  <c r="H164" i="11"/>
  <c r="G164" i="11"/>
  <c r="E164" i="11"/>
  <c r="M163" i="11"/>
  <c r="K163" i="11"/>
  <c r="J163" i="11"/>
  <c r="L163" i="11" s="1"/>
  <c r="H163" i="11"/>
  <c r="G163" i="11"/>
  <c r="E163" i="11"/>
  <c r="M162" i="11"/>
  <c r="K162" i="11"/>
  <c r="J162" i="11"/>
  <c r="L162" i="11" s="1"/>
  <c r="H162" i="11"/>
  <c r="G162" i="11"/>
  <c r="E162" i="11"/>
  <c r="M161" i="11"/>
  <c r="K161" i="11"/>
  <c r="J161" i="11"/>
  <c r="L161" i="11" s="1"/>
  <c r="H161" i="11"/>
  <c r="G161" i="11"/>
  <c r="E161" i="11"/>
  <c r="M160" i="11"/>
  <c r="K160" i="11"/>
  <c r="L160" i="11" s="1"/>
  <c r="J160" i="11"/>
  <c r="H160" i="11"/>
  <c r="G160" i="11"/>
  <c r="E160" i="11"/>
  <c r="M159" i="11"/>
  <c r="L159" i="11"/>
  <c r="K159" i="11"/>
  <c r="J159" i="11"/>
  <c r="H159" i="11"/>
  <c r="G159" i="11"/>
  <c r="E159" i="11"/>
  <c r="M158" i="11"/>
  <c r="L158" i="11"/>
  <c r="K158" i="11"/>
  <c r="J158" i="11"/>
  <c r="H158" i="11"/>
  <c r="G158" i="11"/>
  <c r="E158" i="11"/>
  <c r="M157" i="11"/>
  <c r="L157" i="11"/>
  <c r="K157" i="11"/>
  <c r="J157" i="11"/>
  <c r="H157" i="11"/>
  <c r="G157" i="11"/>
  <c r="E157" i="11"/>
  <c r="M156" i="11"/>
  <c r="K156" i="11"/>
  <c r="J156" i="11"/>
  <c r="L156" i="11" s="1"/>
  <c r="H156" i="11"/>
  <c r="G156" i="11"/>
  <c r="E156" i="11"/>
  <c r="M155" i="11"/>
  <c r="L155" i="11"/>
  <c r="K155" i="11"/>
  <c r="J155" i="11"/>
  <c r="H155" i="11"/>
  <c r="G155" i="11"/>
  <c r="E155" i="11"/>
  <c r="M154" i="11"/>
  <c r="K154" i="11"/>
  <c r="J154" i="11"/>
  <c r="L154" i="11" s="1"/>
  <c r="H154" i="11"/>
  <c r="G154" i="11"/>
  <c r="E154" i="11"/>
  <c r="M153" i="11"/>
  <c r="L153" i="11"/>
  <c r="K153" i="11"/>
  <c r="J153" i="11"/>
  <c r="H153" i="11"/>
  <c r="G153" i="11"/>
  <c r="E153" i="11"/>
  <c r="M152" i="11"/>
  <c r="K152" i="11"/>
  <c r="L152" i="11" s="1"/>
  <c r="J152" i="11"/>
  <c r="H152" i="11"/>
  <c r="G152" i="11"/>
  <c r="E152" i="11"/>
  <c r="M151" i="11"/>
  <c r="K151" i="11"/>
  <c r="J151" i="11"/>
  <c r="L151" i="11" s="1"/>
  <c r="H151" i="11"/>
  <c r="G151" i="11"/>
  <c r="E151" i="11"/>
  <c r="M150" i="11"/>
  <c r="L150" i="11"/>
  <c r="K150" i="11"/>
  <c r="J150" i="11"/>
  <c r="H150" i="11"/>
  <c r="G150" i="11"/>
  <c r="E150" i="11"/>
  <c r="M149" i="11"/>
  <c r="K149" i="11"/>
  <c r="J149" i="11"/>
  <c r="L149" i="11" s="1"/>
  <c r="H149" i="11"/>
  <c r="G149" i="11"/>
  <c r="E149" i="11"/>
  <c r="M148" i="11"/>
  <c r="L148" i="11"/>
  <c r="K148" i="11"/>
  <c r="J148" i="11"/>
  <c r="H148" i="11"/>
  <c r="G148" i="11"/>
  <c r="E148" i="11"/>
  <c r="M147" i="11"/>
  <c r="L147" i="11"/>
  <c r="K147" i="11"/>
  <c r="J147" i="11"/>
  <c r="H147" i="11"/>
  <c r="G147" i="11"/>
  <c r="E147" i="11"/>
  <c r="M146" i="11"/>
  <c r="L146" i="11"/>
  <c r="K146" i="11"/>
  <c r="J146" i="11"/>
  <c r="H146" i="11"/>
  <c r="G146" i="11"/>
  <c r="E146" i="11"/>
  <c r="M145" i="11"/>
  <c r="K145" i="11"/>
  <c r="J145" i="11"/>
  <c r="L145" i="11" s="1"/>
  <c r="H145" i="11"/>
  <c r="G145" i="11"/>
  <c r="E145" i="11"/>
  <c r="M144" i="11"/>
  <c r="K144" i="11"/>
  <c r="J144" i="11"/>
  <c r="L144" i="11" s="1"/>
  <c r="H144" i="11"/>
  <c r="G144" i="11"/>
  <c r="E144" i="11"/>
  <c r="M143" i="11"/>
  <c r="K143" i="11"/>
  <c r="J143" i="11"/>
  <c r="L143" i="11" s="1"/>
  <c r="H143" i="11"/>
  <c r="G143" i="11"/>
  <c r="E143" i="11"/>
  <c r="M142" i="11"/>
  <c r="K142" i="11"/>
  <c r="L142" i="11" s="1"/>
  <c r="J142" i="11"/>
  <c r="H142" i="11"/>
  <c r="G142" i="11"/>
  <c r="E142" i="11"/>
  <c r="M141" i="11"/>
  <c r="L141" i="11"/>
  <c r="K141" i="11"/>
  <c r="J141" i="11"/>
  <c r="H141" i="11"/>
  <c r="G141" i="11"/>
  <c r="E141" i="11"/>
  <c r="M140" i="11"/>
  <c r="L140" i="11"/>
  <c r="K140" i="11"/>
  <c r="J140" i="11"/>
  <c r="H140" i="11"/>
  <c r="G140" i="11"/>
  <c r="E140" i="11"/>
  <c r="M139" i="11"/>
  <c r="K139" i="11"/>
  <c r="J139" i="11"/>
  <c r="L139" i="11" s="1"/>
  <c r="H139" i="11"/>
  <c r="G139" i="11"/>
  <c r="E139" i="11"/>
  <c r="M138" i="11"/>
  <c r="K138" i="11"/>
  <c r="J138" i="11"/>
  <c r="L138" i="11" s="1"/>
  <c r="H138" i="11"/>
  <c r="G138" i="11"/>
  <c r="E138" i="11"/>
  <c r="M137" i="11"/>
  <c r="K137" i="11"/>
  <c r="J137" i="11"/>
  <c r="L137" i="11" s="1"/>
  <c r="H137" i="11"/>
  <c r="G137" i="11"/>
  <c r="E137" i="11"/>
  <c r="M136" i="11"/>
  <c r="K136" i="11"/>
  <c r="L136" i="11" s="1"/>
  <c r="J136" i="11"/>
  <c r="H136" i="11"/>
  <c r="G136" i="11"/>
  <c r="E136" i="11"/>
  <c r="M135" i="11"/>
  <c r="K135" i="11"/>
  <c r="J135" i="11"/>
  <c r="L135" i="11" s="1"/>
  <c r="H135" i="11"/>
  <c r="G135" i="11"/>
  <c r="E135" i="11"/>
  <c r="M134" i="11"/>
  <c r="L134" i="11"/>
  <c r="K134" i="11"/>
  <c r="J134" i="11"/>
  <c r="H134" i="11"/>
  <c r="G134" i="11"/>
  <c r="E134" i="11"/>
  <c r="M133" i="11"/>
  <c r="K133" i="11"/>
  <c r="L133" i="11" s="1"/>
  <c r="J133" i="11"/>
  <c r="H133" i="11"/>
  <c r="G133" i="11"/>
  <c r="E133" i="11"/>
  <c r="M132" i="11"/>
  <c r="K132" i="11"/>
  <c r="J132" i="11"/>
  <c r="L132" i="11" s="1"/>
  <c r="H132" i="11"/>
  <c r="G132" i="11"/>
  <c r="E132" i="11"/>
  <c r="M131" i="11"/>
  <c r="L131" i="11"/>
  <c r="K131" i="11"/>
  <c r="J131" i="11"/>
  <c r="H131" i="11"/>
  <c r="G131" i="11"/>
  <c r="E131" i="11"/>
  <c r="M130" i="11"/>
  <c r="K130" i="11"/>
  <c r="J130" i="11"/>
  <c r="L130" i="11" s="1"/>
  <c r="H130" i="11"/>
  <c r="G130" i="11"/>
  <c r="E130" i="11"/>
  <c r="M129" i="11"/>
  <c r="L129" i="11"/>
  <c r="K129" i="11"/>
  <c r="J129" i="11"/>
  <c r="H129" i="11"/>
  <c r="G129" i="11"/>
  <c r="E129" i="11"/>
  <c r="M128" i="11"/>
  <c r="K128" i="11"/>
  <c r="J128" i="11"/>
  <c r="H128" i="11"/>
  <c r="G128" i="11"/>
  <c r="E128" i="11"/>
  <c r="M127" i="11"/>
  <c r="K127" i="11"/>
  <c r="J127" i="11"/>
  <c r="L127" i="11" s="1"/>
  <c r="H127" i="11"/>
  <c r="G127" i="11"/>
  <c r="E127" i="11"/>
  <c r="M126" i="11"/>
  <c r="L126" i="11"/>
  <c r="K126" i="11"/>
  <c r="J126" i="11"/>
  <c r="H126" i="11"/>
  <c r="G126" i="11"/>
  <c r="E126" i="11"/>
  <c r="M125" i="11"/>
  <c r="K125" i="11"/>
  <c r="J125" i="11"/>
  <c r="H125" i="11"/>
  <c r="G125" i="11"/>
  <c r="E125" i="11"/>
  <c r="M124" i="11"/>
  <c r="L124" i="11"/>
  <c r="K124" i="11"/>
  <c r="J124" i="11"/>
  <c r="H124" i="11"/>
  <c r="G124" i="11"/>
  <c r="E124" i="11"/>
  <c r="M123" i="11"/>
  <c r="L123" i="11"/>
  <c r="K123" i="11"/>
  <c r="J123" i="11"/>
  <c r="H123" i="11"/>
  <c r="G123" i="11"/>
  <c r="E123" i="11"/>
  <c r="M122" i="11"/>
  <c r="L122" i="11"/>
  <c r="K122" i="11"/>
  <c r="J122" i="11"/>
  <c r="H122" i="11"/>
  <c r="G122" i="11"/>
  <c r="E122" i="11"/>
  <c r="M121" i="11"/>
  <c r="K121" i="11"/>
  <c r="J121" i="11"/>
  <c r="L121" i="11" s="1"/>
  <c r="H121" i="11"/>
  <c r="G121" i="11"/>
  <c r="E121" i="11"/>
  <c r="M120" i="11"/>
  <c r="K120" i="11"/>
  <c r="J120" i="11"/>
  <c r="L120" i="11" s="1"/>
  <c r="H120" i="11"/>
  <c r="G120" i="11"/>
  <c r="E120" i="11"/>
  <c r="M119" i="11"/>
  <c r="K119" i="11"/>
  <c r="J119" i="11"/>
  <c r="L119" i="11" s="1"/>
  <c r="H119" i="11"/>
  <c r="G119" i="11"/>
  <c r="E119" i="11"/>
  <c r="M118" i="11"/>
  <c r="K118" i="11"/>
  <c r="L118" i="11" s="1"/>
  <c r="J118" i="11"/>
  <c r="H118" i="11"/>
  <c r="G118" i="11"/>
  <c r="E118" i="11"/>
  <c r="M117" i="11"/>
  <c r="L117" i="11"/>
  <c r="K117" i="11"/>
  <c r="J117" i="11"/>
  <c r="H117" i="11"/>
  <c r="G117" i="11"/>
  <c r="E117" i="11"/>
  <c r="M116" i="11"/>
  <c r="L116" i="11"/>
  <c r="K116" i="11"/>
  <c r="J116" i="11"/>
  <c r="H116" i="11"/>
  <c r="G116" i="11"/>
  <c r="E116" i="11"/>
  <c r="M115" i="11"/>
  <c r="K115" i="11"/>
  <c r="J115" i="11"/>
  <c r="L115" i="11" s="1"/>
  <c r="H115" i="11"/>
  <c r="G115" i="11"/>
  <c r="E115" i="11"/>
  <c r="M114" i="11"/>
  <c r="K114" i="11"/>
  <c r="J114" i="11"/>
  <c r="L114" i="11" s="1"/>
  <c r="H114" i="11"/>
  <c r="G114" i="11"/>
  <c r="E114" i="11"/>
  <c r="M113" i="11"/>
  <c r="K113" i="11"/>
  <c r="J113" i="11"/>
  <c r="L113" i="11" s="1"/>
  <c r="H113" i="11"/>
  <c r="G113" i="11"/>
  <c r="E113" i="11"/>
  <c r="M112" i="11"/>
  <c r="K112" i="11"/>
  <c r="L112" i="11" s="1"/>
  <c r="J112" i="11"/>
  <c r="H112" i="11"/>
  <c r="G112" i="11"/>
  <c r="E112" i="11"/>
  <c r="M111" i="11"/>
  <c r="L111" i="11"/>
  <c r="K111" i="11"/>
  <c r="J111" i="11"/>
  <c r="H111" i="11"/>
  <c r="G111" i="11"/>
  <c r="E111" i="11"/>
  <c r="M110" i="11"/>
  <c r="L110" i="11"/>
  <c r="K110" i="11"/>
  <c r="J110" i="11"/>
  <c r="H110" i="11"/>
  <c r="G110" i="11"/>
  <c r="E110" i="11"/>
  <c r="M109" i="11"/>
  <c r="L109" i="11"/>
  <c r="K109" i="11"/>
  <c r="J109" i="11"/>
  <c r="H109" i="11"/>
  <c r="G109" i="11"/>
  <c r="E109" i="11"/>
  <c r="M108" i="11"/>
  <c r="K108" i="11"/>
  <c r="J108" i="11"/>
  <c r="L108" i="11" s="1"/>
  <c r="H108" i="11"/>
  <c r="G108" i="11"/>
  <c r="E108" i="11"/>
  <c r="M107" i="11"/>
  <c r="L107" i="11"/>
  <c r="K107" i="11"/>
  <c r="J107" i="11"/>
  <c r="H107" i="11"/>
  <c r="G107" i="11"/>
  <c r="E107" i="11"/>
  <c r="M106" i="11"/>
  <c r="K106" i="11"/>
  <c r="J106" i="11"/>
  <c r="L106" i="11" s="1"/>
  <c r="H106" i="11"/>
  <c r="G106" i="11"/>
  <c r="E106" i="11"/>
  <c r="M105" i="11"/>
  <c r="L105" i="11"/>
  <c r="K105" i="11"/>
  <c r="J105" i="11"/>
  <c r="H105" i="11"/>
  <c r="G105" i="11"/>
  <c r="E105" i="11"/>
  <c r="M104" i="11"/>
  <c r="L104" i="11"/>
  <c r="K104" i="11"/>
  <c r="J104" i="11"/>
  <c r="H104" i="11"/>
  <c r="G104" i="11"/>
  <c r="E104" i="11"/>
  <c r="M103" i="11"/>
  <c r="K103" i="11"/>
  <c r="J103" i="11"/>
  <c r="L103" i="11" s="1"/>
  <c r="H103" i="11"/>
  <c r="G103" i="11"/>
  <c r="E103" i="11"/>
  <c r="M102" i="11"/>
  <c r="L102" i="11"/>
  <c r="K102" i="11"/>
  <c r="J102" i="11"/>
  <c r="H102" i="11"/>
  <c r="G102" i="11"/>
  <c r="E102" i="11"/>
  <c r="M101" i="11"/>
  <c r="K101" i="11"/>
  <c r="J101" i="11"/>
  <c r="L101" i="11" s="1"/>
  <c r="H101" i="11"/>
  <c r="G101" i="11"/>
  <c r="E101" i="11"/>
  <c r="M100" i="11"/>
  <c r="L100" i="11"/>
  <c r="K100" i="11"/>
  <c r="J100" i="11"/>
  <c r="H100" i="11"/>
  <c r="G100" i="11"/>
  <c r="E100" i="11"/>
  <c r="M99" i="11"/>
  <c r="L99" i="11"/>
  <c r="K99" i="11"/>
  <c r="J99" i="11"/>
  <c r="H99" i="11"/>
  <c r="G99" i="11"/>
  <c r="E99" i="11"/>
  <c r="M98" i="11"/>
  <c r="L98" i="11"/>
  <c r="K98" i="11"/>
  <c r="J98" i="11"/>
  <c r="H98" i="11"/>
  <c r="G98" i="11"/>
  <c r="E98" i="11"/>
  <c r="M97" i="11"/>
  <c r="K97" i="11"/>
  <c r="J97" i="11"/>
  <c r="L97" i="11" s="1"/>
  <c r="H97" i="11"/>
  <c r="G97" i="11"/>
  <c r="E97" i="11"/>
  <c r="M96" i="11"/>
  <c r="K96" i="11"/>
  <c r="J96" i="11"/>
  <c r="L96" i="11" s="1"/>
  <c r="H96" i="11"/>
  <c r="G96" i="11"/>
  <c r="E96" i="11"/>
  <c r="M95" i="11"/>
  <c r="K95" i="11"/>
  <c r="L95" i="11" s="1"/>
  <c r="J95" i="11"/>
  <c r="H95" i="11"/>
  <c r="G95" i="11"/>
  <c r="E95" i="11"/>
  <c r="M94" i="11"/>
  <c r="L94" i="11"/>
  <c r="K94" i="11"/>
  <c r="J94" i="11"/>
  <c r="H94" i="11"/>
  <c r="G94" i="11"/>
  <c r="E94" i="11"/>
  <c r="M93" i="11"/>
  <c r="L93" i="11"/>
  <c r="K93" i="11"/>
  <c r="J93" i="11"/>
  <c r="H93" i="11"/>
  <c r="G93" i="11"/>
  <c r="E93" i="11"/>
  <c r="M92" i="11"/>
  <c r="L92" i="11"/>
  <c r="K92" i="11"/>
  <c r="J92" i="11"/>
  <c r="H92" i="11"/>
  <c r="G92" i="11"/>
  <c r="E92" i="11"/>
  <c r="M91" i="11"/>
  <c r="K91" i="11"/>
  <c r="J91" i="11"/>
  <c r="L91" i="11" s="1"/>
  <c r="H91" i="11"/>
  <c r="G91" i="11"/>
  <c r="E91" i="11"/>
  <c r="M90" i="11"/>
  <c r="K90" i="11"/>
  <c r="J90" i="11"/>
  <c r="L90" i="11" s="1"/>
  <c r="H90" i="11"/>
  <c r="G90" i="11"/>
  <c r="E90" i="11"/>
  <c r="M89" i="11"/>
  <c r="K89" i="11"/>
  <c r="J89" i="11"/>
  <c r="L89" i="11" s="1"/>
  <c r="H89" i="11"/>
  <c r="G89" i="11"/>
  <c r="E89" i="11"/>
  <c r="M88" i="11"/>
  <c r="K88" i="11"/>
  <c r="L88" i="11" s="1"/>
  <c r="J88" i="11"/>
  <c r="H88" i="11"/>
  <c r="G88" i="11"/>
  <c r="E88" i="11"/>
  <c r="M87" i="11"/>
  <c r="K87" i="11"/>
  <c r="J87" i="11"/>
  <c r="L87" i="11" s="1"/>
  <c r="H87" i="11"/>
  <c r="G87" i="11"/>
  <c r="E87" i="11"/>
  <c r="M86" i="11"/>
  <c r="L86" i="11"/>
  <c r="K86" i="11"/>
  <c r="J86" i="11"/>
  <c r="H86" i="11"/>
  <c r="G86" i="11"/>
  <c r="E86" i="11"/>
  <c r="M85" i="11"/>
  <c r="K85" i="11"/>
  <c r="L85" i="11" s="1"/>
  <c r="J85" i="11"/>
  <c r="H85" i="11"/>
  <c r="G85" i="11"/>
  <c r="E85" i="11"/>
  <c r="M84" i="11"/>
  <c r="K84" i="11"/>
  <c r="J84" i="11"/>
  <c r="L84" i="11" s="1"/>
  <c r="H84" i="11"/>
  <c r="G84" i="11"/>
  <c r="E84" i="11"/>
  <c r="M83" i="11"/>
  <c r="L83" i="11"/>
  <c r="K83" i="11"/>
  <c r="J83" i="11"/>
  <c r="H83" i="11"/>
  <c r="G83" i="11"/>
  <c r="E83" i="11"/>
  <c r="M82" i="11"/>
  <c r="K82" i="11"/>
  <c r="J82" i="11"/>
  <c r="L82" i="11" s="1"/>
  <c r="H82" i="11"/>
  <c r="G82" i="11"/>
  <c r="E82" i="11"/>
  <c r="M81" i="11"/>
  <c r="L81" i="11"/>
  <c r="K81" i="11"/>
  <c r="J81" i="11"/>
  <c r="H81" i="11"/>
  <c r="G81" i="11"/>
  <c r="E81" i="11"/>
  <c r="M80" i="11"/>
  <c r="K80" i="11"/>
  <c r="J80" i="11"/>
  <c r="H80" i="11"/>
  <c r="G80" i="11"/>
  <c r="E80" i="11"/>
  <c r="M79" i="11"/>
  <c r="K79" i="11"/>
  <c r="J79" i="11"/>
  <c r="L79" i="11" s="1"/>
  <c r="H79" i="11"/>
  <c r="G79" i="11"/>
  <c r="E79" i="11"/>
  <c r="M78" i="11"/>
  <c r="L78" i="11"/>
  <c r="K78" i="11"/>
  <c r="J78" i="11"/>
  <c r="H78" i="11"/>
  <c r="G78" i="11"/>
  <c r="E78" i="11"/>
  <c r="M77" i="11"/>
  <c r="K77" i="11"/>
  <c r="J77" i="11"/>
  <c r="H77" i="11"/>
  <c r="G77" i="11"/>
  <c r="E77" i="11"/>
  <c r="M76" i="11"/>
  <c r="L76" i="11"/>
  <c r="K76" i="11"/>
  <c r="J76" i="11"/>
  <c r="H76" i="11"/>
  <c r="G76" i="11"/>
  <c r="E76" i="11"/>
  <c r="M75" i="11"/>
  <c r="L75" i="11"/>
  <c r="K75" i="11"/>
  <c r="J75" i="11"/>
  <c r="H75" i="11"/>
  <c r="G75" i="11"/>
  <c r="E75" i="11"/>
  <c r="M74" i="11"/>
  <c r="L74" i="11"/>
  <c r="K74" i="11"/>
  <c r="J74" i="11"/>
  <c r="H74" i="11"/>
  <c r="G74" i="11"/>
  <c r="E74" i="11"/>
  <c r="M73" i="11"/>
  <c r="K73" i="11"/>
  <c r="J73" i="11"/>
  <c r="L73" i="11" s="1"/>
  <c r="H73" i="11"/>
  <c r="G73" i="11"/>
  <c r="E73" i="11"/>
  <c r="M72" i="11"/>
  <c r="K72" i="11"/>
  <c r="J72" i="11"/>
  <c r="L72" i="11" s="1"/>
  <c r="H72" i="11"/>
  <c r="G72" i="11"/>
  <c r="E72" i="11"/>
  <c r="M71" i="11"/>
  <c r="K71" i="11"/>
  <c r="J71" i="11"/>
  <c r="L71" i="11" s="1"/>
  <c r="H71" i="11"/>
  <c r="G71" i="11"/>
  <c r="E71" i="11"/>
  <c r="M70" i="11"/>
  <c r="K70" i="11"/>
  <c r="L70" i="11" s="1"/>
  <c r="J70" i="11"/>
  <c r="H70" i="11"/>
  <c r="G70" i="11"/>
  <c r="E70" i="11"/>
  <c r="M69" i="11"/>
  <c r="L69" i="11"/>
  <c r="K69" i="11"/>
  <c r="J69" i="11"/>
  <c r="H69" i="11"/>
  <c r="G69" i="11"/>
  <c r="E69" i="11"/>
  <c r="M68" i="11"/>
  <c r="L68" i="11"/>
  <c r="K68" i="11"/>
  <c r="J68" i="11"/>
  <c r="H68" i="11"/>
  <c r="G68" i="11"/>
  <c r="E68" i="11"/>
  <c r="M67" i="11"/>
  <c r="K67" i="11"/>
  <c r="J67" i="11"/>
  <c r="L67" i="11" s="1"/>
  <c r="H67" i="11"/>
  <c r="G67" i="11"/>
  <c r="E67" i="11"/>
  <c r="M66" i="11"/>
  <c r="K66" i="11"/>
  <c r="J66" i="11"/>
  <c r="L66" i="11" s="1"/>
  <c r="H66" i="11"/>
  <c r="G66" i="11"/>
  <c r="E66" i="11"/>
  <c r="M65" i="11"/>
  <c r="K65" i="11"/>
  <c r="J65" i="11"/>
  <c r="L65" i="11" s="1"/>
  <c r="H65" i="11"/>
  <c r="G65" i="11"/>
  <c r="E65" i="11"/>
  <c r="M64" i="11"/>
  <c r="L64" i="11"/>
  <c r="K64" i="11"/>
  <c r="J64" i="11"/>
  <c r="H64" i="11"/>
  <c r="G64" i="11"/>
  <c r="E64" i="11"/>
  <c r="M63" i="11"/>
  <c r="K63" i="11"/>
  <c r="J63" i="11"/>
  <c r="L63" i="11" s="1"/>
  <c r="H63" i="11"/>
  <c r="G63" i="11"/>
  <c r="E63" i="11"/>
  <c r="M62" i="11"/>
  <c r="L62" i="11"/>
  <c r="K62" i="11"/>
  <c r="J62" i="11"/>
  <c r="H62" i="11"/>
  <c r="G62" i="11"/>
  <c r="E62" i="11"/>
  <c r="M61" i="11"/>
  <c r="L61" i="11"/>
  <c r="K61" i="11"/>
  <c r="J61" i="11"/>
  <c r="H61" i="11"/>
  <c r="G61" i="11"/>
  <c r="E61" i="11"/>
  <c r="M60" i="11"/>
  <c r="K60" i="11"/>
  <c r="J60" i="11"/>
  <c r="L60" i="11" s="1"/>
  <c r="H60" i="11"/>
  <c r="G60" i="11"/>
  <c r="E60" i="11"/>
  <c r="M59" i="11"/>
  <c r="L59" i="11"/>
  <c r="K59" i="11"/>
  <c r="J59" i="11"/>
  <c r="H59" i="11"/>
  <c r="G59" i="11"/>
  <c r="E59" i="11"/>
  <c r="M58" i="11"/>
  <c r="K58" i="11"/>
  <c r="J58" i="11"/>
  <c r="L58" i="11" s="1"/>
  <c r="H58" i="11"/>
  <c r="G58" i="11"/>
  <c r="E58" i="11"/>
  <c r="M57" i="11"/>
  <c r="L57" i="11"/>
  <c r="K57" i="11"/>
  <c r="J57" i="11"/>
  <c r="H57" i="11"/>
  <c r="G57" i="11"/>
  <c r="E57" i="11"/>
  <c r="M56" i="11"/>
  <c r="L56" i="11"/>
  <c r="K56" i="11"/>
  <c r="J56" i="11"/>
  <c r="H56" i="11"/>
  <c r="G56" i="11"/>
  <c r="E56" i="11"/>
  <c r="M55" i="11"/>
  <c r="K55" i="11"/>
  <c r="J55" i="11"/>
  <c r="L55" i="11" s="1"/>
  <c r="H55" i="11"/>
  <c r="G55" i="11"/>
  <c r="E55" i="11"/>
  <c r="M54" i="11"/>
  <c r="K54" i="11"/>
  <c r="L54" i="11" s="1"/>
  <c r="J54" i="11"/>
  <c r="H54" i="11"/>
  <c r="G54" i="11"/>
  <c r="E54" i="11"/>
  <c r="M53" i="11"/>
  <c r="K53" i="11"/>
  <c r="J53" i="11"/>
  <c r="L53" i="11" s="1"/>
  <c r="H53" i="11"/>
  <c r="G53" i="11"/>
  <c r="E53" i="11"/>
  <c r="M52" i="11"/>
  <c r="L52" i="11"/>
  <c r="K52" i="11"/>
  <c r="J52" i="11"/>
  <c r="H52" i="11"/>
  <c r="G52" i="11"/>
  <c r="E52" i="11"/>
  <c r="M51" i="11"/>
  <c r="L51" i="11"/>
  <c r="K51" i="11"/>
  <c r="H51" i="11"/>
  <c r="J51" i="11" s="1"/>
  <c r="G51" i="11"/>
  <c r="E51" i="11"/>
  <c r="M50" i="11"/>
  <c r="K50" i="11"/>
  <c r="H50" i="11"/>
  <c r="J50" i="11" s="1"/>
  <c r="L50" i="11" s="1"/>
  <c r="G50" i="11"/>
  <c r="E50" i="11"/>
  <c r="M49" i="11"/>
  <c r="L49" i="11"/>
  <c r="K49" i="11"/>
  <c r="H49" i="11"/>
  <c r="J49" i="11" s="1"/>
  <c r="G49" i="11"/>
  <c r="E49" i="11"/>
  <c r="K48" i="11"/>
  <c r="H48" i="11"/>
  <c r="J48" i="11" s="1"/>
  <c r="G48" i="11"/>
  <c r="E48" i="11"/>
  <c r="M47" i="11"/>
  <c r="L47" i="11"/>
  <c r="K47" i="11"/>
  <c r="J47" i="11"/>
  <c r="H47" i="11"/>
  <c r="G47" i="11"/>
  <c r="E47" i="11"/>
  <c r="K46" i="11"/>
  <c r="H46" i="11"/>
  <c r="J46" i="11" s="1"/>
  <c r="G46" i="11"/>
  <c r="E46" i="11"/>
  <c r="M45" i="11"/>
  <c r="K45" i="11"/>
  <c r="H45" i="11"/>
  <c r="J45" i="11" s="1"/>
  <c r="L45" i="11" s="1"/>
  <c r="G45" i="11"/>
  <c r="E45" i="11"/>
  <c r="K44" i="11"/>
  <c r="H44" i="11"/>
  <c r="J44" i="11" s="1"/>
  <c r="G44" i="11"/>
  <c r="E44" i="11"/>
  <c r="K43" i="11"/>
  <c r="H43" i="11"/>
  <c r="J43" i="11" s="1"/>
  <c r="G43" i="11"/>
  <c r="E43" i="11"/>
  <c r="K42" i="11"/>
  <c r="H42" i="11"/>
  <c r="J42" i="11" s="1"/>
  <c r="G42" i="11"/>
  <c r="E42" i="11"/>
  <c r="K41" i="11"/>
  <c r="H41" i="11"/>
  <c r="J41" i="11" s="1"/>
  <c r="G41" i="11"/>
  <c r="E41" i="11"/>
  <c r="M40" i="11"/>
  <c r="L40" i="11"/>
  <c r="K40" i="11"/>
  <c r="J40" i="11"/>
  <c r="H40" i="11"/>
  <c r="G40" i="11"/>
  <c r="E40" i="11"/>
  <c r="M39" i="11"/>
  <c r="K39" i="11"/>
  <c r="J39" i="11"/>
  <c r="L39" i="11" s="1"/>
  <c r="H39" i="11"/>
  <c r="G39" i="11"/>
  <c r="E39" i="11"/>
  <c r="K38" i="11"/>
  <c r="H38" i="11"/>
  <c r="J38" i="11" s="1"/>
  <c r="L38" i="11" s="1"/>
  <c r="G38" i="11"/>
  <c r="E38" i="11"/>
  <c r="K37" i="11"/>
  <c r="H37" i="11"/>
  <c r="J37" i="11" s="1"/>
  <c r="G37" i="11"/>
  <c r="E37" i="11"/>
  <c r="K36" i="11"/>
  <c r="H36" i="11"/>
  <c r="J36" i="11" s="1"/>
  <c r="G36" i="11"/>
  <c r="E36" i="11"/>
  <c r="K35" i="11"/>
  <c r="J35" i="11"/>
  <c r="H35" i="11"/>
  <c r="G35" i="11"/>
  <c r="E35" i="11"/>
  <c r="K34" i="11"/>
  <c r="H34" i="11"/>
  <c r="J34" i="11" s="1"/>
  <c r="G34" i="11"/>
  <c r="E34" i="11"/>
  <c r="K33" i="11"/>
  <c r="H33" i="11"/>
  <c r="J33" i="11" s="1"/>
  <c r="G33" i="11"/>
  <c r="E33" i="11"/>
  <c r="K32" i="11"/>
  <c r="J32" i="11"/>
  <c r="H32" i="11"/>
  <c r="G32" i="11"/>
  <c r="E32" i="11"/>
  <c r="K31" i="11"/>
  <c r="H31" i="11"/>
  <c r="J31" i="11" s="1"/>
  <c r="G31" i="11"/>
  <c r="E31" i="11"/>
  <c r="K30" i="11"/>
  <c r="H30" i="11"/>
  <c r="J30" i="11" s="1"/>
  <c r="G30" i="11"/>
  <c r="E30" i="11"/>
  <c r="K29" i="11"/>
  <c r="H29" i="11"/>
  <c r="J29" i="11" s="1"/>
  <c r="G29" i="11"/>
  <c r="E29" i="11"/>
  <c r="M28" i="11"/>
  <c r="K28" i="11"/>
  <c r="L28" i="11" s="1"/>
  <c r="J28" i="11"/>
  <c r="H28" i="11"/>
  <c r="G28" i="11"/>
  <c r="E28" i="11"/>
  <c r="K27" i="11"/>
  <c r="H27" i="11"/>
  <c r="J27" i="11" s="1"/>
  <c r="G27" i="11"/>
  <c r="E27" i="11"/>
  <c r="K26" i="11"/>
  <c r="H26" i="11"/>
  <c r="J26" i="11" s="1"/>
  <c r="G26" i="11"/>
  <c r="E26" i="11"/>
  <c r="K25" i="11"/>
  <c r="J25" i="11"/>
  <c r="H25" i="11"/>
  <c r="G25" i="11"/>
  <c r="E25" i="11"/>
  <c r="K24" i="11"/>
  <c r="H24" i="11"/>
  <c r="J24" i="11" s="1"/>
  <c r="G24" i="11"/>
  <c r="E24" i="11"/>
  <c r="K23" i="11"/>
  <c r="J23" i="11"/>
  <c r="H23" i="11"/>
  <c r="G23" i="11"/>
  <c r="E23" i="11"/>
  <c r="K22" i="11"/>
  <c r="H22" i="11"/>
  <c r="J22" i="11" s="1"/>
  <c r="G22" i="11"/>
  <c r="E22" i="11"/>
  <c r="L21" i="11"/>
  <c r="K21" i="11"/>
  <c r="H21" i="11"/>
  <c r="J21" i="11" s="1"/>
  <c r="M21" i="11" s="1"/>
  <c r="G21" i="11"/>
  <c r="E21" i="11"/>
  <c r="K20" i="11"/>
  <c r="J20" i="11"/>
  <c r="H20" i="11"/>
  <c r="G20" i="11"/>
  <c r="E20" i="11"/>
  <c r="K19" i="11"/>
  <c r="H19" i="11"/>
  <c r="J19" i="11" s="1"/>
  <c r="G19" i="11"/>
  <c r="E19" i="11"/>
  <c r="K18" i="11"/>
  <c r="J18" i="11"/>
  <c r="H18" i="11"/>
  <c r="G18" i="11"/>
  <c r="E18" i="11"/>
  <c r="K17" i="11"/>
  <c r="H17" i="11"/>
  <c r="J17" i="11" s="1"/>
  <c r="G17" i="11"/>
  <c r="E17" i="11"/>
  <c r="M16" i="11"/>
  <c r="K16" i="11"/>
  <c r="L16" i="11" s="1"/>
  <c r="J16" i="11"/>
  <c r="H16" i="11"/>
  <c r="G16" i="11"/>
  <c r="E16" i="11"/>
  <c r="L15" i="11"/>
  <c r="K15" i="11"/>
  <c r="J15" i="11"/>
  <c r="M15" i="11" s="1"/>
  <c r="H15" i="11"/>
  <c r="G15" i="11"/>
  <c r="E15" i="11"/>
  <c r="K14" i="11"/>
  <c r="H14" i="11"/>
  <c r="J14" i="11" s="1"/>
  <c r="G14" i="11"/>
  <c r="E14" i="11"/>
  <c r="K13" i="11"/>
  <c r="J13" i="11"/>
  <c r="H13" i="11"/>
  <c r="G13" i="11"/>
  <c r="E13" i="11"/>
  <c r="K12" i="11"/>
  <c r="J12" i="11"/>
  <c r="H12" i="11"/>
  <c r="G12" i="11"/>
  <c r="E12" i="11"/>
  <c r="K11" i="11"/>
  <c r="J11" i="11"/>
  <c r="H11" i="11"/>
  <c r="G11" i="11"/>
  <c r="E11" i="11"/>
  <c r="K10" i="11"/>
  <c r="H10" i="11"/>
  <c r="J10" i="11" s="1"/>
  <c r="G10" i="11"/>
  <c r="E10" i="11"/>
  <c r="M9" i="11"/>
  <c r="L9" i="11"/>
  <c r="K9" i="11"/>
  <c r="H9" i="11"/>
  <c r="J9" i="11" s="1"/>
  <c r="G9" i="11"/>
  <c r="E9" i="11"/>
  <c r="K8" i="11"/>
  <c r="J8" i="11"/>
  <c r="H8" i="11"/>
  <c r="G8" i="11"/>
  <c r="E8" i="11"/>
  <c r="K7" i="11"/>
  <c r="H7" i="11"/>
  <c r="J7" i="11" s="1"/>
  <c r="G7" i="11"/>
  <c r="E7" i="11"/>
  <c r="K6" i="11"/>
  <c r="H6" i="11"/>
  <c r="J6" i="11" s="1"/>
  <c r="G6" i="11"/>
  <c r="E6" i="11"/>
  <c r="K5" i="11"/>
  <c r="J5" i="11"/>
  <c r="H5" i="11"/>
  <c r="G5" i="11"/>
  <c r="E5" i="11"/>
  <c r="M304" i="10"/>
  <c r="K304" i="10"/>
  <c r="L304" i="10" s="1"/>
  <c r="J304" i="10"/>
  <c r="H304" i="10"/>
  <c r="G304" i="10"/>
  <c r="E304" i="10"/>
  <c r="M303" i="10"/>
  <c r="K303" i="10"/>
  <c r="L303" i="10" s="1"/>
  <c r="J303" i="10"/>
  <c r="H303" i="10"/>
  <c r="G303" i="10"/>
  <c r="E303" i="10"/>
  <c r="M302" i="10"/>
  <c r="L302" i="10"/>
  <c r="K302" i="10"/>
  <c r="J302" i="10"/>
  <c r="H302" i="10"/>
  <c r="G302" i="10"/>
  <c r="E302" i="10"/>
  <c r="M301" i="10"/>
  <c r="L301" i="10"/>
  <c r="K301" i="10"/>
  <c r="J301" i="10"/>
  <c r="H301" i="10"/>
  <c r="G301" i="10"/>
  <c r="E301" i="10"/>
  <c r="M300" i="10"/>
  <c r="K300" i="10"/>
  <c r="J300" i="10"/>
  <c r="L300" i="10" s="1"/>
  <c r="H300" i="10"/>
  <c r="G300" i="10"/>
  <c r="E300" i="10"/>
  <c r="M299" i="10"/>
  <c r="K299" i="10"/>
  <c r="J299" i="10"/>
  <c r="L299" i="10" s="1"/>
  <c r="H299" i="10"/>
  <c r="G299" i="10"/>
  <c r="E299" i="10"/>
  <c r="M298" i="10"/>
  <c r="K298" i="10"/>
  <c r="J298" i="10"/>
  <c r="L298" i="10" s="1"/>
  <c r="H298" i="10"/>
  <c r="G298" i="10"/>
  <c r="E298" i="10"/>
  <c r="M297" i="10"/>
  <c r="L297" i="10"/>
  <c r="K297" i="10"/>
  <c r="J297" i="10"/>
  <c r="H297" i="10"/>
  <c r="G297" i="10"/>
  <c r="E297" i="10"/>
  <c r="M296" i="10"/>
  <c r="K296" i="10"/>
  <c r="L296" i="10" s="1"/>
  <c r="J296" i="10"/>
  <c r="H296" i="10"/>
  <c r="G296" i="10"/>
  <c r="E296" i="10"/>
  <c r="M295" i="10"/>
  <c r="K295" i="10"/>
  <c r="J295" i="10"/>
  <c r="L295" i="10" s="1"/>
  <c r="H295" i="10"/>
  <c r="G295" i="10"/>
  <c r="E295" i="10"/>
  <c r="M294" i="10"/>
  <c r="L294" i="10"/>
  <c r="K294" i="10"/>
  <c r="J294" i="10"/>
  <c r="H294" i="10"/>
  <c r="G294" i="10"/>
  <c r="E294" i="10"/>
  <c r="M293" i="10"/>
  <c r="K293" i="10"/>
  <c r="J293" i="10"/>
  <c r="H293" i="10"/>
  <c r="G293" i="10"/>
  <c r="E293" i="10"/>
  <c r="M292" i="10"/>
  <c r="L292" i="10"/>
  <c r="K292" i="10"/>
  <c r="J292" i="10"/>
  <c r="H292" i="10"/>
  <c r="G292" i="10"/>
  <c r="E292" i="10"/>
  <c r="M291" i="10"/>
  <c r="K291" i="10"/>
  <c r="J291" i="10"/>
  <c r="L291" i="10" s="1"/>
  <c r="H291" i="10"/>
  <c r="G291" i="10"/>
  <c r="E291" i="10"/>
  <c r="M290" i="10"/>
  <c r="L290" i="10"/>
  <c r="K290" i="10"/>
  <c r="J290" i="10"/>
  <c r="H290" i="10"/>
  <c r="G290" i="10"/>
  <c r="E290" i="10"/>
  <c r="M289" i="10"/>
  <c r="K289" i="10"/>
  <c r="J289" i="10"/>
  <c r="L289" i="10" s="1"/>
  <c r="H289" i="10"/>
  <c r="G289" i="10"/>
  <c r="E289" i="10"/>
  <c r="M288" i="10"/>
  <c r="K288" i="10"/>
  <c r="J288" i="10"/>
  <c r="L288" i="10" s="1"/>
  <c r="H288" i="10"/>
  <c r="G288" i="10"/>
  <c r="E288" i="10"/>
  <c r="M287" i="10"/>
  <c r="K287" i="10"/>
  <c r="L287" i="10" s="1"/>
  <c r="J287" i="10"/>
  <c r="H287" i="10"/>
  <c r="G287" i="10"/>
  <c r="E287" i="10"/>
  <c r="M286" i="10"/>
  <c r="L286" i="10"/>
  <c r="K286" i="10"/>
  <c r="J286" i="10"/>
  <c r="H286" i="10"/>
  <c r="G286" i="10"/>
  <c r="E286" i="10"/>
  <c r="M285" i="10"/>
  <c r="L285" i="10"/>
  <c r="K285" i="10"/>
  <c r="J285" i="10"/>
  <c r="H285" i="10"/>
  <c r="G285" i="10"/>
  <c r="E285" i="10"/>
  <c r="M284" i="10"/>
  <c r="K284" i="10"/>
  <c r="J284" i="10"/>
  <c r="L284" i="10" s="1"/>
  <c r="H284" i="10"/>
  <c r="G284" i="10"/>
  <c r="E284" i="10"/>
  <c r="M283" i="10"/>
  <c r="K283" i="10"/>
  <c r="J283" i="10"/>
  <c r="L283" i="10" s="1"/>
  <c r="H283" i="10"/>
  <c r="G283" i="10"/>
  <c r="E283" i="10"/>
  <c r="M282" i="10"/>
  <c r="K282" i="10"/>
  <c r="J282" i="10"/>
  <c r="L282" i="10" s="1"/>
  <c r="H282" i="10"/>
  <c r="G282" i="10"/>
  <c r="E282" i="10"/>
  <c r="M281" i="10"/>
  <c r="K281" i="10"/>
  <c r="J281" i="10"/>
  <c r="L281" i="10" s="1"/>
  <c r="H281" i="10"/>
  <c r="G281" i="10"/>
  <c r="E281" i="10"/>
  <c r="M280" i="10"/>
  <c r="K280" i="10"/>
  <c r="L280" i="10" s="1"/>
  <c r="J280" i="10"/>
  <c r="H280" i="10"/>
  <c r="G280" i="10"/>
  <c r="E280" i="10"/>
  <c r="M279" i="10"/>
  <c r="L279" i="10"/>
  <c r="K279" i="10"/>
  <c r="J279" i="10"/>
  <c r="H279" i="10"/>
  <c r="G279" i="10"/>
  <c r="E279" i="10"/>
  <c r="M278" i="10"/>
  <c r="L278" i="10"/>
  <c r="K278" i="10"/>
  <c r="J278" i="10"/>
  <c r="H278" i="10"/>
  <c r="G278" i="10"/>
  <c r="E278" i="10"/>
  <c r="M277" i="10"/>
  <c r="L277" i="10"/>
  <c r="K277" i="10"/>
  <c r="J277" i="10"/>
  <c r="H277" i="10"/>
  <c r="G277" i="10"/>
  <c r="E277" i="10"/>
  <c r="M276" i="10"/>
  <c r="K276" i="10"/>
  <c r="J276" i="10"/>
  <c r="L276" i="10" s="1"/>
  <c r="H276" i="10"/>
  <c r="G276" i="10"/>
  <c r="E276" i="10"/>
  <c r="M275" i="10"/>
  <c r="K275" i="10"/>
  <c r="J275" i="10"/>
  <c r="L275" i="10" s="1"/>
  <c r="H275" i="10"/>
  <c r="G275" i="10"/>
  <c r="E275" i="10"/>
  <c r="M274" i="10"/>
  <c r="K274" i="10"/>
  <c r="J274" i="10"/>
  <c r="L274" i="10" s="1"/>
  <c r="H274" i="10"/>
  <c r="G274" i="10"/>
  <c r="E274" i="10"/>
  <c r="M273" i="10"/>
  <c r="L273" i="10"/>
  <c r="K273" i="10"/>
  <c r="J273" i="10"/>
  <c r="H273" i="10"/>
  <c r="G273" i="10"/>
  <c r="E273" i="10"/>
  <c r="M272" i="10"/>
  <c r="K272" i="10"/>
  <c r="J272" i="10"/>
  <c r="L272" i="10" s="1"/>
  <c r="H272" i="10"/>
  <c r="G272" i="10"/>
  <c r="E272" i="10"/>
  <c r="M271" i="10"/>
  <c r="K271" i="10"/>
  <c r="J271" i="10"/>
  <c r="L271" i="10" s="1"/>
  <c r="H271" i="10"/>
  <c r="G271" i="10"/>
  <c r="E271" i="10"/>
  <c r="M270" i="10"/>
  <c r="K270" i="10"/>
  <c r="L270" i="10" s="1"/>
  <c r="J270" i="10"/>
  <c r="H270" i="10"/>
  <c r="G270" i="10"/>
  <c r="E270" i="10"/>
  <c r="M269" i="10"/>
  <c r="K269" i="10"/>
  <c r="J269" i="10"/>
  <c r="H269" i="10"/>
  <c r="G269" i="10"/>
  <c r="E269" i="10"/>
  <c r="M268" i="10"/>
  <c r="L268" i="10"/>
  <c r="K268" i="10"/>
  <c r="J268" i="10"/>
  <c r="H268" i="10"/>
  <c r="G268" i="10"/>
  <c r="E268" i="10"/>
  <c r="M267" i="10"/>
  <c r="K267" i="10"/>
  <c r="J267" i="10"/>
  <c r="L267" i="10" s="1"/>
  <c r="H267" i="10"/>
  <c r="G267" i="10"/>
  <c r="E267" i="10"/>
  <c r="M266" i="10"/>
  <c r="L266" i="10"/>
  <c r="K266" i="10"/>
  <c r="J266" i="10"/>
  <c r="H266" i="10"/>
  <c r="G266" i="10"/>
  <c r="E266" i="10"/>
  <c r="M265" i="10"/>
  <c r="K265" i="10"/>
  <c r="J265" i="10"/>
  <c r="L265" i="10" s="1"/>
  <c r="H265" i="10"/>
  <c r="G265" i="10"/>
  <c r="E265" i="10"/>
  <c r="M264" i="10"/>
  <c r="K264" i="10"/>
  <c r="J264" i="10"/>
  <c r="L264" i="10" s="1"/>
  <c r="H264" i="10"/>
  <c r="G264" i="10"/>
  <c r="E264" i="10"/>
  <c r="M263" i="10"/>
  <c r="K263" i="10"/>
  <c r="J263" i="10"/>
  <c r="L263" i="10" s="1"/>
  <c r="H263" i="10"/>
  <c r="G263" i="10"/>
  <c r="E263" i="10"/>
  <c r="M262" i="10"/>
  <c r="L262" i="10"/>
  <c r="K262" i="10"/>
  <c r="J262" i="10"/>
  <c r="H262" i="10"/>
  <c r="G262" i="10"/>
  <c r="E262" i="10"/>
  <c r="M261" i="10"/>
  <c r="L261" i="10"/>
  <c r="K261" i="10"/>
  <c r="J261" i="10"/>
  <c r="H261" i="10"/>
  <c r="G261" i="10"/>
  <c r="E261" i="10"/>
  <c r="M260" i="10"/>
  <c r="K260" i="10"/>
  <c r="J260" i="10"/>
  <c r="L260" i="10" s="1"/>
  <c r="H260" i="10"/>
  <c r="G260" i="10"/>
  <c r="E260" i="10"/>
  <c r="M259" i="10"/>
  <c r="K259" i="10"/>
  <c r="J259" i="10"/>
  <c r="L259" i="10" s="1"/>
  <c r="H259" i="10"/>
  <c r="G259" i="10"/>
  <c r="E259" i="10"/>
  <c r="M258" i="10"/>
  <c r="K258" i="10"/>
  <c r="J258" i="10"/>
  <c r="L258" i="10" s="1"/>
  <c r="H258" i="10"/>
  <c r="G258" i="10"/>
  <c r="E258" i="10"/>
  <c r="M257" i="10"/>
  <c r="K257" i="10"/>
  <c r="J257" i="10"/>
  <c r="H257" i="10"/>
  <c r="G257" i="10"/>
  <c r="E257" i="10"/>
  <c r="M256" i="10"/>
  <c r="K256" i="10"/>
  <c r="L256" i="10" s="1"/>
  <c r="J256" i="10"/>
  <c r="H256" i="10"/>
  <c r="G256" i="10"/>
  <c r="E256" i="10"/>
  <c r="M255" i="10"/>
  <c r="L255" i="10"/>
  <c r="K255" i="10"/>
  <c r="J255" i="10"/>
  <c r="H255" i="10"/>
  <c r="G255" i="10"/>
  <c r="E255" i="10"/>
  <c r="M254" i="10"/>
  <c r="L254" i="10"/>
  <c r="K254" i="10"/>
  <c r="J254" i="10"/>
  <c r="H254" i="10"/>
  <c r="G254" i="10"/>
  <c r="E254" i="10"/>
  <c r="M253" i="10"/>
  <c r="L253" i="10"/>
  <c r="K253" i="10"/>
  <c r="J253" i="10"/>
  <c r="H253" i="10"/>
  <c r="G253" i="10"/>
  <c r="E253" i="10"/>
  <c r="M252" i="10"/>
  <c r="K252" i="10"/>
  <c r="J252" i="10"/>
  <c r="L252" i="10" s="1"/>
  <c r="H252" i="10"/>
  <c r="G252" i="10"/>
  <c r="E252" i="10"/>
  <c r="M251" i="10"/>
  <c r="K251" i="10"/>
  <c r="J251" i="10"/>
  <c r="L251" i="10" s="1"/>
  <c r="H251" i="10"/>
  <c r="G251" i="10"/>
  <c r="E251" i="10"/>
  <c r="M250" i="10"/>
  <c r="K250" i="10"/>
  <c r="J250" i="10"/>
  <c r="L250" i="10" s="1"/>
  <c r="H250" i="10"/>
  <c r="G250" i="10"/>
  <c r="E250" i="10"/>
  <c r="M249" i="10"/>
  <c r="K249" i="10"/>
  <c r="L249" i="10" s="1"/>
  <c r="J249" i="10"/>
  <c r="H249" i="10"/>
  <c r="G249" i="10"/>
  <c r="E249" i="10"/>
  <c r="M248" i="10"/>
  <c r="K248" i="10"/>
  <c r="L248" i="10" s="1"/>
  <c r="J248" i="10"/>
  <c r="H248" i="10"/>
  <c r="G248" i="10"/>
  <c r="E248" i="10"/>
  <c r="M247" i="10"/>
  <c r="K247" i="10"/>
  <c r="J247" i="10"/>
  <c r="L247" i="10" s="1"/>
  <c r="H247" i="10"/>
  <c r="G247" i="10"/>
  <c r="E247" i="10"/>
  <c r="M246" i="10"/>
  <c r="L246" i="10"/>
  <c r="K246" i="10"/>
  <c r="J246" i="10"/>
  <c r="H246" i="10"/>
  <c r="G246" i="10"/>
  <c r="E246" i="10"/>
  <c r="M245" i="10"/>
  <c r="K245" i="10"/>
  <c r="J245" i="10"/>
  <c r="H245" i="10"/>
  <c r="G245" i="10"/>
  <c r="E245" i="10"/>
  <c r="M244" i="10"/>
  <c r="L244" i="10"/>
  <c r="K244" i="10"/>
  <c r="J244" i="10"/>
  <c r="H244" i="10"/>
  <c r="G244" i="10"/>
  <c r="E244" i="10"/>
  <c r="M243" i="10"/>
  <c r="K243" i="10"/>
  <c r="J243" i="10"/>
  <c r="L243" i="10" s="1"/>
  <c r="H243" i="10"/>
  <c r="G243" i="10"/>
  <c r="E243" i="10"/>
  <c r="M242" i="10"/>
  <c r="L242" i="10"/>
  <c r="K242" i="10"/>
  <c r="J242" i="10"/>
  <c r="H242" i="10"/>
  <c r="G242" i="10"/>
  <c r="E242" i="10"/>
  <c r="M241" i="10"/>
  <c r="L241" i="10"/>
  <c r="K241" i="10"/>
  <c r="J241" i="10"/>
  <c r="H241" i="10"/>
  <c r="G241" i="10"/>
  <c r="E241" i="10"/>
  <c r="M240" i="10"/>
  <c r="K240" i="10"/>
  <c r="J240" i="10"/>
  <c r="L240" i="10" s="1"/>
  <c r="H240" i="10"/>
  <c r="G240" i="10"/>
  <c r="E240" i="10"/>
  <c r="M239" i="10"/>
  <c r="K239" i="10"/>
  <c r="L239" i="10" s="1"/>
  <c r="J239" i="10"/>
  <c r="H239" i="10"/>
  <c r="G239" i="10"/>
  <c r="E239" i="10"/>
  <c r="M238" i="10"/>
  <c r="L238" i="10"/>
  <c r="K238" i="10"/>
  <c r="J238" i="10"/>
  <c r="H238" i="10"/>
  <c r="G238" i="10"/>
  <c r="E238" i="10"/>
  <c r="M237" i="10"/>
  <c r="L237" i="10"/>
  <c r="K237" i="10"/>
  <c r="J237" i="10"/>
  <c r="H237" i="10"/>
  <c r="G237" i="10"/>
  <c r="E237" i="10"/>
  <c r="M236" i="10"/>
  <c r="K236" i="10"/>
  <c r="J236" i="10"/>
  <c r="L236" i="10" s="1"/>
  <c r="H236" i="10"/>
  <c r="G236" i="10"/>
  <c r="E236" i="10"/>
  <c r="M235" i="10"/>
  <c r="K235" i="10"/>
  <c r="J235" i="10"/>
  <c r="L235" i="10" s="1"/>
  <c r="H235" i="10"/>
  <c r="G235" i="10"/>
  <c r="E235" i="10"/>
  <c r="M234" i="10"/>
  <c r="K234" i="10"/>
  <c r="J234" i="10"/>
  <c r="L234" i="10" s="1"/>
  <c r="H234" i="10"/>
  <c r="G234" i="10"/>
  <c r="E234" i="10"/>
  <c r="M233" i="10"/>
  <c r="K233" i="10"/>
  <c r="J233" i="10"/>
  <c r="L233" i="10" s="1"/>
  <c r="H233" i="10"/>
  <c r="G233" i="10"/>
  <c r="E233" i="10"/>
  <c r="M232" i="10"/>
  <c r="K232" i="10"/>
  <c r="J232" i="10"/>
  <c r="L232" i="10" s="1"/>
  <c r="H232" i="10"/>
  <c r="G232" i="10"/>
  <c r="E232" i="10"/>
  <c r="M231" i="10"/>
  <c r="K231" i="10"/>
  <c r="L231" i="10" s="1"/>
  <c r="J231" i="10"/>
  <c r="H231" i="10"/>
  <c r="G231" i="10"/>
  <c r="E231" i="10"/>
  <c r="M230" i="10"/>
  <c r="L230" i="10"/>
  <c r="K230" i="10"/>
  <c r="J230" i="10"/>
  <c r="H230" i="10"/>
  <c r="G230" i="10"/>
  <c r="E230" i="10"/>
  <c r="M229" i="10"/>
  <c r="L229" i="10"/>
  <c r="K229" i="10"/>
  <c r="J229" i="10"/>
  <c r="H229" i="10"/>
  <c r="G229" i="10"/>
  <c r="E229" i="10"/>
  <c r="M228" i="10"/>
  <c r="K228" i="10"/>
  <c r="J228" i="10"/>
  <c r="L228" i="10" s="1"/>
  <c r="H228" i="10"/>
  <c r="G228" i="10"/>
  <c r="E228" i="10"/>
  <c r="M227" i="10"/>
  <c r="K227" i="10"/>
  <c r="J227" i="10"/>
  <c r="L227" i="10" s="1"/>
  <c r="H227" i="10"/>
  <c r="G227" i="10"/>
  <c r="E227" i="10"/>
  <c r="M226" i="10"/>
  <c r="K226" i="10"/>
  <c r="J226" i="10"/>
  <c r="L226" i="10" s="1"/>
  <c r="H226" i="10"/>
  <c r="G226" i="10"/>
  <c r="E226" i="10"/>
  <c r="M225" i="10"/>
  <c r="L225" i="10"/>
  <c r="K225" i="10"/>
  <c r="J225" i="10"/>
  <c r="H225" i="10"/>
  <c r="G225" i="10"/>
  <c r="E225" i="10"/>
  <c r="M224" i="10"/>
  <c r="K224" i="10"/>
  <c r="J224" i="10"/>
  <c r="L224" i="10" s="1"/>
  <c r="H224" i="10"/>
  <c r="G224" i="10"/>
  <c r="E224" i="10"/>
  <c r="M223" i="10"/>
  <c r="K223" i="10"/>
  <c r="J223" i="10"/>
  <c r="L223" i="10" s="1"/>
  <c r="H223" i="10"/>
  <c r="G223" i="10"/>
  <c r="E223" i="10"/>
  <c r="M222" i="10"/>
  <c r="K222" i="10"/>
  <c r="L222" i="10" s="1"/>
  <c r="J222" i="10"/>
  <c r="H222" i="10"/>
  <c r="G222" i="10"/>
  <c r="E222" i="10"/>
  <c r="M221" i="10"/>
  <c r="K221" i="10"/>
  <c r="J221" i="10"/>
  <c r="H221" i="10"/>
  <c r="G221" i="10"/>
  <c r="E221" i="10"/>
  <c r="M220" i="10"/>
  <c r="L220" i="10"/>
  <c r="K220" i="10"/>
  <c r="J220" i="10"/>
  <c r="H220" i="10"/>
  <c r="G220" i="10"/>
  <c r="E220" i="10"/>
  <c r="M219" i="10"/>
  <c r="K219" i="10"/>
  <c r="J219" i="10"/>
  <c r="L219" i="10" s="1"/>
  <c r="H219" i="10"/>
  <c r="G219" i="10"/>
  <c r="E219" i="10"/>
  <c r="M218" i="10"/>
  <c r="L218" i="10"/>
  <c r="K218" i="10"/>
  <c r="J218" i="10"/>
  <c r="H218" i="10"/>
  <c r="G218" i="10"/>
  <c r="E218" i="10"/>
  <c r="M217" i="10"/>
  <c r="K217" i="10"/>
  <c r="J217" i="10"/>
  <c r="L217" i="10" s="1"/>
  <c r="H217" i="10"/>
  <c r="G217" i="10"/>
  <c r="E217" i="10"/>
  <c r="M216" i="10"/>
  <c r="K216" i="10"/>
  <c r="J216" i="10"/>
  <c r="L216" i="10" s="1"/>
  <c r="H216" i="10"/>
  <c r="G216" i="10"/>
  <c r="E216" i="10"/>
  <c r="M215" i="10"/>
  <c r="K215" i="10"/>
  <c r="J215" i="10"/>
  <c r="L215" i="10" s="1"/>
  <c r="H215" i="10"/>
  <c r="G215" i="10"/>
  <c r="E215" i="10"/>
  <c r="M214" i="10"/>
  <c r="L214" i="10"/>
  <c r="K214" i="10"/>
  <c r="J214" i="10"/>
  <c r="H214" i="10"/>
  <c r="G214" i="10"/>
  <c r="E214" i="10"/>
  <c r="M213" i="10"/>
  <c r="L213" i="10"/>
  <c r="K213" i="10"/>
  <c r="J213" i="10"/>
  <c r="H213" i="10"/>
  <c r="G213" i="10"/>
  <c r="E213" i="10"/>
  <c r="M212" i="10"/>
  <c r="K212" i="10"/>
  <c r="J212" i="10"/>
  <c r="L212" i="10" s="1"/>
  <c r="H212" i="10"/>
  <c r="G212" i="10"/>
  <c r="E212" i="10"/>
  <c r="M211" i="10"/>
  <c r="K211" i="10"/>
  <c r="J211" i="10"/>
  <c r="L211" i="10" s="1"/>
  <c r="H211" i="10"/>
  <c r="G211" i="10"/>
  <c r="E211" i="10"/>
  <c r="M210" i="10"/>
  <c r="K210" i="10"/>
  <c r="J210" i="10"/>
  <c r="L210" i="10" s="1"/>
  <c r="H210" i="10"/>
  <c r="G210" i="10"/>
  <c r="E210" i="10"/>
  <c r="M209" i="10"/>
  <c r="K209" i="10"/>
  <c r="J209" i="10"/>
  <c r="L209" i="10" s="1"/>
  <c r="H209" i="10"/>
  <c r="G209" i="10"/>
  <c r="E209" i="10"/>
  <c r="M208" i="10"/>
  <c r="K208" i="10"/>
  <c r="J208" i="10"/>
  <c r="L208" i="10" s="1"/>
  <c r="H208" i="10"/>
  <c r="G208" i="10"/>
  <c r="E208" i="10"/>
  <c r="M207" i="10"/>
  <c r="K207" i="10"/>
  <c r="L207" i="10" s="1"/>
  <c r="J207" i="10"/>
  <c r="H207" i="10"/>
  <c r="G207" i="10"/>
  <c r="E207" i="10"/>
  <c r="M206" i="10"/>
  <c r="L206" i="10"/>
  <c r="K206" i="10"/>
  <c r="J206" i="10"/>
  <c r="H206" i="10"/>
  <c r="G206" i="10"/>
  <c r="E206" i="10"/>
  <c r="M205" i="10"/>
  <c r="L205" i="10"/>
  <c r="K205" i="10"/>
  <c r="J205" i="10"/>
  <c r="H205" i="10"/>
  <c r="G205" i="10"/>
  <c r="E205" i="10"/>
  <c r="M204" i="10"/>
  <c r="K204" i="10"/>
  <c r="J204" i="10"/>
  <c r="L204" i="10" s="1"/>
  <c r="H204" i="10"/>
  <c r="G204" i="10"/>
  <c r="E204" i="10"/>
  <c r="M203" i="10"/>
  <c r="K203" i="10"/>
  <c r="J203" i="10"/>
  <c r="L203" i="10" s="1"/>
  <c r="H203" i="10"/>
  <c r="G203" i="10"/>
  <c r="E203" i="10"/>
  <c r="M202" i="10"/>
  <c r="K202" i="10"/>
  <c r="J202" i="10"/>
  <c r="L202" i="10" s="1"/>
  <c r="H202" i="10"/>
  <c r="G202" i="10"/>
  <c r="E202" i="10"/>
  <c r="M201" i="10"/>
  <c r="K201" i="10"/>
  <c r="L201" i="10" s="1"/>
  <c r="J201" i="10"/>
  <c r="H201" i="10"/>
  <c r="G201" i="10"/>
  <c r="E201" i="10"/>
  <c r="M200" i="10"/>
  <c r="K200" i="10"/>
  <c r="L200" i="10" s="1"/>
  <c r="J200" i="10"/>
  <c r="H200" i="10"/>
  <c r="G200" i="10"/>
  <c r="E200" i="10"/>
  <c r="M199" i="10"/>
  <c r="K199" i="10"/>
  <c r="J199" i="10"/>
  <c r="L199" i="10" s="1"/>
  <c r="H199" i="10"/>
  <c r="G199" i="10"/>
  <c r="E199" i="10"/>
  <c r="M198" i="10"/>
  <c r="L198" i="10"/>
  <c r="K198" i="10"/>
  <c r="J198" i="10"/>
  <c r="H198" i="10"/>
  <c r="G198" i="10"/>
  <c r="E198" i="10"/>
  <c r="M197" i="10"/>
  <c r="L197" i="10"/>
  <c r="K197" i="10"/>
  <c r="J197" i="10"/>
  <c r="H197" i="10"/>
  <c r="G197" i="10"/>
  <c r="E197" i="10"/>
  <c r="M196" i="10"/>
  <c r="K196" i="10"/>
  <c r="J196" i="10"/>
  <c r="L196" i="10" s="1"/>
  <c r="H196" i="10"/>
  <c r="G196" i="10"/>
  <c r="E196" i="10"/>
  <c r="M195" i="10"/>
  <c r="K195" i="10"/>
  <c r="J195" i="10"/>
  <c r="L195" i="10" s="1"/>
  <c r="H195" i="10"/>
  <c r="G195" i="10"/>
  <c r="E195" i="10"/>
  <c r="M194" i="10"/>
  <c r="L194" i="10"/>
  <c r="K194" i="10"/>
  <c r="J194" i="10"/>
  <c r="H194" i="10"/>
  <c r="G194" i="10"/>
  <c r="E194" i="10"/>
  <c r="M193" i="10"/>
  <c r="K193" i="10"/>
  <c r="L193" i="10" s="1"/>
  <c r="J193" i="10"/>
  <c r="H193" i="10"/>
  <c r="G193" i="10"/>
  <c r="E193" i="10"/>
  <c r="M192" i="10"/>
  <c r="K192" i="10"/>
  <c r="J192" i="10"/>
  <c r="H192" i="10"/>
  <c r="G192" i="10"/>
  <c r="E192" i="10"/>
  <c r="M191" i="10"/>
  <c r="L191" i="10"/>
  <c r="K191" i="10"/>
  <c r="J191" i="10"/>
  <c r="H191" i="10"/>
  <c r="G191" i="10"/>
  <c r="E191" i="10"/>
  <c r="M190" i="10"/>
  <c r="L190" i="10"/>
  <c r="K190" i="10"/>
  <c r="J190" i="10"/>
  <c r="H190" i="10"/>
  <c r="G190" i="10"/>
  <c r="E190" i="10"/>
  <c r="M189" i="10"/>
  <c r="K189" i="10"/>
  <c r="L189" i="10" s="1"/>
  <c r="J189" i="10"/>
  <c r="H189" i="10"/>
  <c r="G189" i="10"/>
  <c r="E189" i="10"/>
  <c r="M188" i="10"/>
  <c r="K188" i="10"/>
  <c r="J188" i="10"/>
  <c r="H188" i="10"/>
  <c r="G188" i="10"/>
  <c r="E188" i="10"/>
  <c r="M187" i="10"/>
  <c r="K187" i="10"/>
  <c r="J187" i="10"/>
  <c r="L187" i="10" s="1"/>
  <c r="H187" i="10"/>
  <c r="G187" i="10"/>
  <c r="E187" i="10"/>
  <c r="M186" i="10"/>
  <c r="L186" i="10"/>
  <c r="K186" i="10"/>
  <c r="J186" i="10"/>
  <c r="H186" i="10"/>
  <c r="G186" i="10"/>
  <c r="E186" i="10"/>
  <c r="M185" i="10"/>
  <c r="L185" i="10"/>
  <c r="K185" i="10"/>
  <c r="J185" i="10"/>
  <c r="H185" i="10"/>
  <c r="G185" i="10"/>
  <c r="E185" i="10"/>
  <c r="M184" i="10"/>
  <c r="L184" i="10"/>
  <c r="K184" i="10"/>
  <c r="J184" i="10"/>
  <c r="H184" i="10"/>
  <c r="G184" i="10"/>
  <c r="E184" i="10"/>
  <c r="M183" i="10"/>
  <c r="L183" i="10"/>
  <c r="K183" i="10"/>
  <c r="J183" i="10"/>
  <c r="H183" i="10"/>
  <c r="G183" i="10"/>
  <c r="E183" i="10"/>
  <c r="M182" i="10"/>
  <c r="L182" i="10"/>
  <c r="K182" i="10"/>
  <c r="J182" i="10"/>
  <c r="H182" i="10"/>
  <c r="G182" i="10"/>
  <c r="E182" i="10"/>
  <c r="M181" i="10"/>
  <c r="K181" i="10"/>
  <c r="J181" i="10"/>
  <c r="H181" i="10"/>
  <c r="G181" i="10"/>
  <c r="E181" i="10"/>
  <c r="M180" i="10"/>
  <c r="K180" i="10"/>
  <c r="J180" i="10"/>
  <c r="L180" i="10" s="1"/>
  <c r="H180" i="10"/>
  <c r="G180" i="10"/>
  <c r="E180" i="10"/>
  <c r="M179" i="10"/>
  <c r="L179" i="10"/>
  <c r="K179" i="10"/>
  <c r="J179" i="10"/>
  <c r="H179" i="10"/>
  <c r="G179" i="10"/>
  <c r="E179" i="10"/>
  <c r="M178" i="10"/>
  <c r="K178" i="10"/>
  <c r="J178" i="10"/>
  <c r="L178" i="10" s="1"/>
  <c r="H178" i="10"/>
  <c r="G178" i="10"/>
  <c r="E178" i="10"/>
  <c r="M177" i="10"/>
  <c r="L177" i="10"/>
  <c r="K177" i="10"/>
  <c r="J177" i="10"/>
  <c r="H177" i="10"/>
  <c r="G177" i="10"/>
  <c r="E177" i="10"/>
  <c r="M176" i="10"/>
  <c r="L176" i="10"/>
  <c r="K176" i="10"/>
  <c r="J176" i="10"/>
  <c r="H176" i="10"/>
  <c r="G176" i="10"/>
  <c r="E176" i="10"/>
  <c r="M175" i="10"/>
  <c r="K175" i="10"/>
  <c r="J175" i="10"/>
  <c r="L175" i="10" s="1"/>
  <c r="H175" i="10"/>
  <c r="G175" i="10"/>
  <c r="E175" i="10"/>
  <c r="M174" i="10"/>
  <c r="K174" i="10"/>
  <c r="J174" i="10"/>
  <c r="L174" i="10" s="1"/>
  <c r="H174" i="10"/>
  <c r="G174" i="10"/>
  <c r="E174" i="10"/>
  <c r="M173" i="10"/>
  <c r="K173" i="10"/>
  <c r="J173" i="10"/>
  <c r="L173" i="10" s="1"/>
  <c r="H173" i="10"/>
  <c r="G173" i="10"/>
  <c r="E173" i="10"/>
  <c r="M172" i="10"/>
  <c r="L172" i="10"/>
  <c r="K172" i="10"/>
  <c r="J172" i="10"/>
  <c r="H172" i="10"/>
  <c r="G172" i="10"/>
  <c r="E172" i="10"/>
  <c r="M171" i="10"/>
  <c r="L171" i="10"/>
  <c r="K171" i="10"/>
  <c r="J171" i="10"/>
  <c r="H171" i="10"/>
  <c r="G171" i="10"/>
  <c r="E171" i="10"/>
  <c r="M170" i="10"/>
  <c r="L170" i="10"/>
  <c r="K170" i="10"/>
  <c r="J170" i="10"/>
  <c r="H170" i="10"/>
  <c r="G170" i="10"/>
  <c r="E170" i="10"/>
  <c r="M169" i="10"/>
  <c r="L169" i="10"/>
  <c r="K169" i="10"/>
  <c r="J169" i="10"/>
  <c r="H169" i="10"/>
  <c r="G169" i="10"/>
  <c r="E169" i="10"/>
  <c r="M168" i="10"/>
  <c r="K168" i="10"/>
  <c r="J168" i="10"/>
  <c r="L168" i="10" s="1"/>
  <c r="H168" i="10"/>
  <c r="G168" i="10"/>
  <c r="E168" i="10"/>
  <c r="M167" i="10"/>
  <c r="K167" i="10"/>
  <c r="J167" i="10"/>
  <c r="L167" i="10" s="1"/>
  <c r="H167" i="10"/>
  <c r="G167" i="10"/>
  <c r="E167" i="10"/>
  <c r="M166" i="10"/>
  <c r="K166" i="10"/>
  <c r="J166" i="10"/>
  <c r="L166" i="10" s="1"/>
  <c r="H166" i="10"/>
  <c r="G166" i="10"/>
  <c r="E166" i="10"/>
  <c r="M165" i="10"/>
  <c r="K165" i="10"/>
  <c r="L165" i="10" s="1"/>
  <c r="J165" i="10"/>
  <c r="H165" i="10"/>
  <c r="G165" i="10"/>
  <c r="E165" i="10"/>
  <c r="M164" i="10"/>
  <c r="K164" i="10"/>
  <c r="J164" i="10"/>
  <c r="H164" i="10"/>
  <c r="G164" i="10"/>
  <c r="E164" i="10"/>
  <c r="M163" i="10"/>
  <c r="K163" i="10"/>
  <c r="J163" i="10"/>
  <c r="L163" i="10" s="1"/>
  <c r="H163" i="10"/>
  <c r="G163" i="10"/>
  <c r="E163" i="10"/>
  <c r="M162" i="10"/>
  <c r="L162" i="10"/>
  <c r="K162" i="10"/>
  <c r="J162" i="10"/>
  <c r="H162" i="10"/>
  <c r="G162" i="10"/>
  <c r="E162" i="10"/>
  <c r="M161" i="10"/>
  <c r="L161" i="10"/>
  <c r="K161" i="10"/>
  <c r="J161" i="10"/>
  <c r="H161" i="10"/>
  <c r="G161" i="10"/>
  <c r="E161" i="10"/>
  <c r="M160" i="10"/>
  <c r="K160" i="10"/>
  <c r="J160" i="10"/>
  <c r="L160" i="10" s="1"/>
  <c r="H160" i="10"/>
  <c r="G160" i="10"/>
  <c r="E160" i="10"/>
  <c r="M159" i="10"/>
  <c r="K159" i="10"/>
  <c r="J159" i="10"/>
  <c r="L159" i="10" s="1"/>
  <c r="H159" i="10"/>
  <c r="G159" i="10"/>
  <c r="E159" i="10"/>
  <c r="M158" i="10"/>
  <c r="L158" i="10"/>
  <c r="K158" i="10"/>
  <c r="J158" i="10"/>
  <c r="H158" i="10"/>
  <c r="G158" i="10"/>
  <c r="E158" i="10"/>
  <c r="M157" i="10"/>
  <c r="L157" i="10"/>
  <c r="K157" i="10"/>
  <c r="J157" i="10"/>
  <c r="H157" i="10"/>
  <c r="G157" i="10"/>
  <c r="E157" i="10"/>
  <c r="M156" i="10"/>
  <c r="K156" i="10"/>
  <c r="J156" i="10"/>
  <c r="H156" i="10"/>
  <c r="G156" i="10"/>
  <c r="E156" i="10"/>
  <c r="M155" i="10"/>
  <c r="L155" i="10"/>
  <c r="K155" i="10"/>
  <c r="J155" i="10"/>
  <c r="H155" i="10"/>
  <c r="G155" i="10"/>
  <c r="E155" i="10"/>
  <c r="M154" i="10"/>
  <c r="L154" i="10"/>
  <c r="K154" i="10"/>
  <c r="J154" i="10"/>
  <c r="H154" i="10"/>
  <c r="G154" i="10"/>
  <c r="E154" i="10"/>
  <c r="M153" i="10"/>
  <c r="K153" i="10"/>
  <c r="J153" i="10"/>
  <c r="L153" i="10" s="1"/>
  <c r="H153" i="10"/>
  <c r="G153" i="10"/>
  <c r="E153" i="10"/>
  <c r="M152" i="10"/>
  <c r="K152" i="10"/>
  <c r="J152" i="10"/>
  <c r="L152" i="10" s="1"/>
  <c r="H152" i="10"/>
  <c r="G152" i="10"/>
  <c r="E152" i="10"/>
  <c r="M151" i="10"/>
  <c r="L151" i="10"/>
  <c r="K151" i="10"/>
  <c r="J151" i="10"/>
  <c r="H151" i="10"/>
  <c r="G151" i="10"/>
  <c r="E151" i="10"/>
  <c r="M150" i="10"/>
  <c r="L150" i="10"/>
  <c r="K150" i="10"/>
  <c r="J150" i="10"/>
  <c r="H150" i="10"/>
  <c r="G150" i="10"/>
  <c r="E150" i="10"/>
  <c r="M149" i="10"/>
  <c r="L149" i="10"/>
  <c r="K149" i="10"/>
  <c r="J149" i="10"/>
  <c r="H149" i="10"/>
  <c r="G149" i="10"/>
  <c r="E149" i="10"/>
  <c r="M148" i="10"/>
  <c r="L148" i="10"/>
  <c r="K148" i="10"/>
  <c r="J148" i="10"/>
  <c r="H148" i="10"/>
  <c r="G148" i="10"/>
  <c r="E148" i="10"/>
  <c r="M147" i="10"/>
  <c r="K147" i="10"/>
  <c r="J147" i="10"/>
  <c r="L147" i="10" s="1"/>
  <c r="H147" i="10"/>
  <c r="G147" i="10"/>
  <c r="E147" i="10"/>
  <c r="M146" i="10"/>
  <c r="K146" i="10"/>
  <c r="J146" i="10"/>
  <c r="H146" i="10"/>
  <c r="G146" i="10"/>
  <c r="E146" i="10"/>
  <c r="M145" i="10"/>
  <c r="K145" i="10"/>
  <c r="J145" i="10"/>
  <c r="L145" i="10" s="1"/>
  <c r="H145" i="10"/>
  <c r="G145" i="10"/>
  <c r="E145" i="10"/>
  <c r="M144" i="10"/>
  <c r="K144" i="10"/>
  <c r="L144" i="10" s="1"/>
  <c r="J144" i="10"/>
  <c r="H144" i="10"/>
  <c r="G144" i="10"/>
  <c r="E144" i="10"/>
  <c r="M143" i="10"/>
  <c r="K143" i="10"/>
  <c r="L143" i="10" s="1"/>
  <c r="J143" i="10"/>
  <c r="H143" i="10"/>
  <c r="G143" i="10"/>
  <c r="E143" i="10"/>
  <c r="M142" i="10"/>
  <c r="L142" i="10"/>
  <c r="K142" i="10"/>
  <c r="J142" i="10"/>
  <c r="H142" i="10"/>
  <c r="G142" i="10"/>
  <c r="E142" i="10"/>
  <c r="M141" i="10"/>
  <c r="K141" i="10"/>
  <c r="J141" i="10"/>
  <c r="L141" i="10" s="1"/>
  <c r="H141" i="10"/>
  <c r="G141" i="10"/>
  <c r="E141" i="10"/>
  <c r="M140" i="10"/>
  <c r="K140" i="10"/>
  <c r="J140" i="10"/>
  <c r="L140" i="10" s="1"/>
  <c r="H140" i="10"/>
  <c r="G140" i="10"/>
  <c r="E140" i="10"/>
  <c r="M139" i="10"/>
  <c r="L139" i="10"/>
  <c r="K139" i="10"/>
  <c r="J139" i="10"/>
  <c r="H139" i="10"/>
  <c r="G139" i="10"/>
  <c r="E139" i="10"/>
  <c r="M138" i="10"/>
  <c r="K138" i="10"/>
  <c r="J138" i="10"/>
  <c r="L138" i="10" s="1"/>
  <c r="H138" i="10"/>
  <c r="G138" i="10"/>
  <c r="E138" i="10"/>
  <c r="M137" i="10"/>
  <c r="L137" i="10"/>
  <c r="K137" i="10"/>
  <c r="J137" i="10"/>
  <c r="H137" i="10"/>
  <c r="G137" i="10"/>
  <c r="E137" i="10"/>
  <c r="M136" i="10"/>
  <c r="L136" i="10"/>
  <c r="K136" i="10"/>
  <c r="J136" i="10"/>
  <c r="H136" i="10"/>
  <c r="G136" i="10"/>
  <c r="E136" i="10"/>
  <c r="M135" i="10"/>
  <c r="K135" i="10"/>
  <c r="J135" i="10"/>
  <c r="L135" i="10" s="1"/>
  <c r="H135" i="10"/>
  <c r="G135" i="10"/>
  <c r="E135" i="10"/>
  <c r="M134" i="10"/>
  <c r="K134" i="10"/>
  <c r="J134" i="10"/>
  <c r="H134" i="10"/>
  <c r="G134" i="10"/>
  <c r="E134" i="10"/>
  <c r="M133" i="10"/>
  <c r="K133" i="10"/>
  <c r="J133" i="10"/>
  <c r="L133" i="10" s="1"/>
  <c r="H133" i="10"/>
  <c r="G133" i="10"/>
  <c r="E133" i="10"/>
  <c r="M132" i="10"/>
  <c r="L132" i="10"/>
  <c r="K132" i="10"/>
  <c r="J132" i="10"/>
  <c r="H132" i="10"/>
  <c r="G132" i="10"/>
  <c r="E132" i="10"/>
  <c r="M131" i="10"/>
  <c r="K131" i="10"/>
  <c r="L131" i="10" s="1"/>
  <c r="J131" i="10"/>
  <c r="H131" i="10"/>
  <c r="G131" i="10"/>
  <c r="E131" i="10"/>
  <c r="M130" i="10"/>
  <c r="L130" i="10"/>
  <c r="K130" i="10"/>
  <c r="J130" i="10"/>
  <c r="H130" i="10"/>
  <c r="G130" i="10"/>
  <c r="E130" i="10"/>
  <c r="M129" i="10"/>
  <c r="K129" i="10"/>
  <c r="J129" i="10"/>
  <c r="L129" i="10" s="1"/>
  <c r="H129" i="10"/>
  <c r="G129" i="10"/>
  <c r="E129" i="10"/>
  <c r="M128" i="10"/>
  <c r="K128" i="10"/>
  <c r="J128" i="10"/>
  <c r="L128" i="10" s="1"/>
  <c r="H128" i="10"/>
  <c r="G128" i="10"/>
  <c r="E128" i="10"/>
  <c r="M127" i="10"/>
  <c r="K127" i="10"/>
  <c r="J127" i="10"/>
  <c r="L127" i="10" s="1"/>
  <c r="H127" i="10"/>
  <c r="G127" i="10"/>
  <c r="E127" i="10"/>
  <c r="M126" i="10"/>
  <c r="L126" i="10"/>
  <c r="K126" i="10"/>
  <c r="J126" i="10"/>
  <c r="H126" i="10"/>
  <c r="G126" i="10"/>
  <c r="E126" i="10"/>
  <c r="M125" i="10"/>
  <c r="L125" i="10"/>
  <c r="K125" i="10"/>
  <c r="J125" i="10"/>
  <c r="H125" i="10"/>
  <c r="G125" i="10"/>
  <c r="E125" i="10"/>
  <c r="M124" i="10"/>
  <c r="L124" i="10"/>
  <c r="K124" i="10"/>
  <c r="J124" i="10"/>
  <c r="H124" i="10"/>
  <c r="G124" i="10"/>
  <c r="E124" i="10"/>
  <c r="M123" i="10"/>
  <c r="K123" i="10"/>
  <c r="J123" i="10"/>
  <c r="L123" i="10" s="1"/>
  <c r="H123" i="10"/>
  <c r="G123" i="10"/>
  <c r="E123" i="10"/>
  <c r="M122" i="10"/>
  <c r="K122" i="10"/>
  <c r="J122" i="10"/>
  <c r="L122" i="10" s="1"/>
  <c r="H122" i="10"/>
  <c r="G122" i="10"/>
  <c r="E122" i="10"/>
  <c r="M121" i="10"/>
  <c r="K121" i="10"/>
  <c r="J121" i="10"/>
  <c r="H121" i="10"/>
  <c r="G121" i="10"/>
  <c r="E121" i="10"/>
  <c r="M120" i="10"/>
  <c r="K120" i="10"/>
  <c r="L120" i="10" s="1"/>
  <c r="J120" i="10"/>
  <c r="H120" i="10"/>
  <c r="G120" i="10"/>
  <c r="E120" i="10"/>
  <c r="M119" i="10"/>
  <c r="L119" i="10"/>
  <c r="K119" i="10"/>
  <c r="J119" i="10"/>
  <c r="H119" i="10"/>
  <c r="G119" i="10"/>
  <c r="E119" i="10"/>
  <c r="M118" i="10"/>
  <c r="L118" i="10"/>
  <c r="K118" i="10"/>
  <c r="J118" i="10"/>
  <c r="H118" i="10"/>
  <c r="G118" i="10"/>
  <c r="E118" i="10"/>
  <c r="M117" i="10"/>
  <c r="K117" i="10"/>
  <c r="J117" i="10"/>
  <c r="L117" i="10" s="1"/>
  <c r="H117" i="10"/>
  <c r="G117" i="10"/>
  <c r="E117" i="10"/>
  <c r="M116" i="10"/>
  <c r="K116" i="10"/>
  <c r="J116" i="10"/>
  <c r="L116" i="10" s="1"/>
  <c r="H116" i="10"/>
  <c r="G116" i="10"/>
  <c r="E116" i="10"/>
  <c r="M115" i="10"/>
  <c r="L115" i="10"/>
  <c r="K115" i="10"/>
  <c r="J115" i="10"/>
  <c r="H115" i="10"/>
  <c r="G115" i="10"/>
  <c r="E115" i="10"/>
  <c r="M114" i="10"/>
  <c r="K114" i="10"/>
  <c r="J114" i="10"/>
  <c r="L114" i="10" s="1"/>
  <c r="H114" i="10"/>
  <c r="G114" i="10"/>
  <c r="E114" i="10"/>
  <c r="M113" i="10"/>
  <c r="L113" i="10"/>
  <c r="K113" i="10"/>
  <c r="J113" i="10"/>
  <c r="H113" i="10"/>
  <c r="G113" i="10"/>
  <c r="E113" i="10"/>
  <c r="M112" i="10"/>
  <c r="L112" i="10"/>
  <c r="K112" i="10"/>
  <c r="J112" i="10"/>
  <c r="H112" i="10"/>
  <c r="G112" i="10"/>
  <c r="E112" i="10"/>
  <c r="M111" i="10"/>
  <c r="K111" i="10"/>
  <c r="J111" i="10"/>
  <c r="L111" i="10" s="1"/>
  <c r="H111" i="10"/>
  <c r="G111" i="10"/>
  <c r="E111" i="10"/>
  <c r="M110" i="10"/>
  <c r="K110" i="10"/>
  <c r="J110" i="10"/>
  <c r="H110" i="10"/>
  <c r="G110" i="10"/>
  <c r="E110" i="10"/>
  <c r="M109" i="10"/>
  <c r="K109" i="10"/>
  <c r="J109" i="10"/>
  <c r="H109" i="10"/>
  <c r="G109" i="10"/>
  <c r="E109" i="10"/>
  <c r="M108" i="10"/>
  <c r="L108" i="10"/>
  <c r="K108" i="10"/>
  <c r="J108" i="10"/>
  <c r="H108" i="10"/>
  <c r="G108" i="10"/>
  <c r="E108" i="10"/>
  <c r="M107" i="10"/>
  <c r="K107" i="10"/>
  <c r="L107" i="10" s="1"/>
  <c r="J107" i="10"/>
  <c r="H107" i="10"/>
  <c r="G107" i="10"/>
  <c r="E107" i="10"/>
  <c r="M106" i="10"/>
  <c r="L106" i="10"/>
  <c r="K106" i="10"/>
  <c r="J106" i="10"/>
  <c r="H106" i="10"/>
  <c r="G106" i="10"/>
  <c r="E106" i="10"/>
  <c r="M105" i="10"/>
  <c r="K105" i="10"/>
  <c r="J105" i="10"/>
  <c r="L105" i="10" s="1"/>
  <c r="H105" i="10"/>
  <c r="G105" i="10"/>
  <c r="E105" i="10"/>
  <c r="M104" i="10"/>
  <c r="K104" i="10"/>
  <c r="J104" i="10"/>
  <c r="L104" i="10" s="1"/>
  <c r="H104" i="10"/>
  <c r="G104" i="10"/>
  <c r="E104" i="10"/>
  <c r="M103" i="10"/>
  <c r="L103" i="10"/>
  <c r="K103" i="10"/>
  <c r="J103" i="10"/>
  <c r="H103" i="10"/>
  <c r="G103" i="10"/>
  <c r="E103" i="10"/>
  <c r="M102" i="10"/>
  <c r="K102" i="10"/>
  <c r="J102" i="10"/>
  <c r="H102" i="10"/>
  <c r="G102" i="10"/>
  <c r="E102" i="10"/>
  <c r="M101" i="10"/>
  <c r="L101" i="10"/>
  <c r="K101" i="10"/>
  <c r="J101" i="10"/>
  <c r="H101" i="10"/>
  <c r="G101" i="10"/>
  <c r="E101" i="10"/>
  <c r="M100" i="10"/>
  <c r="L100" i="10"/>
  <c r="K100" i="10"/>
  <c r="J100" i="10"/>
  <c r="H100" i="10"/>
  <c r="G100" i="10"/>
  <c r="E100" i="10"/>
  <c r="M99" i="10"/>
  <c r="K99" i="10"/>
  <c r="J99" i="10"/>
  <c r="L99" i="10" s="1"/>
  <c r="H99" i="10"/>
  <c r="G99" i="10"/>
  <c r="E99" i="10"/>
  <c r="M98" i="10"/>
  <c r="K98" i="10"/>
  <c r="J98" i="10"/>
  <c r="L98" i="10" s="1"/>
  <c r="H98" i="10"/>
  <c r="G98" i="10"/>
  <c r="E98" i="10"/>
  <c r="M97" i="10"/>
  <c r="K97" i="10"/>
  <c r="J97" i="10"/>
  <c r="H97" i="10"/>
  <c r="G97" i="10"/>
  <c r="E97" i="10"/>
  <c r="M96" i="10"/>
  <c r="K96" i="10"/>
  <c r="L96" i="10" s="1"/>
  <c r="J96" i="10"/>
  <c r="H96" i="10"/>
  <c r="G96" i="10"/>
  <c r="E96" i="10"/>
  <c r="M95" i="10"/>
  <c r="L95" i="10"/>
  <c r="K95" i="10"/>
  <c r="J95" i="10"/>
  <c r="H95" i="10"/>
  <c r="G95" i="10"/>
  <c r="E95" i="10"/>
  <c r="M94" i="10"/>
  <c r="L94" i="10"/>
  <c r="K94" i="10"/>
  <c r="J94" i="10"/>
  <c r="H94" i="10"/>
  <c r="G94" i="10"/>
  <c r="E94" i="10"/>
  <c r="M93" i="10"/>
  <c r="K93" i="10"/>
  <c r="J93" i="10"/>
  <c r="L93" i="10" s="1"/>
  <c r="H93" i="10"/>
  <c r="G93" i="10"/>
  <c r="E93" i="10"/>
  <c r="M92" i="10"/>
  <c r="K92" i="10"/>
  <c r="J92" i="10"/>
  <c r="L92" i="10" s="1"/>
  <c r="H92" i="10"/>
  <c r="G92" i="10"/>
  <c r="E92" i="10"/>
  <c r="M91" i="10"/>
  <c r="K91" i="10"/>
  <c r="J91" i="10"/>
  <c r="L91" i="10" s="1"/>
  <c r="H91" i="10"/>
  <c r="G91" i="10"/>
  <c r="E91" i="10"/>
  <c r="M90" i="10"/>
  <c r="K90" i="10"/>
  <c r="L90" i="10" s="1"/>
  <c r="J90" i="10"/>
  <c r="H90" i="10"/>
  <c r="G90" i="10"/>
  <c r="E90" i="10"/>
  <c r="M89" i="10"/>
  <c r="L89" i="10"/>
  <c r="K89" i="10"/>
  <c r="J89" i="10"/>
  <c r="H89" i="10"/>
  <c r="G89" i="10"/>
  <c r="E89" i="10"/>
  <c r="M88" i="10"/>
  <c r="L88" i="10"/>
  <c r="K88" i="10"/>
  <c r="J88" i="10"/>
  <c r="H88" i="10"/>
  <c r="G88" i="10"/>
  <c r="E88" i="10"/>
  <c r="M87" i="10"/>
  <c r="K87" i="10"/>
  <c r="J87" i="10"/>
  <c r="L87" i="10" s="1"/>
  <c r="H87" i="10"/>
  <c r="G87" i="10"/>
  <c r="E87" i="10"/>
  <c r="M86" i="10"/>
  <c r="K86" i="10"/>
  <c r="J86" i="10"/>
  <c r="H86" i="10"/>
  <c r="G86" i="10"/>
  <c r="E86" i="10"/>
  <c r="M85" i="10"/>
  <c r="K85" i="10"/>
  <c r="J85" i="10"/>
  <c r="L85" i="10" s="1"/>
  <c r="H85" i="10"/>
  <c r="G85" i="10"/>
  <c r="E85" i="10"/>
  <c r="M84" i="10"/>
  <c r="L84" i="10"/>
  <c r="K84" i="10"/>
  <c r="J84" i="10"/>
  <c r="H84" i="10"/>
  <c r="G84" i="10"/>
  <c r="E84" i="10"/>
  <c r="M83" i="10"/>
  <c r="K83" i="10"/>
  <c r="L83" i="10" s="1"/>
  <c r="J83" i="10"/>
  <c r="H83" i="10"/>
  <c r="G83" i="10"/>
  <c r="E83" i="10"/>
  <c r="M82" i="10"/>
  <c r="L82" i="10"/>
  <c r="K82" i="10"/>
  <c r="J82" i="10"/>
  <c r="H82" i="10"/>
  <c r="G82" i="10"/>
  <c r="E82" i="10"/>
  <c r="M81" i="10"/>
  <c r="K81" i="10"/>
  <c r="J81" i="10"/>
  <c r="L81" i="10" s="1"/>
  <c r="H81" i="10"/>
  <c r="G81" i="10"/>
  <c r="E81" i="10"/>
  <c r="M80" i="10"/>
  <c r="K80" i="10"/>
  <c r="J80" i="10"/>
  <c r="L80" i="10" s="1"/>
  <c r="H80" i="10"/>
  <c r="G80" i="10"/>
  <c r="E80" i="10"/>
  <c r="M79" i="10"/>
  <c r="K79" i="10"/>
  <c r="L79" i="10" s="1"/>
  <c r="J79" i="10"/>
  <c r="H79" i="10"/>
  <c r="G79" i="10"/>
  <c r="E79" i="10"/>
  <c r="M78" i="10"/>
  <c r="L78" i="10"/>
  <c r="K78" i="10"/>
  <c r="J78" i="10"/>
  <c r="H78" i="10"/>
  <c r="G78" i="10"/>
  <c r="E78" i="10"/>
  <c r="M77" i="10"/>
  <c r="L77" i="10"/>
  <c r="K77" i="10"/>
  <c r="J77" i="10"/>
  <c r="H77" i="10"/>
  <c r="G77" i="10"/>
  <c r="E77" i="10"/>
  <c r="M76" i="10"/>
  <c r="L76" i="10"/>
  <c r="K76" i="10"/>
  <c r="J76" i="10"/>
  <c r="H76" i="10"/>
  <c r="G76" i="10"/>
  <c r="E76" i="10"/>
  <c r="M75" i="10"/>
  <c r="K75" i="10"/>
  <c r="J75" i="10"/>
  <c r="L75" i="10" s="1"/>
  <c r="H75" i="10"/>
  <c r="G75" i="10"/>
  <c r="E75" i="10"/>
  <c r="M74" i="10"/>
  <c r="K74" i="10"/>
  <c r="J74" i="10"/>
  <c r="L74" i="10" s="1"/>
  <c r="H74" i="10"/>
  <c r="G74" i="10"/>
  <c r="E74" i="10"/>
  <c r="M73" i="10"/>
  <c r="K73" i="10"/>
  <c r="J73" i="10"/>
  <c r="L73" i="10" s="1"/>
  <c r="H73" i="10"/>
  <c r="G73" i="10"/>
  <c r="E73" i="10"/>
  <c r="M72" i="10"/>
  <c r="K72" i="10"/>
  <c r="L72" i="10" s="1"/>
  <c r="J72" i="10"/>
  <c r="H72" i="10"/>
  <c r="G72" i="10"/>
  <c r="E72" i="10"/>
  <c r="M71" i="10"/>
  <c r="K71" i="10"/>
  <c r="L71" i="10" s="1"/>
  <c r="J71" i="10"/>
  <c r="H71" i="10"/>
  <c r="G71" i="10"/>
  <c r="E71" i="10"/>
  <c r="M70" i="10"/>
  <c r="L70" i="10"/>
  <c r="K70" i="10"/>
  <c r="J70" i="10"/>
  <c r="H70" i="10"/>
  <c r="G70" i="10"/>
  <c r="E70" i="10"/>
  <c r="M69" i="10"/>
  <c r="K69" i="10"/>
  <c r="J69" i="10"/>
  <c r="L69" i="10" s="1"/>
  <c r="H69" i="10"/>
  <c r="G69" i="10"/>
  <c r="E69" i="10"/>
  <c r="M68" i="10"/>
  <c r="K68" i="10"/>
  <c r="J68" i="10"/>
  <c r="L68" i="10" s="1"/>
  <c r="H68" i="10"/>
  <c r="G68" i="10"/>
  <c r="E68" i="10"/>
  <c r="M67" i="10"/>
  <c r="L67" i="10"/>
  <c r="K67" i="10"/>
  <c r="J67" i="10"/>
  <c r="H67" i="10"/>
  <c r="G67" i="10"/>
  <c r="E67" i="10"/>
  <c r="M66" i="10"/>
  <c r="L66" i="10"/>
  <c r="K66" i="10"/>
  <c r="J66" i="10"/>
  <c r="H66" i="10"/>
  <c r="G66" i="10"/>
  <c r="E66" i="10"/>
  <c r="M65" i="10"/>
  <c r="L65" i="10"/>
  <c r="K65" i="10"/>
  <c r="J65" i="10"/>
  <c r="H65" i="10"/>
  <c r="G65" i="10"/>
  <c r="E65" i="10"/>
  <c r="M64" i="10"/>
  <c r="L64" i="10"/>
  <c r="K64" i="10"/>
  <c r="J64" i="10"/>
  <c r="H64" i="10"/>
  <c r="G64" i="10"/>
  <c r="E64" i="10"/>
  <c r="M63" i="10"/>
  <c r="K63" i="10"/>
  <c r="J63" i="10"/>
  <c r="L63" i="10" s="1"/>
  <c r="H63" i="10"/>
  <c r="G63" i="10"/>
  <c r="E63" i="10"/>
  <c r="M62" i="10"/>
  <c r="K62" i="10"/>
  <c r="J62" i="10"/>
  <c r="L62" i="10" s="1"/>
  <c r="H62" i="10"/>
  <c r="G62" i="10"/>
  <c r="E62" i="10"/>
  <c r="M61" i="10"/>
  <c r="K61" i="10"/>
  <c r="J61" i="10"/>
  <c r="L61" i="10" s="1"/>
  <c r="H61" i="10"/>
  <c r="G61" i="10"/>
  <c r="E61" i="10"/>
  <c r="M60" i="10"/>
  <c r="K60" i="10"/>
  <c r="L60" i="10" s="1"/>
  <c r="J60" i="10"/>
  <c r="H60" i="10"/>
  <c r="G60" i="10"/>
  <c r="E60" i="10"/>
  <c r="M59" i="10"/>
  <c r="K59" i="10"/>
  <c r="L59" i="10" s="1"/>
  <c r="J59" i="10"/>
  <c r="H59" i="10"/>
  <c r="G59" i="10"/>
  <c r="E59" i="10"/>
  <c r="M58" i="10"/>
  <c r="L58" i="10"/>
  <c r="K58" i="10"/>
  <c r="J58" i="10"/>
  <c r="H58" i="10"/>
  <c r="G58" i="10"/>
  <c r="E58" i="10"/>
  <c r="M57" i="10"/>
  <c r="K57" i="10"/>
  <c r="J57" i="10"/>
  <c r="L57" i="10" s="1"/>
  <c r="H57" i="10"/>
  <c r="G57" i="10"/>
  <c r="E57" i="10"/>
  <c r="M56" i="10"/>
  <c r="K56" i="10"/>
  <c r="J56" i="10"/>
  <c r="L56" i="10" s="1"/>
  <c r="H56" i="10"/>
  <c r="G56" i="10"/>
  <c r="E56" i="10"/>
  <c r="M55" i="10"/>
  <c r="L55" i="10"/>
  <c r="K55" i="10"/>
  <c r="J55" i="10"/>
  <c r="H55" i="10"/>
  <c r="G55" i="10"/>
  <c r="E55" i="10"/>
  <c r="M54" i="10"/>
  <c r="K54" i="10"/>
  <c r="J54" i="10"/>
  <c r="H54" i="10"/>
  <c r="G54" i="10"/>
  <c r="E54" i="10"/>
  <c r="M53" i="10"/>
  <c r="L53" i="10"/>
  <c r="K53" i="10"/>
  <c r="J53" i="10"/>
  <c r="H53" i="10"/>
  <c r="G53" i="10"/>
  <c r="E53" i="10"/>
  <c r="M52" i="10"/>
  <c r="L52" i="10"/>
  <c r="K52" i="10"/>
  <c r="J52" i="10"/>
  <c r="H52" i="10"/>
  <c r="G52" i="10"/>
  <c r="E52" i="10"/>
  <c r="M51" i="10"/>
  <c r="K51" i="10"/>
  <c r="J51" i="10"/>
  <c r="L51" i="10" s="1"/>
  <c r="H51" i="10"/>
  <c r="G51" i="10"/>
  <c r="E51" i="10"/>
  <c r="M50" i="10"/>
  <c r="K50" i="10"/>
  <c r="J50" i="10"/>
  <c r="L50" i="10" s="1"/>
  <c r="H50" i="10"/>
  <c r="G50" i="10"/>
  <c r="E50" i="10"/>
  <c r="M49" i="10"/>
  <c r="K49" i="10"/>
  <c r="J49" i="10"/>
  <c r="L49" i="10" s="1"/>
  <c r="H49" i="10"/>
  <c r="G49" i="10"/>
  <c r="E49" i="10"/>
  <c r="M48" i="10"/>
  <c r="K48" i="10"/>
  <c r="L48" i="10" s="1"/>
  <c r="J48" i="10"/>
  <c r="H48" i="10"/>
  <c r="G48" i="10"/>
  <c r="E48" i="10"/>
  <c r="M47" i="10"/>
  <c r="L47" i="10"/>
  <c r="K47" i="10"/>
  <c r="J47" i="10"/>
  <c r="H47" i="10"/>
  <c r="G47" i="10"/>
  <c r="E47" i="10"/>
  <c r="M46" i="10"/>
  <c r="L46" i="10"/>
  <c r="K46" i="10"/>
  <c r="J46" i="10"/>
  <c r="H46" i="10"/>
  <c r="G46" i="10"/>
  <c r="E46" i="10"/>
  <c r="M45" i="10"/>
  <c r="K45" i="10"/>
  <c r="J45" i="10"/>
  <c r="L45" i="10" s="1"/>
  <c r="H45" i="10"/>
  <c r="G45" i="10"/>
  <c r="E45" i="10"/>
  <c r="K44" i="10"/>
  <c r="J44" i="10"/>
  <c r="H44" i="10"/>
  <c r="G44" i="10"/>
  <c r="E44" i="10"/>
  <c r="L43" i="10"/>
  <c r="K43" i="10"/>
  <c r="J43" i="10"/>
  <c r="M43" i="10" s="1"/>
  <c r="H43" i="10"/>
  <c r="G43" i="10"/>
  <c r="E43" i="10"/>
  <c r="L42" i="10"/>
  <c r="K42" i="10"/>
  <c r="J42" i="10"/>
  <c r="M42" i="10" s="1"/>
  <c r="H42" i="10"/>
  <c r="G42" i="10"/>
  <c r="E42" i="10"/>
  <c r="K41" i="10"/>
  <c r="H41" i="10"/>
  <c r="J41" i="10" s="1"/>
  <c r="G41" i="10"/>
  <c r="E41" i="10"/>
  <c r="M40" i="10"/>
  <c r="L40" i="10"/>
  <c r="K40" i="10"/>
  <c r="H40" i="10"/>
  <c r="J40" i="10" s="1"/>
  <c r="G40" i="10"/>
  <c r="E40" i="10"/>
  <c r="K39" i="10"/>
  <c r="H39" i="10"/>
  <c r="J39" i="10" s="1"/>
  <c r="G39" i="10"/>
  <c r="E39" i="10"/>
  <c r="K38" i="10"/>
  <c r="H38" i="10"/>
  <c r="J38" i="10" s="1"/>
  <c r="G38" i="10"/>
  <c r="E38" i="10"/>
  <c r="K37" i="10"/>
  <c r="H37" i="10"/>
  <c r="J37" i="10" s="1"/>
  <c r="G37" i="10"/>
  <c r="E37" i="10"/>
  <c r="M36" i="10"/>
  <c r="K36" i="10"/>
  <c r="L36" i="10" s="1"/>
  <c r="J36" i="10"/>
  <c r="H36" i="10"/>
  <c r="G36" i="10"/>
  <c r="E36" i="10"/>
  <c r="K35" i="10"/>
  <c r="H35" i="10"/>
  <c r="J35" i="10" s="1"/>
  <c r="G35" i="10"/>
  <c r="E35" i="10"/>
  <c r="K34" i="10"/>
  <c r="H34" i="10"/>
  <c r="J34" i="10" s="1"/>
  <c r="L34" i="10" s="1"/>
  <c r="G34" i="10"/>
  <c r="E34" i="10"/>
  <c r="K33" i="10"/>
  <c r="H33" i="10"/>
  <c r="J33" i="10" s="1"/>
  <c r="G33" i="10"/>
  <c r="E33" i="10"/>
  <c r="K32" i="10"/>
  <c r="J32" i="10"/>
  <c r="H32" i="10"/>
  <c r="G32" i="10"/>
  <c r="E32" i="10"/>
  <c r="L31" i="10"/>
  <c r="K31" i="10"/>
  <c r="J31" i="10"/>
  <c r="M31" i="10" s="1"/>
  <c r="H31" i="10"/>
  <c r="G31" i="10"/>
  <c r="E31" i="10"/>
  <c r="K30" i="10"/>
  <c r="J30" i="10"/>
  <c r="H30" i="10"/>
  <c r="G30" i="10"/>
  <c r="E30" i="10"/>
  <c r="M29" i="10"/>
  <c r="L29" i="10"/>
  <c r="K29" i="10"/>
  <c r="H29" i="10"/>
  <c r="J29" i="10" s="1"/>
  <c r="G29" i="10"/>
  <c r="E29" i="10"/>
  <c r="K28" i="10"/>
  <c r="H28" i="10"/>
  <c r="J28" i="10" s="1"/>
  <c r="G28" i="10"/>
  <c r="E28" i="10"/>
  <c r="K27" i="10"/>
  <c r="H27" i="10"/>
  <c r="J27" i="10" s="1"/>
  <c r="G27" i="10"/>
  <c r="E27" i="10"/>
  <c r="K26" i="10"/>
  <c r="J26" i="10"/>
  <c r="H26" i="10"/>
  <c r="G26" i="10"/>
  <c r="E26" i="10"/>
  <c r="K25" i="10"/>
  <c r="H25" i="10"/>
  <c r="J25" i="10" s="1"/>
  <c r="G25" i="10"/>
  <c r="E25" i="10"/>
  <c r="M24" i="10"/>
  <c r="K24" i="10"/>
  <c r="L24" i="10" s="1"/>
  <c r="J24" i="10"/>
  <c r="H24" i="10"/>
  <c r="G24" i="10"/>
  <c r="E24" i="10"/>
  <c r="M23" i="10"/>
  <c r="K23" i="10"/>
  <c r="L23" i="10" s="1"/>
  <c r="H23" i="10"/>
  <c r="J23" i="10" s="1"/>
  <c r="G23" i="10"/>
  <c r="E23" i="10"/>
  <c r="K22" i="10"/>
  <c r="H22" i="10"/>
  <c r="J22" i="10" s="1"/>
  <c r="G22" i="10"/>
  <c r="E22" i="10"/>
  <c r="K21" i="10"/>
  <c r="H21" i="10"/>
  <c r="J21" i="10" s="1"/>
  <c r="G21" i="10"/>
  <c r="E21" i="10"/>
  <c r="K20" i="10"/>
  <c r="H20" i="10"/>
  <c r="J20" i="10" s="1"/>
  <c r="G20" i="10"/>
  <c r="E20" i="10"/>
  <c r="K19" i="10"/>
  <c r="J19" i="10"/>
  <c r="H19" i="10"/>
  <c r="G19" i="10"/>
  <c r="E19" i="10"/>
  <c r="L18" i="10"/>
  <c r="K18" i="10"/>
  <c r="J18" i="10"/>
  <c r="M18" i="10" s="1"/>
  <c r="H18" i="10"/>
  <c r="G18" i="10"/>
  <c r="E18" i="10"/>
  <c r="K17" i="10"/>
  <c r="H17" i="10"/>
  <c r="J17" i="10" s="1"/>
  <c r="G17" i="10"/>
  <c r="E17" i="10"/>
  <c r="K16" i="10"/>
  <c r="H16" i="10"/>
  <c r="J16" i="10" s="1"/>
  <c r="G16" i="10"/>
  <c r="E16" i="10"/>
  <c r="K15" i="10"/>
  <c r="H15" i="10"/>
  <c r="J15" i="10" s="1"/>
  <c r="G15" i="10"/>
  <c r="E15" i="10"/>
  <c r="K14" i="10"/>
  <c r="J14" i="10"/>
  <c r="H14" i="10"/>
  <c r="G14" i="10"/>
  <c r="E14" i="10"/>
  <c r="K13" i="10"/>
  <c r="J13" i="10"/>
  <c r="H13" i="10"/>
  <c r="G13" i="10"/>
  <c r="E13" i="10"/>
  <c r="M12" i="10"/>
  <c r="K12" i="10"/>
  <c r="L12" i="10" s="1"/>
  <c r="J12" i="10"/>
  <c r="H12" i="10"/>
  <c r="G12" i="10"/>
  <c r="E12" i="10"/>
  <c r="M11" i="10"/>
  <c r="L11" i="10"/>
  <c r="K11" i="10"/>
  <c r="H11" i="10"/>
  <c r="J11" i="10" s="1"/>
  <c r="G11" i="10"/>
  <c r="E11" i="10"/>
  <c r="M10" i="10"/>
  <c r="K10" i="10"/>
  <c r="H10" i="10"/>
  <c r="J10" i="10" s="1"/>
  <c r="L10" i="10" s="1"/>
  <c r="G10" i="10"/>
  <c r="E10" i="10"/>
  <c r="K9" i="10"/>
  <c r="J9" i="10"/>
  <c r="H9" i="10"/>
  <c r="G9" i="10"/>
  <c r="E9" i="10"/>
  <c r="K8" i="10"/>
  <c r="J8" i="10"/>
  <c r="H8" i="10"/>
  <c r="G8" i="10"/>
  <c r="E8" i="10"/>
  <c r="K7" i="10"/>
  <c r="J7" i="10"/>
  <c r="H7" i="10"/>
  <c r="G7" i="10"/>
  <c r="E7" i="10"/>
  <c r="L6" i="10"/>
  <c r="K6" i="10"/>
  <c r="J6" i="10"/>
  <c r="M6" i="10" s="1"/>
  <c r="H6" i="10"/>
  <c r="G6" i="10"/>
  <c r="E6" i="10"/>
  <c r="K5" i="10"/>
  <c r="H5" i="10"/>
  <c r="J5" i="10" s="1"/>
  <c r="G5" i="10"/>
  <c r="E5" i="10"/>
  <c r="M304" i="9"/>
  <c r="L304" i="9"/>
  <c r="K304" i="9"/>
  <c r="J304" i="9"/>
  <c r="H304" i="9"/>
  <c r="G304" i="9"/>
  <c r="E304" i="9"/>
  <c r="M303" i="9"/>
  <c r="K303" i="9"/>
  <c r="J303" i="9"/>
  <c r="L303" i="9" s="1"/>
  <c r="H303" i="9"/>
  <c r="G303" i="9"/>
  <c r="E303" i="9"/>
  <c r="M302" i="9"/>
  <c r="K302" i="9"/>
  <c r="J302" i="9"/>
  <c r="H302" i="9"/>
  <c r="G302" i="9"/>
  <c r="E302" i="9"/>
  <c r="M301" i="9"/>
  <c r="K301" i="9"/>
  <c r="J301" i="9"/>
  <c r="H301" i="9"/>
  <c r="G301" i="9"/>
  <c r="E301" i="9"/>
  <c r="M300" i="9"/>
  <c r="L300" i="9"/>
  <c r="K300" i="9"/>
  <c r="J300" i="9"/>
  <c r="H300" i="9"/>
  <c r="G300" i="9"/>
  <c r="E300" i="9"/>
  <c r="M299" i="9"/>
  <c r="L299" i="9"/>
  <c r="K299" i="9"/>
  <c r="J299" i="9"/>
  <c r="H299" i="9"/>
  <c r="G299" i="9"/>
  <c r="E299" i="9"/>
  <c r="M298" i="9"/>
  <c r="L298" i="9"/>
  <c r="K298" i="9"/>
  <c r="J298" i="9"/>
  <c r="H298" i="9"/>
  <c r="G298" i="9"/>
  <c r="E298" i="9"/>
  <c r="M297" i="9"/>
  <c r="K297" i="9"/>
  <c r="J297" i="9"/>
  <c r="L297" i="9" s="1"/>
  <c r="H297" i="9"/>
  <c r="G297" i="9"/>
  <c r="E297" i="9"/>
  <c r="M296" i="9"/>
  <c r="K296" i="9"/>
  <c r="J296" i="9"/>
  <c r="L296" i="9" s="1"/>
  <c r="H296" i="9"/>
  <c r="G296" i="9"/>
  <c r="E296" i="9"/>
  <c r="M295" i="9"/>
  <c r="K295" i="9"/>
  <c r="J295" i="9"/>
  <c r="L295" i="9" s="1"/>
  <c r="H295" i="9"/>
  <c r="G295" i="9"/>
  <c r="E295" i="9"/>
  <c r="M294" i="9"/>
  <c r="K294" i="9"/>
  <c r="J294" i="9"/>
  <c r="L294" i="9" s="1"/>
  <c r="H294" i="9"/>
  <c r="G294" i="9"/>
  <c r="E294" i="9"/>
  <c r="M293" i="9"/>
  <c r="L293" i="9"/>
  <c r="K293" i="9"/>
  <c r="J293" i="9"/>
  <c r="H293" i="9"/>
  <c r="G293" i="9"/>
  <c r="E293" i="9"/>
  <c r="M292" i="9"/>
  <c r="L292" i="9"/>
  <c r="K292" i="9"/>
  <c r="J292" i="9"/>
  <c r="H292" i="9"/>
  <c r="G292" i="9"/>
  <c r="E292" i="9"/>
  <c r="M291" i="9"/>
  <c r="K291" i="9"/>
  <c r="J291" i="9"/>
  <c r="L291" i="9" s="1"/>
  <c r="H291" i="9"/>
  <c r="G291" i="9"/>
  <c r="E291" i="9"/>
  <c r="M290" i="9"/>
  <c r="K290" i="9"/>
  <c r="J290" i="9"/>
  <c r="H290" i="9"/>
  <c r="G290" i="9"/>
  <c r="E290" i="9"/>
  <c r="M289" i="9"/>
  <c r="K289" i="9"/>
  <c r="J289" i="9"/>
  <c r="H289" i="9"/>
  <c r="G289" i="9"/>
  <c r="E289" i="9"/>
  <c r="M288" i="9"/>
  <c r="L288" i="9"/>
  <c r="K288" i="9"/>
  <c r="J288" i="9"/>
  <c r="H288" i="9"/>
  <c r="G288" i="9"/>
  <c r="E288" i="9"/>
  <c r="M287" i="9"/>
  <c r="L287" i="9"/>
  <c r="K287" i="9"/>
  <c r="J287" i="9"/>
  <c r="H287" i="9"/>
  <c r="G287" i="9"/>
  <c r="E287" i="9"/>
  <c r="M286" i="9"/>
  <c r="L286" i="9"/>
  <c r="K286" i="9"/>
  <c r="J286" i="9"/>
  <c r="H286" i="9"/>
  <c r="G286" i="9"/>
  <c r="E286" i="9"/>
  <c r="M285" i="9"/>
  <c r="K285" i="9"/>
  <c r="J285" i="9"/>
  <c r="L285" i="9" s="1"/>
  <c r="H285" i="9"/>
  <c r="G285" i="9"/>
  <c r="E285" i="9"/>
  <c r="M284" i="9"/>
  <c r="K284" i="9"/>
  <c r="J284" i="9"/>
  <c r="L284" i="9" s="1"/>
  <c r="H284" i="9"/>
  <c r="G284" i="9"/>
  <c r="E284" i="9"/>
  <c r="M283" i="9"/>
  <c r="K283" i="9"/>
  <c r="J283" i="9"/>
  <c r="L283" i="9" s="1"/>
  <c r="H283" i="9"/>
  <c r="G283" i="9"/>
  <c r="E283" i="9"/>
  <c r="M282" i="9"/>
  <c r="K282" i="9"/>
  <c r="J282" i="9"/>
  <c r="L282" i="9" s="1"/>
  <c r="H282" i="9"/>
  <c r="G282" i="9"/>
  <c r="E282" i="9"/>
  <c r="M281" i="9"/>
  <c r="L281" i="9"/>
  <c r="K281" i="9"/>
  <c r="J281" i="9"/>
  <c r="H281" i="9"/>
  <c r="G281" i="9"/>
  <c r="E281" i="9"/>
  <c r="M280" i="9"/>
  <c r="L280" i="9"/>
  <c r="K280" i="9"/>
  <c r="J280" i="9"/>
  <c r="H280" i="9"/>
  <c r="G280" i="9"/>
  <c r="E280" i="9"/>
  <c r="M279" i="9"/>
  <c r="K279" i="9"/>
  <c r="J279" i="9"/>
  <c r="L279" i="9" s="1"/>
  <c r="H279" i="9"/>
  <c r="G279" i="9"/>
  <c r="E279" i="9"/>
  <c r="M278" i="9"/>
  <c r="K278" i="9"/>
  <c r="J278" i="9"/>
  <c r="H278" i="9"/>
  <c r="G278" i="9"/>
  <c r="E278" i="9"/>
  <c r="M277" i="9"/>
  <c r="K277" i="9"/>
  <c r="J277" i="9"/>
  <c r="L277" i="9" s="1"/>
  <c r="H277" i="9"/>
  <c r="G277" i="9"/>
  <c r="E277" i="9"/>
  <c r="M276" i="9"/>
  <c r="L276" i="9"/>
  <c r="K276" i="9"/>
  <c r="J276" i="9"/>
  <c r="H276" i="9"/>
  <c r="G276" i="9"/>
  <c r="E276" i="9"/>
  <c r="M275" i="9"/>
  <c r="K275" i="9"/>
  <c r="L275" i="9" s="1"/>
  <c r="J275" i="9"/>
  <c r="H275" i="9"/>
  <c r="G275" i="9"/>
  <c r="E275" i="9"/>
  <c r="M274" i="9"/>
  <c r="L274" i="9"/>
  <c r="K274" i="9"/>
  <c r="J274" i="9"/>
  <c r="H274" i="9"/>
  <c r="G274" i="9"/>
  <c r="E274" i="9"/>
  <c r="M273" i="9"/>
  <c r="K273" i="9"/>
  <c r="J273" i="9"/>
  <c r="L273" i="9" s="1"/>
  <c r="H273" i="9"/>
  <c r="G273" i="9"/>
  <c r="E273" i="9"/>
  <c r="M272" i="9"/>
  <c r="K272" i="9"/>
  <c r="J272" i="9"/>
  <c r="L272" i="9" s="1"/>
  <c r="H272" i="9"/>
  <c r="G272" i="9"/>
  <c r="E272" i="9"/>
  <c r="M271" i="9"/>
  <c r="K271" i="9"/>
  <c r="J271" i="9"/>
  <c r="L271" i="9" s="1"/>
  <c r="H271" i="9"/>
  <c r="G271" i="9"/>
  <c r="E271" i="9"/>
  <c r="M270" i="9"/>
  <c r="K270" i="9"/>
  <c r="L270" i="9" s="1"/>
  <c r="J270" i="9"/>
  <c r="H270" i="9"/>
  <c r="G270" i="9"/>
  <c r="E270" i="9"/>
  <c r="M269" i="9"/>
  <c r="L269" i="9"/>
  <c r="K269" i="9"/>
  <c r="J269" i="9"/>
  <c r="H269" i="9"/>
  <c r="G269" i="9"/>
  <c r="E269" i="9"/>
  <c r="M268" i="9"/>
  <c r="L268" i="9"/>
  <c r="K268" i="9"/>
  <c r="J268" i="9"/>
  <c r="H268" i="9"/>
  <c r="G268" i="9"/>
  <c r="E268" i="9"/>
  <c r="M267" i="9"/>
  <c r="K267" i="9"/>
  <c r="J267" i="9"/>
  <c r="L267" i="9" s="1"/>
  <c r="H267" i="9"/>
  <c r="G267" i="9"/>
  <c r="E267" i="9"/>
  <c r="M266" i="9"/>
  <c r="K266" i="9"/>
  <c r="J266" i="9"/>
  <c r="L266" i="9" s="1"/>
  <c r="H266" i="9"/>
  <c r="G266" i="9"/>
  <c r="E266" i="9"/>
  <c r="M265" i="9"/>
  <c r="K265" i="9"/>
  <c r="J265" i="9"/>
  <c r="H265" i="9"/>
  <c r="G265" i="9"/>
  <c r="E265" i="9"/>
  <c r="M264" i="9"/>
  <c r="K264" i="9"/>
  <c r="L264" i="9" s="1"/>
  <c r="J264" i="9"/>
  <c r="H264" i="9"/>
  <c r="G264" i="9"/>
  <c r="E264" i="9"/>
  <c r="M263" i="9"/>
  <c r="L263" i="9"/>
  <c r="K263" i="9"/>
  <c r="J263" i="9"/>
  <c r="H263" i="9"/>
  <c r="G263" i="9"/>
  <c r="E263" i="9"/>
  <c r="M262" i="9"/>
  <c r="L262" i="9"/>
  <c r="K262" i="9"/>
  <c r="J262" i="9"/>
  <c r="H262" i="9"/>
  <c r="G262" i="9"/>
  <c r="E262" i="9"/>
  <c r="M261" i="9"/>
  <c r="K261" i="9"/>
  <c r="J261" i="9"/>
  <c r="L261" i="9" s="1"/>
  <c r="H261" i="9"/>
  <c r="G261" i="9"/>
  <c r="E261" i="9"/>
  <c r="M260" i="9"/>
  <c r="K260" i="9"/>
  <c r="J260" i="9"/>
  <c r="L260" i="9" s="1"/>
  <c r="H260" i="9"/>
  <c r="G260" i="9"/>
  <c r="E260" i="9"/>
  <c r="M259" i="9"/>
  <c r="L259" i="9"/>
  <c r="K259" i="9"/>
  <c r="J259" i="9"/>
  <c r="H259" i="9"/>
  <c r="G259" i="9"/>
  <c r="E259" i="9"/>
  <c r="M258" i="9"/>
  <c r="L258" i="9"/>
  <c r="K258" i="9"/>
  <c r="J258" i="9"/>
  <c r="H258" i="9"/>
  <c r="G258" i="9"/>
  <c r="E258" i="9"/>
  <c r="M257" i="9"/>
  <c r="L257" i="9"/>
  <c r="K257" i="9"/>
  <c r="J257" i="9"/>
  <c r="H257" i="9"/>
  <c r="G257" i="9"/>
  <c r="E257" i="9"/>
  <c r="M256" i="9"/>
  <c r="L256" i="9"/>
  <c r="K256" i="9"/>
  <c r="J256" i="9"/>
  <c r="H256" i="9"/>
  <c r="G256" i="9"/>
  <c r="E256" i="9"/>
  <c r="M255" i="9"/>
  <c r="K255" i="9"/>
  <c r="J255" i="9"/>
  <c r="L255" i="9" s="1"/>
  <c r="H255" i="9"/>
  <c r="G255" i="9"/>
  <c r="E255" i="9"/>
  <c r="M254" i="9"/>
  <c r="K254" i="9"/>
  <c r="J254" i="9"/>
  <c r="H254" i="9"/>
  <c r="G254" i="9"/>
  <c r="E254" i="9"/>
  <c r="M253" i="9"/>
  <c r="K253" i="9"/>
  <c r="J253" i="9"/>
  <c r="L253" i="9" s="1"/>
  <c r="H253" i="9"/>
  <c r="G253" i="9"/>
  <c r="E253" i="9"/>
  <c r="M252" i="9"/>
  <c r="L252" i="9"/>
  <c r="K252" i="9"/>
  <c r="J252" i="9"/>
  <c r="H252" i="9"/>
  <c r="G252" i="9"/>
  <c r="E252" i="9"/>
  <c r="M251" i="9"/>
  <c r="L251" i="9"/>
  <c r="K251" i="9"/>
  <c r="J251" i="9"/>
  <c r="H251" i="9"/>
  <c r="G251" i="9"/>
  <c r="E251" i="9"/>
  <c r="M250" i="9"/>
  <c r="L250" i="9"/>
  <c r="K250" i="9"/>
  <c r="J250" i="9"/>
  <c r="H250" i="9"/>
  <c r="G250" i="9"/>
  <c r="E250" i="9"/>
  <c r="M249" i="9"/>
  <c r="K249" i="9"/>
  <c r="J249" i="9"/>
  <c r="L249" i="9" s="1"/>
  <c r="H249" i="9"/>
  <c r="G249" i="9"/>
  <c r="E249" i="9"/>
  <c r="M248" i="9"/>
  <c r="K248" i="9"/>
  <c r="J248" i="9"/>
  <c r="L248" i="9" s="1"/>
  <c r="H248" i="9"/>
  <c r="G248" i="9"/>
  <c r="E248" i="9"/>
  <c r="M247" i="9"/>
  <c r="L247" i="9"/>
  <c r="K247" i="9"/>
  <c r="J247" i="9"/>
  <c r="H247" i="9"/>
  <c r="G247" i="9"/>
  <c r="E247" i="9"/>
  <c r="M246" i="9"/>
  <c r="K246" i="9"/>
  <c r="J246" i="9"/>
  <c r="L246" i="9" s="1"/>
  <c r="H246" i="9"/>
  <c r="G246" i="9"/>
  <c r="E246" i="9"/>
  <c r="M245" i="9"/>
  <c r="L245" i="9"/>
  <c r="K245" i="9"/>
  <c r="J245" i="9"/>
  <c r="H245" i="9"/>
  <c r="G245" i="9"/>
  <c r="E245" i="9"/>
  <c r="M244" i="9"/>
  <c r="L244" i="9"/>
  <c r="K244" i="9"/>
  <c r="J244" i="9"/>
  <c r="H244" i="9"/>
  <c r="G244" i="9"/>
  <c r="E244" i="9"/>
  <c r="M243" i="9"/>
  <c r="K243" i="9"/>
  <c r="J243" i="9"/>
  <c r="L243" i="9" s="1"/>
  <c r="H243" i="9"/>
  <c r="G243" i="9"/>
  <c r="E243" i="9"/>
  <c r="M242" i="9"/>
  <c r="K242" i="9"/>
  <c r="J242" i="9"/>
  <c r="L242" i="9" s="1"/>
  <c r="H242" i="9"/>
  <c r="G242" i="9"/>
  <c r="E242" i="9"/>
  <c r="M241" i="9"/>
  <c r="K241" i="9"/>
  <c r="J241" i="9"/>
  <c r="L241" i="9" s="1"/>
  <c r="H241" i="9"/>
  <c r="G241" i="9"/>
  <c r="E241" i="9"/>
  <c r="M240" i="9"/>
  <c r="K240" i="9"/>
  <c r="L240" i="9" s="1"/>
  <c r="J240" i="9"/>
  <c r="H240" i="9"/>
  <c r="G240" i="9"/>
  <c r="E240" i="9"/>
  <c r="M239" i="9"/>
  <c r="L239" i="9"/>
  <c r="K239" i="9"/>
  <c r="J239" i="9"/>
  <c r="H239" i="9"/>
  <c r="G239" i="9"/>
  <c r="E239" i="9"/>
  <c r="M238" i="9"/>
  <c r="L238" i="9"/>
  <c r="K238" i="9"/>
  <c r="J238" i="9"/>
  <c r="H238" i="9"/>
  <c r="G238" i="9"/>
  <c r="E238" i="9"/>
  <c r="M237" i="9"/>
  <c r="K237" i="9"/>
  <c r="J237" i="9"/>
  <c r="L237" i="9" s="1"/>
  <c r="H237" i="9"/>
  <c r="G237" i="9"/>
  <c r="E237" i="9"/>
  <c r="M236" i="9"/>
  <c r="K236" i="9"/>
  <c r="J236" i="9"/>
  <c r="L236" i="9" s="1"/>
  <c r="H236" i="9"/>
  <c r="G236" i="9"/>
  <c r="E236" i="9"/>
  <c r="M235" i="9"/>
  <c r="K235" i="9"/>
  <c r="J235" i="9"/>
  <c r="L235" i="9" s="1"/>
  <c r="H235" i="9"/>
  <c r="G235" i="9"/>
  <c r="E235" i="9"/>
  <c r="M234" i="9"/>
  <c r="L234" i="9"/>
  <c r="K234" i="9"/>
  <c r="J234" i="9"/>
  <c r="H234" i="9"/>
  <c r="G234" i="9"/>
  <c r="E234" i="9"/>
  <c r="M233" i="9"/>
  <c r="L233" i="9"/>
  <c r="K233" i="9"/>
  <c r="J233" i="9"/>
  <c r="H233" i="9"/>
  <c r="G233" i="9"/>
  <c r="E233" i="9"/>
  <c r="M232" i="9"/>
  <c r="L232" i="9"/>
  <c r="K232" i="9"/>
  <c r="J232" i="9"/>
  <c r="H232" i="9"/>
  <c r="G232" i="9"/>
  <c r="E232" i="9"/>
  <c r="M231" i="9"/>
  <c r="K231" i="9"/>
  <c r="J231" i="9"/>
  <c r="L231" i="9" s="1"/>
  <c r="H231" i="9"/>
  <c r="G231" i="9"/>
  <c r="E231" i="9"/>
  <c r="M230" i="9"/>
  <c r="K230" i="9"/>
  <c r="J230" i="9"/>
  <c r="L230" i="9" s="1"/>
  <c r="H230" i="9"/>
  <c r="G230" i="9"/>
  <c r="E230" i="9"/>
  <c r="M229" i="9"/>
  <c r="K229" i="9"/>
  <c r="J229" i="9"/>
  <c r="L229" i="9" s="1"/>
  <c r="H229" i="9"/>
  <c r="G229" i="9"/>
  <c r="E229" i="9"/>
  <c r="M228" i="9"/>
  <c r="K228" i="9"/>
  <c r="L228" i="9" s="1"/>
  <c r="J228" i="9"/>
  <c r="H228" i="9"/>
  <c r="G228" i="9"/>
  <c r="E228" i="9"/>
  <c r="M227" i="9"/>
  <c r="L227" i="9"/>
  <c r="K227" i="9"/>
  <c r="J227" i="9"/>
  <c r="H227" i="9"/>
  <c r="G227" i="9"/>
  <c r="E227" i="9"/>
  <c r="M226" i="9"/>
  <c r="L226" i="9"/>
  <c r="K226" i="9"/>
  <c r="J226" i="9"/>
  <c r="H226" i="9"/>
  <c r="G226" i="9"/>
  <c r="E226" i="9"/>
  <c r="M225" i="9"/>
  <c r="K225" i="9"/>
  <c r="J225" i="9"/>
  <c r="L225" i="9" s="1"/>
  <c r="H225" i="9"/>
  <c r="G225" i="9"/>
  <c r="E225" i="9"/>
  <c r="M224" i="9"/>
  <c r="K224" i="9"/>
  <c r="J224" i="9"/>
  <c r="L224" i="9" s="1"/>
  <c r="H224" i="9"/>
  <c r="G224" i="9"/>
  <c r="E224" i="9"/>
  <c r="M223" i="9"/>
  <c r="L223" i="9"/>
  <c r="K223" i="9"/>
  <c r="J223" i="9"/>
  <c r="H223" i="9"/>
  <c r="G223" i="9"/>
  <c r="E223" i="9"/>
  <c r="M222" i="9"/>
  <c r="K222" i="9"/>
  <c r="J222" i="9"/>
  <c r="L222" i="9" s="1"/>
  <c r="H222" i="9"/>
  <c r="G222" i="9"/>
  <c r="E222" i="9"/>
  <c r="M221" i="9"/>
  <c r="L221" i="9"/>
  <c r="K221" i="9"/>
  <c r="J221" i="9"/>
  <c r="H221" i="9"/>
  <c r="G221" i="9"/>
  <c r="E221" i="9"/>
  <c r="M220" i="9"/>
  <c r="L220" i="9"/>
  <c r="K220" i="9"/>
  <c r="J220" i="9"/>
  <c r="H220" i="9"/>
  <c r="G220" i="9"/>
  <c r="E220" i="9"/>
  <c r="M219" i="9"/>
  <c r="K219" i="9"/>
  <c r="J219" i="9"/>
  <c r="L219" i="9" s="1"/>
  <c r="H219" i="9"/>
  <c r="G219" i="9"/>
  <c r="E219" i="9"/>
  <c r="M218" i="9"/>
  <c r="K218" i="9"/>
  <c r="J218" i="9"/>
  <c r="H218" i="9"/>
  <c r="G218" i="9"/>
  <c r="E218" i="9"/>
  <c r="M217" i="9"/>
  <c r="K217" i="9"/>
  <c r="J217" i="9"/>
  <c r="H217" i="9"/>
  <c r="G217" i="9"/>
  <c r="E217" i="9"/>
  <c r="M216" i="9"/>
  <c r="L216" i="9"/>
  <c r="K216" i="9"/>
  <c r="J216" i="9"/>
  <c r="H216" i="9"/>
  <c r="G216" i="9"/>
  <c r="E216" i="9"/>
  <c r="M215" i="9"/>
  <c r="K215" i="9"/>
  <c r="L215" i="9" s="1"/>
  <c r="J215" i="9"/>
  <c r="H215" i="9"/>
  <c r="G215" i="9"/>
  <c r="E215" i="9"/>
  <c r="M214" i="9"/>
  <c r="L214" i="9"/>
  <c r="K214" i="9"/>
  <c r="J214" i="9"/>
  <c r="H214" i="9"/>
  <c r="G214" i="9"/>
  <c r="E214" i="9"/>
  <c r="M213" i="9"/>
  <c r="K213" i="9"/>
  <c r="J213" i="9"/>
  <c r="L213" i="9" s="1"/>
  <c r="H213" i="9"/>
  <c r="G213" i="9"/>
  <c r="E213" i="9"/>
  <c r="M212" i="9"/>
  <c r="K212" i="9"/>
  <c r="J212" i="9"/>
  <c r="L212" i="9" s="1"/>
  <c r="H212" i="9"/>
  <c r="G212" i="9"/>
  <c r="E212" i="9"/>
  <c r="M211" i="9"/>
  <c r="K211" i="9"/>
  <c r="J211" i="9"/>
  <c r="L211" i="9" s="1"/>
  <c r="H211" i="9"/>
  <c r="G211" i="9"/>
  <c r="E211" i="9"/>
  <c r="M210" i="9"/>
  <c r="K210" i="9"/>
  <c r="J210" i="9"/>
  <c r="H210" i="9"/>
  <c r="G210" i="9"/>
  <c r="E210" i="9"/>
  <c r="M209" i="9"/>
  <c r="L209" i="9"/>
  <c r="K209" i="9"/>
  <c r="J209" i="9"/>
  <c r="H209" i="9"/>
  <c r="G209" i="9"/>
  <c r="E209" i="9"/>
  <c r="M208" i="9"/>
  <c r="L208" i="9"/>
  <c r="K208" i="9"/>
  <c r="J208" i="9"/>
  <c r="H208" i="9"/>
  <c r="G208" i="9"/>
  <c r="E208" i="9"/>
  <c r="M207" i="9"/>
  <c r="K207" i="9"/>
  <c r="J207" i="9"/>
  <c r="L207" i="9" s="1"/>
  <c r="H207" i="9"/>
  <c r="G207" i="9"/>
  <c r="E207" i="9"/>
  <c r="M206" i="9"/>
  <c r="K206" i="9"/>
  <c r="J206" i="9"/>
  <c r="L206" i="9" s="1"/>
  <c r="H206" i="9"/>
  <c r="G206" i="9"/>
  <c r="E206" i="9"/>
  <c r="M205" i="9"/>
  <c r="K205" i="9"/>
  <c r="J205" i="9"/>
  <c r="H205" i="9"/>
  <c r="G205" i="9"/>
  <c r="E205" i="9"/>
  <c r="M204" i="9"/>
  <c r="K204" i="9"/>
  <c r="L204" i="9" s="1"/>
  <c r="J204" i="9"/>
  <c r="H204" i="9"/>
  <c r="G204" i="9"/>
  <c r="E204" i="9"/>
  <c r="M203" i="9"/>
  <c r="L203" i="9"/>
  <c r="K203" i="9"/>
  <c r="J203" i="9"/>
  <c r="H203" i="9"/>
  <c r="G203" i="9"/>
  <c r="E203" i="9"/>
  <c r="M202" i="9"/>
  <c r="L202" i="9"/>
  <c r="K202" i="9"/>
  <c r="J202" i="9"/>
  <c r="H202" i="9"/>
  <c r="G202" i="9"/>
  <c r="E202" i="9"/>
  <c r="M201" i="9"/>
  <c r="K201" i="9"/>
  <c r="J201" i="9"/>
  <c r="L201" i="9" s="1"/>
  <c r="H201" i="9"/>
  <c r="G201" i="9"/>
  <c r="E201" i="9"/>
  <c r="M200" i="9"/>
  <c r="K200" i="9"/>
  <c r="J200" i="9"/>
  <c r="L200" i="9" s="1"/>
  <c r="H200" i="9"/>
  <c r="G200" i="9"/>
  <c r="E200" i="9"/>
  <c r="M199" i="9"/>
  <c r="K199" i="9"/>
  <c r="J199" i="9"/>
  <c r="L199" i="9" s="1"/>
  <c r="H199" i="9"/>
  <c r="G199" i="9"/>
  <c r="E199" i="9"/>
  <c r="M198" i="9"/>
  <c r="L198" i="9"/>
  <c r="K198" i="9"/>
  <c r="J198" i="9"/>
  <c r="H198" i="9"/>
  <c r="G198" i="9"/>
  <c r="E198" i="9"/>
  <c r="M197" i="9"/>
  <c r="L197" i="9"/>
  <c r="K197" i="9"/>
  <c r="J197" i="9"/>
  <c r="H197" i="9"/>
  <c r="G197" i="9"/>
  <c r="E197" i="9"/>
  <c r="M196" i="9"/>
  <c r="L196" i="9"/>
  <c r="K196" i="9"/>
  <c r="J196" i="9"/>
  <c r="H196" i="9"/>
  <c r="G196" i="9"/>
  <c r="E196" i="9"/>
  <c r="M195" i="9"/>
  <c r="K195" i="9"/>
  <c r="J195" i="9"/>
  <c r="L195" i="9" s="1"/>
  <c r="H195" i="9"/>
  <c r="G195" i="9"/>
  <c r="E195" i="9"/>
  <c r="M194" i="9"/>
  <c r="K194" i="9"/>
  <c r="J194" i="9"/>
  <c r="H194" i="9"/>
  <c r="G194" i="9"/>
  <c r="E194" i="9"/>
  <c r="M193" i="9"/>
  <c r="K193" i="9"/>
  <c r="J193" i="9"/>
  <c r="L193" i="9" s="1"/>
  <c r="H193" i="9"/>
  <c r="G193" i="9"/>
  <c r="E193" i="9"/>
  <c r="M192" i="9"/>
  <c r="L192" i="9"/>
  <c r="K192" i="9"/>
  <c r="J192" i="9"/>
  <c r="H192" i="9"/>
  <c r="G192" i="9"/>
  <c r="E192" i="9"/>
  <c r="M191" i="9"/>
  <c r="K191" i="9"/>
  <c r="L191" i="9" s="1"/>
  <c r="J191" i="9"/>
  <c r="H191" i="9"/>
  <c r="G191" i="9"/>
  <c r="E191" i="9"/>
  <c r="M190" i="9"/>
  <c r="L190" i="9"/>
  <c r="K190" i="9"/>
  <c r="J190" i="9"/>
  <c r="H190" i="9"/>
  <c r="G190" i="9"/>
  <c r="E190" i="9"/>
  <c r="M189" i="9"/>
  <c r="K189" i="9"/>
  <c r="J189" i="9"/>
  <c r="L189" i="9" s="1"/>
  <c r="H189" i="9"/>
  <c r="G189" i="9"/>
  <c r="E189" i="9"/>
  <c r="M188" i="9"/>
  <c r="K188" i="9"/>
  <c r="J188" i="9"/>
  <c r="L188" i="9" s="1"/>
  <c r="H188" i="9"/>
  <c r="G188" i="9"/>
  <c r="E188" i="9"/>
  <c r="M187" i="9"/>
  <c r="L187" i="9"/>
  <c r="K187" i="9"/>
  <c r="J187" i="9"/>
  <c r="H187" i="9"/>
  <c r="G187" i="9"/>
  <c r="E187" i="9"/>
  <c r="M186" i="9"/>
  <c r="L186" i="9"/>
  <c r="K186" i="9"/>
  <c r="J186" i="9"/>
  <c r="H186" i="9"/>
  <c r="G186" i="9"/>
  <c r="E186" i="9"/>
  <c r="M185" i="9"/>
  <c r="L185" i="9"/>
  <c r="K185" i="9"/>
  <c r="J185" i="9"/>
  <c r="H185" i="9"/>
  <c r="G185" i="9"/>
  <c r="E185" i="9"/>
  <c r="M184" i="9"/>
  <c r="L184" i="9"/>
  <c r="K184" i="9"/>
  <c r="J184" i="9"/>
  <c r="H184" i="9"/>
  <c r="G184" i="9"/>
  <c r="E184" i="9"/>
  <c r="M183" i="9"/>
  <c r="K183" i="9"/>
  <c r="J183" i="9"/>
  <c r="L183" i="9" s="1"/>
  <c r="H183" i="9"/>
  <c r="G183" i="9"/>
  <c r="E183" i="9"/>
  <c r="M182" i="9"/>
  <c r="K182" i="9"/>
  <c r="J182" i="9"/>
  <c r="L182" i="9" s="1"/>
  <c r="H182" i="9"/>
  <c r="G182" i="9"/>
  <c r="E182" i="9"/>
  <c r="M181" i="9"/>
  <c r="K181" i="9"/>
  <c r="J181" i="9"/>
  <c r="L181" i="9" s="1"/>
  <c r="H181" i="9"/>
  <c r="G181" i="9"/>
  <c r="E181" i="9"/>
  <c r="M180" i="9"/>
  <c r="K180" i="9"/>
  <c r="L180" i="9" s="1"/>
  <c r="J180" i="9"/>
  <c r="H180" i="9"/>
  <c r="G180" i="9"/>
  <c r="E180" i="9"/>
  <c r="M179" i="9"/>
  <c r="K179" i="9"/>
  <c r="L179" i="9" s="1"/>
  <c r="J179" i="9"/>
  <c r="H179" i="9"/>
  <c r="G179" i="9"/>
  <c r="E179" i="9"/>
  <c r="M178" i="9"/>
  <c r="L178" i="9"/>
  <c r="K178" i="9"/>
  <c r="J178" i="9"/>
  <c r="H178" i="9"/>
  <c r="G178" i="9"/>
  <c r="E178" i="9"/>
  <c r="M177" i="9"/>
  <c r="K177" i="9"/>
  <c r="J177" i="9"/>
  <c r="L177" i="9" s="1"/>
  <c r="H177" i="9"/>
  <c r="G177" i="9"/>
  <c r="E177" i="9"/>
  <c r="M176" i="9"/>
  <c r="K176" i="9"/>
  <c r="J176" i="9"/>
  <c r="L176" i="9" s="1"/>
  <c r="H176" i="9"/>
  <c r="G176" i="9"/>
  <c r="E176" i="9"/>
  <c r="M175" i="9"/>
  <c r="L175" i="9"/>
  <c r="K175" i="9"/>
  <c r="J175" i="9"/>
  <c r="H175" i="9"/>
  <c r="G175" i="9"/>
  <c r="E175" i="9"/>
  <c r="M174" i="9"/>
  <c r="L174" i="9"/>
  <c r="K174" i="9"/>
  <c r="J174" i="9"/>
  <c r="H174" i="9"/>
  <c r="G174" i="9"/>
  <c r="E174" i="9"/>
  <c r="M173" i="9"/>
  <c r="L173" i="9"/>
  <c r="K173" i="9"/>
  <c r="J173" i="9"/>
  <c r="H173" i="9"/>
  <c r="G173" i="9"/>
  <c r="E173" i="9"/>
  <c r="M172" i="9"/>
  <c r="K172" i="9"/>
  <c r="J172" i="9"/>
  <c r="L172" i="9" s="1"/>
  <c r="H172" i="9"/>
  <c r="G172" i="9"/>
  <c r="E172" i="9"/>
  <c r="M171" i="9"/>
  <c r="K171" i="9"/>
  <c r="J171" i="9"/>
  <c r="L171" i="9" s="1"/>
  <c r="H171" i="9"/>
  <c r="G171" i="9"/>
  <c r="E171" i="9"/>
  <c r="M170" i="9"/>
  <c r="K170" i="9"/>
  <c r="J170" i="9"/>
  <c r="L170" i="9" s="1"/>
  <c r="H170" i="9"/>
  <c r="G170" i="9"/>
  <c r="E170" i="9"/>
  <c r="M169" i="9"/>
  <c r="K169" i="9"/>
  <c r="J169" i="9"/>
  <c r="L169" i="9" s="1"/>
  <c r="H169" i="9"/>
  <c r="G169" i="9"/>
  <c r="E169" i="9"/>
  <c r="M168" i="9"/>
  <c r="K168" i="9"/>
  <c r="L168" i="9" s="1"/>
  <c r="J168" i="9"/>
  <c r="H168" i="9"/>
  <c r="G168" i="9"/>
  <c r="E168" i="9"/>
  <c r="M167" i="9"/>
  <c r="L167" i="9"/>
  <c r="K167" i="9"/>
  <c r="J167" i="9"/>
  <c r="H167" i="9"/>
  <c r="G167" i="9"/>
  <c r="E167" i="9"/>
  <c r="M166" i="9"/>
  <c r="L166" i="9"/>
  <c r="K166" i="9"/>
  <c r="J166" i="9"/>
  <c r="H166" i="9"/>
  <c r="G166" i="9"/>
  <c r="E166" i="9"/>
  <c r="M165" i="9"/>
  <c r="K165" i="9"/>
  <c r="J165" i="9"/>
  <c r="H165" i="9"/>
  <c r="G165" i="9"/>
  <c r="E165" i="9"/>
  <c r="M164" i="9"/>
  <c r="K164" i="9"/>
  <c r="J164" i="9"/>
  <c r="L164" i="9" s="1"/>
  <c r="H164" i="9"/>
  <c r="G164" i="9"/>
  <c r="E164" i="9"/>
  <c r="M163" i="9"/>
  <c r="L163" i="9"/>
  <c r="K163" i="9"/>
  <c r="J163" i="9"/>
  <c r="H163" i="9"/>
  <c r="G163" i="9"/>
  <c r="E163" i="9"/>
  <c r="M162" i="9"/>
  <c r="K162" i="9"/>
  <c r="J162" i="9"/>
  <c r="L162" i="9" s="1"/>
  <c r="H162" i="9"/>
  <c r="G162" i="9"/>
  <c r="E162" i="9"/>
  <c r="M161" i="9"/>
  <c r="K161" i="9"/>
  <c r="L161" i="9" s="1"/>
  <c r="J161" i="9"/>
  <c r="H161" i="9"/>
  <c r="G161" i="9"/>
  <c r="E161" i="9"/>
  <c r="M160" i="9"/>
  <c r="L160" i="9"/>
  <c r="K160" i="9"/>
  <c r="J160" i="9"/>
  <c r="H160" i="9"/>
  <c r="G160" i="9"/>
  <c r="E160" i="9"/>
  <c r="M159" i="9"/>
  <c r="K159" i="9"/>
  <c r="J159" i="9"/>
  <c r="H159" i="9"/>
  <c r="G159" i="9"/>
  <c r="E159" i="9"/>
  <c r="M158" i="9"/>
  <c r="L158" i="9"/>
  <c r="K158" i="9"/>
  <c r="J158" i="9"/>
  <c r="H158" i="9"/>
  <c r="G158" i="9"/>
  <c r="E158" i="9"/>
  <c r="M157" i="9"/>
  <c r="K157" i="9"/>
  <c r="J157" i="9"/>
  <c r="L157" i="9" s="1"/>
  <c r="H157" i="9"/>
  <c r="G157" i="9"/>
  <c r="E157" i="9"/>
  <c r="M156" i="9"/>
  <c r="L156" i="9"/>
  <c r="K156" i="9"/>
  <c r="J156" i="9"/>
  <c r="H156" i="9"/>
  <c r="G156" i="9"/>
  <c r="E156" i="9"/>
  <c r="M155" i="9"/>
  <c r="L155" i="9"/>
  <c r="K155" i="9"/>
  <c r="J155" i="9"/>
  <c r="H155" i="9"/>
  <c r="G155" i="9"/>
  <c r="E155" i="9"/>
  <c r="M154" i="9"/>
  <c r="K154" i="9"/>
  <c r="J154" i="9"/>
  <c r="L154" i="9" s="1"/>
  <c r="H154" i="9"/>
  <c r="G154" i="9"/>
  <c r="E154" i="9"/>
  <c r="M153" i="9"/>
  <c r="K153" i="9"/>
  <c r="J153" i="9"/>
  <c r="L153" i="9" s="1"/>
  <c r="H153" i="9"/>
  <c r="G153" i="9"/>
  <c r="E153" i="9"/>
  <c r="M152" i="9"/>
  <c r="L152" i="9"/>
  <c r="K152" i="9"/>
  <c r="J152" i="9"/>
  <c r="H152" i="9"/>
  <c r="G152" i="9"/>
  <c r="E152" i="9"/>
  <c r="M151" i="9"/>
  <c r="L151" i="9"/>
  <c r="K151" i="9"/>
  <c r="J151" i="9"/>
  <c r="H151" i="9"/>
  <c r="G151" i="9"/>
  <c r="E151" i="9"/>
  <c r="M150" i="9"/>
  <c r="K150" i="9"/>
  <c r="J150" i="9"/>
  <c r="L150" i="9" s="1"/>
  <c r="H150" i="9"/>
  <c r="G150" i="9"/>
  <c r="E150" i="9"/>
  <c r="M149" i="9"/>
  <c r="L149" i="9"/>
  <c r="K149" i="9"/>
  <c r="J149" i="9"/>
  <c r="H149" i="9"/>
  <c r="G149" i="9"/>
  <c r="E149" i="9"/>
  <c r="M148" i="9"/>
  <c r="K148" i="9"/>
  <c r="J148" i="9"/>
  <c r="L148" i="9" s="1"/>
  <c r="H148" i="9"/>
  <c r="G148" i="9"/>
  <c r="E148" i="9"/>
  <c r="M147" i="9"/>
  <c r="K147" i="9"/>
  <c r="J147" i="9"/>
  <c r="L147" i="9" s="1"/>
  <c r="H147" i="9"/>
  <c r="G147" i="9"/>
  <c r="E147" i="9"/>
  <c r="M146" i="9"/>
  <c r="K146" i="9"/>
  <c r="L146" i="9" s="1"/>
  <c r="J146" i="9"/>
  <c r="H146" i="9"/>
  <c r="G146" i="9"/>
  <c r="E146" i="9"/>
  <c r="M145" i="9"/>
  <c r="L145" i="9"/>
  <c r="K145" i="9"/>
  <c r="J145" i="9"/>
  <c r="H145" i="9"/>
  <c r="G145" i="9"/>
  <c r="E145" i="9"/>
  <c r="M144" i="9"/>
  <c r="L144" i="9"/>
  <c r="K144" i="9"/>
  <c r="J144" i="9"/>
  <c r="H144" i="9"/>
  <c r="G144" i="9"/>
  <c r="E144" i="9"/>
  <c r="M143" i="9"/>
  <c r="K143" i="9"/>
  <c r="L143" i="9" s="1"/>
  <c r="J143" i="9"/>
  <c r="H143" i="9"/>
  <c r="G143" i="9"/>
  <c r="E143" i="9"/>
  <c r="M142" i="9"/>
  <c r="L142" i="9"/>
  <c r="K142" i="9"/>
  <c r="J142" i="9"/>
  <c r="H142" i="9"/>
  <c r="G142" i="9"/>
  <c r="E142" i="9"/>
  <c r="M141" i="9"/>
  <c r="K141" i="9"/>
  <c r="J141" i="9"/>
  <c r="H141" i="9"/>
  <c r="G141" i="9"/>
  <c r="E141" i="9"/>
  <c r="M140" i="9"/>
  <c r="K140" i="9"/>
  <c r="J140" i="9"/>
  <c r="L140" i="9" s="1"/>
  <c r="H140" i="9"/>
  <c r="G140" i="9"/>
  <c r="E140" i="9"/>
  <c r="M139" i="9"/>
  <c r="K139" i="9"/>
  <c r="J139" i="9"/>
  <c r="L139" i="9" s="1"/>
  <c r="H139" i="9"/>
  <c r="G139" i="9"/>
  <c r="E139" i="9"/>
  <c r="M138" i="9"/>
  <c r="K138" i="9"/>
  <c r="L138" i="9" s="1"/>
  <c r="J138" i="9"/>
  <c r="H138" i="9"/>
  <c r="G138" i="9"/>
  <c r="E138" i="9"/>
  <c r="M137" i="9"/>
  <c r="L137" i="9"/>
  <c r="K137" i="9"/>
  <c r="J137" i="9"/>
  <c r="H137" i="9"/>
  <c r="G137" i="9"/>
  <c r="E137" i="9"/>
  <c r="M136" i="9"/>
  <c r="K136" i="9"/>
  <c r="J136" i="9"/>
  <c r="L136" i="9" s="1"/>
  <c r="H136" i="9"/>
  <c r="G136" i="9"/>
  <c r="E136" i="9"/>
  <c r="M135" i="9"/>
  <c r="K135" i="9"/>
  <c r="J135" i="9"/>
  <c r="H135" i="9"/>
  <c r="G135" i="9"/>
  <c r="E135" i="9"/>
  <c r="M134" i="9"/>
  <c r="K134" i="9"/>
  <c r="J134" i="9"/>
  <c r="H134" i="9"/>
  <c r="G134" i="9"/>
  <c r="E134" i="9"/>
  <c r="M133" i="9"/>
  <c r="K133" i="9"/>
  <c r="J133" i="9"/>
  <c r="L133" i="9" s="1"/>
  <c r="H133" i="9"/>
  <c r="G133" i="9"/>
  <c r="E133" i="9"/>
  <c r="M132" i="9"/>
  <c r="L132" i="9"/>
  <c r="K132" i="9"/>
  <c r="J132" i="9"/>
  <c r="H132" i="9"/>
  <c r="G132" i="9"/>
  <c r="E132" i="9"/>
  <c r="M131" i="9"/>
  <c r="K131" i="9"/>
  <c r="L131" i="9" s="1"/>
  <c r="J131" i="9"/>
  <c r="H131" i="9"/>
  <c r="G131" i="9"/>
  <c r="E131" i="9"/>
  <c r="M130" i="9"/>
  <c r="L130" i="9"/>
  <c r="K130" i="9"/>
  <c r="J130" i="9"/>
  <c r="H130" i="9"/>
  <c r="G130" i="9"/>
  <c r="E130" i="9"/>
  <c r="M129" i="9"/>
  <c r="K129" i="9"/>
  <c r="J129" i="9"/>
  <c r="L129" i="9" s="1"/>
  <c r="H129" i="9"/>
  <c r="G129" i="9"/>
  <c r="E129" i="9"/>
  <c r="M128" i="9"/>
  <c r="L128" i="9"/>
  <c r="K128" i="9"/>
  <c r="J128" i="9"/>
  <c r="H128" i="9"/>
  <c r="G128" i="9"/>
  <c r="E128" i="9"/>
  <c r="M127" i="9"/>
  <c r="K127" i="9"/>
  <c r="J127" i="9"/>
  <c r="L127" i="9" s="1"/>
  <c r="H127" i="9"/>
  <c r="G127" i="9"/>
  <c r="E127" i="9"/>
  <c r="M126" i="9"/>
  <c r="K126" i="9"/>
  <c r="J126" i="9"/>
  <c r="L126" i="9" s="1"/>
  <c r="H126" i="9"/>
  <c r="G126" i="9"/>
  <c r="E126" i="9"/>
  <c r="M125" i="9"/>
  <c r="K125" i="9"/>
  <c r="L125" i="9" s="1"/>
  <c r="J125" i="9"/>
  <c r="H125" i="9"/>
  <c r="G125" i="9"/>
  <c r="E125" i="9"/>
  <c r="M124" i="9"/>
  <c r="L124" i="9"/>
  <c r="K124" i="9"/>
  <c r="J124" i="9"/>
  <c r="H124" i="9"/>
  <c r="G124" i="9"/>
  <c r="E124" i="9"/>
  <c r="M123" i="9"/>
  <c r="K123" i="9"/>
  <c r="J123" i="9"/>
  <c r="H123" i="9"/>
  <c r="G123" i="9"/>
  <c r="E123" i="9"/>
  <c r="M122" i="9"/>
  <c r="L122" i="9"/>
  <c r="K122" i="9"/>
  <c r="J122" i="9"/>
  <c r="H122" i="9"/>
  <c r="G122" i="9"/>
  <c r="E122" i="9"/>
  <c r="M121" i="9"/>
  <c r="L121" i="9"/>
  <c r="K121" i="9"/>
  <c r="J121" i="9"/>
  <c r="H121" i="9"/>
  <c r="G121" i="9"/>
  <c r="E121" i="9"/>
  <c r="M120" i="9"/>
  <c r="K120" i="9"/>
  <c r="J120" i="9"/>
  <c r="L120" i="9" s="1"/>
  <c r="H120" i="9"/>
  <c r="G120" i="9"/>
  <c r="E120" i="9"/>
  <c r="M119" i="9"/>
  <c r="K119" i="9"/>
  <c r="L119" i="9" s="1"/>
  <c r="J119" i="9"/>
  <c r="H119" i="9"/>
  <c r="G119" i="9"/>
  <c r="E119" i="9"/>
  <c r="M118" i="9"/>
  <c r="K118" i="9"/>
  <c r="J118" i="9"/>
  <c r="L118" i="9" s="1"/>
  <c r="H118" i="9"/>
  <c r="G118" i="9"/>
  <c r="E118" i="9"/>
  <c r="M117" i="9"/>
  <c r="K117" i="9"/>
  <c r="J117" i="9"/>
  <c r="H117" i="9"/>
  <c r="G117" i="9"/>
  <c r="E117" i="9"/>
  <c r="M116" i="9"/>
  <c r="L116" i="9"/>
  <c r="K116" i="9"/>
  <c r="J116" i="9"/>
  <c r="H116" i="9"/>
  <c r="G116" i="9"/>
  <c r="E116" i="9"/>
  <c r="M115" i="9"/>
  <c r="L115" i="9"/>
  <c r="K115" i="9"/>
  <c r="J115" i="9"/>
  <c r="H115" i="9"/>
  <c r="G115" i="9"/>
  <c r="E115" i="9"/>
  <c r="M114" i="9"/>
  <c r="L114" i="9"/>
  <c r="K114" i="9"/>
  <c r="J114" i="9"/>
  <c r="H114" i="9"/>
  <c r="G114" i="9"/>
  <c r="E114" i="9"/>
  <c r="M113" i="9"/>
  <c r="K113" i="9"/>
  <c r="L113" i="9" s="1"/>
  <c r="J113" i="9"/>
  <c r="H113" i="9"/>
  <c r="G113" i="9"/>
  <c r="E113" i="9"/>
  <c r="M112" i="9"/>
  <c r="K112" i="9"/>
  <c r="J112" i="9"/>
  <c r="L112" i="9" s="1"/>
  <c r="H112" i="9"/>
  <c r="G112" i="9"/>
  <c r="E112" i="9"/>
  <c r="M111" i="9"/>
  <c r="K111" i="9"/>
  <c r="J111" i="9"/>
  <c r="H111" i="9"/>
  <c r="G111" i="9"/>
  <c r="E111" i="9"/>
  <c r="M110" i="9"/>
  <c r="K110" i="9"/>
  <c r="J110" i="9"/>
  <c r="H110" i="9"/>
  <c r="G110" i="9"/>
  <c r="E110" i="9"/>
  <c r="M109" i="9"/>
  <c r="L109" i="9"/>
  <c r="K109" i="9"/>
  <c r="J109" i="9"/>
  <c r="H109" i="9"/>
  <c r="G109" i="9"/>
  <c r="E109" i="9"/>
  <c r="M108" i="9"/>
  <c r="L108" i="9"/>
  <c r="K108" i="9"/>
  <c r="J108" i="9"/>
  <c r="H108" i="9"/>
  <c r="G108" i="9"/>
  <c r="E108" i="9"/>
  <c r="M107" i="9"/>
  <c r="L107" i="9"/>
  <c r="K107" i="9"/>
  <c r="J107" i="9"/>
  <c r="H107" i="9"/>
  <c r="G107" i="9"/>
  <c r="E107" i="9"/>
  <c r="M106" i="9"/>
  <c r="K106" i="9"/>
  <c r="J106" i="9"/>
  <c r="L106" i="9" s="1"/>
  <c r="H106" i="9"/>
  <c r="G106" i="9"/>
  <c r="E106" i="9"/>
  <c r="M105" i="9"/>
  <c r="K105" i="9"/>
  <c r="J105" i="9"/>
  <c r="H105" i="9"/>
  <c r="G105" i="9"/>
  <c r="E105" i="9"/>
  <c r="M104" i="9"/>
  <c r="K104" i="9"/>
  <c r="J104" i="9"/>
  <c r="L104" i="9" s="1"/>
  <c r="H104" i="9"/>
  <c r="G104" i="9"/>
  <c r="E104" i="9"/>
  <c r="M103" i="9"/>
  <c r="K103" i="9"/>
  <c r="J103" i="9"/>
  <c r="H103" i="9"/>
  <c r="G103" i="9"/>
  <c r="E103" i="9"/>
  <c r="M102" i="9"/>
  <c r="K102" i="9"/>
  <c r="L102" i="9" s="1"/>
  <c r="J102" i="9"/>
  <c r="H102" i="9"/>
  <c r="G102" i="9"/>
  <c r="E102" i="9"/>
  <c r="M101" i="9"/>
  <c r="L101" i="9"/>
  <c r="K101" i="9"/>
  <c r="J101" i="9"/>
  <c r="H101" i="9"/>
  <c r="G101" i="9"/>
  <c r="E101" i="9"/>
  <c r="M100" i="9"/>
  <c r="L100" i="9"/>
  <c r="K100" i="9"/>
  <c r="J100" i="9"/>
  <c r="H100" i="9"/>
  <c r="G100" i="9"/>
  <c r="E100" i="9"/>
  <c r="M99" i="9"/>
  <c r="K99" i="9"/>
  <c r="J99" i="9"/>
  <c r="L99" i="9" s="1"/>
  <c r="H99" i="9"/>
  <c r="G99" i="9"/>
  <c r="E99" i="9"/>
  <c r="M98" i="9"/>
  <c r="L98" i="9"/>
  <c r="K98" i="9"/>
  <c r="J98" i="9"/>
  <c r="H98" i="9"/>
  <c r="G98" i="9"/>
  <c r="E98" i="9"/>
  <c r="M97" i="9"/>
  <c r="K97" i="9"/>
  <c r="J97" i="9"/>
  <c r="L97" i="9" s="1"/>
  <c r="H97" i="9"/>
  <c r="G97" i="9"/>
  <c r="E97" i="9"/>
  <c r="M96" i="9"/>
  <c r="K96" i="9"/>
  <c r="J96" i="9"/>
  <c r="L96" i="9" s="1"/>
  <c r="H96" i="9"/>
  <c r="G96" i="9"/>
  <c r="E96" i="9"/>
  <c r="M95" i="9"/>
  <c r="L95" i="9"/>
  <c r="K95" i="9"/>
  <c r="J95" i="9"/>
  <c r="H95" i="9"/>
  <c r="G95" i="9"/>
  <c r="E95" i="9"/>
  <c r="M94" i="9"/>
  <c r="L94" i="9"/>
  <c r="K94" i="9"/>
  <c r="J94" i="9"/>
  <c r="H94" i="9"/>
  <c r="G94" i="9"/>
  <c r="E94" i="9"/>
  <c r="M93" i="9"/>
  <c r="K93" i="9"/>
  <c r="J93" i="9"/>
  <c r="H93" i="9"/>
  <c r="G93" i="9"/>
  <c r="E93" i="9"/>
  <c r="M92" i="9"/>
  <c r="K92" i="9"/>
  <c r="J92" i="9"/>
  <c r="L92" i="9" s="1"/>
  <c r="H92" i="9"/>
  <c r="G92" i="9"/>
  <c r="E92" i="9"/>
  <c r="M91" i="9"/>
  <c r="L91" i="9"/>
  <c r="K91" i="9"/>
  <c r="J91" i="9"/>
  <c r="H91" i="9"/>
  <c r="G91" i="9"/>
  <c r="E91" i="9"/>
  <c r="M90" i="9"/>
  <c r="L90" i="9"/>
  <c r="K90" i="9"/>
  <c r="J90" i="9"/>
  <c r="H90" i="9"/>
  <c r="G90" i="9"/>
  <c r="E90" i="9"/>
  <c r="M89" i="9"/>
  <c r="K89" i="9"/>
  <c r="L89" i="9" s="1"/>
  <c r="J89" i="9"/>
  <c r="H89" i="9"/>
  <c r="G89" i="9"/>
  <c r="E89" i="9"/>
  <c r="M88" i="9"/>
  <c r="L88" i="9"/>
  <c r="K88" i="9"/>
  <c r="J88" i="9"/>
  <c r="H88" i="9"/>
  <c r="G88" i="9"/>
  <c r="E88" i="9"/>
  <c r="M87" i="9"/>
  <c r="K87" i="9"/>
  <c r="J87" i="9"/>
  <c r="H87" i="9"/>
  <c r="G87" i="9"/>
  <c r="E87" i="9"/>
  <c r="M86" i="9"/>
  <c r="L86" i="9"/>
  <c r="K86" i="9"/>
  <c r="J86" i="9"/>
  <c r="H86" i="9"/>
  <c r="G86" i="9"/>
  <c r="E86" i="9"/>
  <c r="M85" i="9"/>
  <c r="K85" i="9"/>
  <c r="J85" i="9"/>
  <c r="L85" i="9" s="1"/>
  <c r="H85" i="9"/>
  <c r="G85" i="9"/>
  <c r="E85" i="9"/>
  <c r="M84" i="9"/>
  <c r="L84" i="9"/>
  <c r="K84" i="9"/>
  <c r="J84" i="9"/>
  <c r="H84" i="9"/>
  <c r="G84" i="9"/>
  <c r="E84" i="9"/>
  <c r="M83" i="9"/>
  <c r="K83" i="9"/>
  <c r="L83" i="9" s="1"/>
  <c r="J83" i="9"/>
  <c r="H83" i="9"/>
  <c r="G83" i="9"/>
  <c r="E83" i="9"/>
  <c r="M82" i="9"/>
  <c r="K82" i="9"/>
  <c r="J82" i="9"/>
  <c r="L82" i="9" s="1"/>
  <c r="H82" i="9"/>
  <c r="G82" i="9"/>
  <c r="E82" i="9"/>
  <c r="M81" i="9"/>
  <c r="K81" i="9"/>
  <c r="J81" i="9"/>
  <c r="L81" i="9" s="1"/>
  <c r="H81" i="9"/>
  <c r="G81" i="9"/>
  <c r="E81" i="9"/>
  <c r="M80" i="9"/>
  <c r="K80" i="9"/>
  <c r="L80" i="9" s="1"/>
  <c r="J80" i="9"/>
  <c r="H80" i="9"/>
  <c r="G80" i="9"/>
  <c r="E80" i="9"/>
  <c r="M79" i="9"/>
  <c r="L79" i="9"/>
  <c r="K79" i="9"/>
  <c r="J79" i="9"/>
  <c r="H79" i="9"/>
  <c r="G79" i="9"/>
  <c r="E79" i="9"/>
  <c r="M78" i="9"/>
  <c r="K78" i="9"/>
  <c r="J78" i="9"/>
  <c r="L78" i="9" s="1"/>
  <c r="H78" i="9"/>
  <c r="G78" i="9"/>
  <c r="E78" i="9"/>
  <c r="M77" i="9"/>
  <c r="L77" i="9"/>
  <c r="K77" i="9"/>
  <c r="J77" i="9"/>
  <c r="H77" i="9"/>
  <c r="G77" i="9"/>
  <c r="E77" i="9"/>
  <c r="M76" i="9"/>
  <c r="K76" i="9"/>
  <c r="J76" i="9"/>
  <c r="L76" i="9" s="1"/>
  <c r="H76" i="9"/>
  <c r="G76" i="9"/>
  <c r="E76" i="9"/>
  <c r="M75" i="9"/>
  <c r="K75" i="9"/>
  <c r="J75" i="9"/>
  <c r="L75" i="9" s="1"/>
  <c r="H75" i="9"/>
  <c r="G75" i="9"/>
  <c r="E75" i="9"/>
  <c r="M74" i="9"/>
  <c r="K74" i="9"/>
  <c r="J74" i="9"/>
  <c r="L74" i="9" s="1"/>
  <c r="H74" i="9"/>
  <c r="G74" i="9"/>
  <c r="E74" i="9"/>
  <c r="M73" i="9"/>
  <c r="K73" i="9"/>
  <c r="L73" i="9" s="1"/>
  <c r="J73" i="9"/>
  <c r="H73" i="9"/>
  <c r="G73" i="9"/>
  <c r="E73" i="9"/>
  <c r="M72" i="9"/>
  <c r="L72" i="9"/>
  <c r="K72" i="9"/>
  <c r="J72" i="9"/>
  <c r="H72" i="9"/>
  <c r="G72" i="9"/>
  <c r="E72" i="9"/>
  <c r="M71" i="9"/>
  <c r="K71" i="9"/>
  <c r="L71" i="9" s="1"/>
  <c r="J71" i="9"/>
  <c r="H71" i="9"/>
  <c r="G71" i="9"/>
  <c r="E71" i="9"/>
  <c r="M70" i="9"/>
  <c r="L70" i="9"/>
  <c r="K70" i="9"/>
  <c r="J70" i="9"/>
  <c r="H70" i="9"/>
  <c r="G70" i="9"/>
  <c r="E70" i="9"/>
  <c r="M69" i="9"/>
  <c r="K69" i="9"/>
  <c r="J69" i="9"/>
  <c r="L69" i="9" s="1"/>
  <c r="H69" i="9"/>
  <c r="G69" i="9"/>
  <c r="E69" i="9"/>
  <c r="M68" i="9"/>
  <c r="K68" i="9"/>
  <c r="J68" i="9"/>
  <c r="L68" i="9" s="1"/>
  <c r="H68" i="9"/>
  <c r="G68" i="9"/>
  <c r="E68" i="9"/>
  <c r="M67" i="9"/>
  <c r="K67" i="9"/>
  <c r="J67" i="9"/>
  <c r="L67" i="9" s="1"/>
  <c r="H67" i="9"/>
  <c r="G67" i="9"/>
  <c r="E67" i="9"/>
  <c r="M66" i="9"/>
  <c r="K66" i="9"/>
  <c r="L66" i="9" s="1"/>
  <c r="J66" i="9"/>
  <c r="H66" i="9"/>
  <c r="G66" i="9"/>
  <c r="E66" i="9"/>
  <c r="M65" i="9"/>
  <c r="L65" i="9"/>
  <c r="K65" i="9"/>
  <c r="J65" i="9"/>
  <c r="H65" i="9"/>
  <c r="G65" i="9"/>
  <c r="E65" i="9"/>
  <c r="M64" i="9"/>
  <c r="K64" i="9"/>
  <c r="J64" i="9"/>
  <c r="L64" i="9" s="1"/>
  <c r="H64" i="9"/>
  <c r="G64" i="9"/>
  <c r="E64" i="9"/>
  <c r="M63" i="9"/>
  <c r="K63" i="9"/>
  <c r="J63" i="9"/>
  <c r="H63" i="9"/>
  <c r="G63" i="9"/>
  <c r="E63" i="9"/>
  <c r="M62" i="9"/>
  <c r="K62" i="9"/>
  <c r="J62" i="9"/>
  <c r="L62" i="9" s="1"/>
  <c r="H62" i="9"/>
  <c r="G62" i="9"/>
  <c r="E62" i="9"/>
  <c r="M61" i="9"/>
  <c r="K61" i="9"/>
  <c r="J61" i="9"/>
  <c r="L61" i="9" s="1"/>
  <c r="H61" i="9"/>
  <c r="G61" i="9"/>
  <c r="E61" i="9"/>
  <c r="M60" i="9"/>
  <c r="K60" i="9"/>
  <c r="J60" i="9"/>
  <c r="H60" i="9"/>
  <c r="G60" i="9"/>
  <c r="E60" i="9"/>
  <c r="M59" i="9"/>
  <c r="L59" i="9"/>
  <c r="K59" i="9"/>
  <c r="J59" i="9"/>
  <c r="H59" i="9"/>
  <c r="G59" i="9"/>
  <c r="E59" i="9"/>
  <c r="M58" i="9"/>
  <c r="L58" i="9"/>
  <c r="K58" i="9"/>
  <c r="J58" i="9"/>
  <c r="H58" i="9"/>
  <c r="G58" i="9"/>
  <c r="E58" i="9"/>
  <c r="M57" i="9"/>
  <c r="K57" i="9"/>
  <c r="J57" i="9"/>
  <c r="L57" i="9" s="1"/>
  <c r="H57" i="9"/>
  <c r="G57" i="9"/>
  <c r="E57" i="9"/>
  <c r="M56" i="9"/>
  <c r="L56" i="9"/>
  <c r="K56" i="9"/>
  <c r="J56" i="9"/>
  <c r="H56" i="9"/>
  <c r="G56" i="9"/>
  <c r="E56" i="9"/>
  <c r="M55" i="9"/>
  <c r="K55" i="9"/>
  <c r="J55" i="9"/>
  <c r="L55" i="9" s="1"/>
  <c r="H55" i="9"/>
  <c r="G55" i="9"/>
  <c r="E55" i="9"/>
  <c r="M54" i="9"/>
  <c r="K54" i="9"/>
  <c r="J54" i="9"/>
  <c r="L54" i="9" s="1"/>
  <c r="H54" i="9"/>
  <c r="G54" i="9"/>
  <c r="E54" i="9"/>
  <c r="M53" i="9"/>
  <c r="K53" i="9"/>
  <c r="L53" i="9" s="1"/>
  <c r="J53" i="9"/>
  <c r="H53" i="9"/>
  <c r="G53" i="9"/>
  <c r="E53" i="9"/>
  <c r="K52" i="9"/>
  <c r="H52" i="9"/>
  <c r="J52" i="9" s="1"/>
  <c r="G52" i="9"/>
  <c r="E52" i="9"/>
  <c r="M51" i="9"/>
  <c r="K51" i="9"/>
  <c r="J51" i="9"/>
  <c r="H51" i="9"/>
  <c r="G51" i="9"/>
  <c r="E51" i="9"/>
  <c r="K50" i="9"/>
  <c r="H50" i="9"/>
  <c r="J50" i="9" s="1"/>
  <c r="G50" i="9"/>
  <c r="E50" i="9"/>
  <c r="M49" i="9"/>
  <c r="L49" i="9"/>
  <c r="K49" i="9"/>
  <c r="J49" i="9"/>
  <c r="H49" i="9"/>
  <c r="G49" i="9"/>
  <c r="E49" i="9"/>
  <c r="K48" i="9"/>
  <c r="J48" i="9"/>
  <c r="H48" i="9"/>
  <c r="G48" i="9"/>
  <c r="E48" i="9"/>
  <c r="M47" i="9"/>
  <c r="L47" i="9"/>
  <c r="K47" i="9"/>
  <c r="H47" i="9"/>
  <c r="J47" i="9" s="1"/>
  <c r="G47" i="9"/>
  <c r="E47" i="9"/>
  <c r="K46" i="9"/>
  <c r="H46" i="9"/>
  <c r="J46" i="9" s="1"/>
  <c r="G46" i="9"/>
  <c r="E46" i="9"/>
  <c r="K45" i="9"/>
  <c r="H45" i="9"/>
  <c r="J45" i="9" s="1"/>
  <c r="G45" i="9"/>
  <c r="E45" i="9"/>
  <c r="K44" i="9"/>
  <c r="H44" i="9"/>
  <c r="J44" i="9" s="1"/>
  <c r="G44" i="9"/>
  <c r="E44" i="9"/>
  <c r="K43" i="9"/>
  <c r="J43" i="9"/>
  <c r="H43" i="9"/>
  <c r="G43" i="9"/>
  <c r="E43" i="9"/>
  <c r="K42" i="9"/>
  <c r="J42" i="9"/>
  <c r="H42" i="9"/>
  <c r="G42" i="9"/>
  <c r="E42" i="9"/>
  <c r="K41" i="9"/>
  <c r="L41" i="9" s="1"/>
  <c r="H41" i="9"/>
  <c r="J41" i="9" s="1"/>
  <c r="M41" i="9" s="1"/>
  <c r="G41" i="9"/>
  <c r="E41" i="9"/>
  <c r="M40" i="9"/>
  <c r="L40" i="9"/>
  <c r="K40" i="9"/>
  <c r="J40" i="9"/>
  <c r="H40" i="9"/>
  <c r="G40" i="9"/>
  <c r="E40" i="9"/>
  <c r="K39" i="9"/>
  <c r="H39" i="9"/>
  <c r="J39" i="9" s="1"/>
  <c r="L39" i="9" s="1"/>
  <c r="G39" i="9"/>
  <c r="E39" i="9"/>
  <c r="K38" i="9"/>
  <c r="L38" i="9" s="1"/>
  <c r="J38" i="9"/>
  <c r="M38" i="9" s="1"/>
  <c r="H38" i="9"/>
  <c r="G38" i="9"/>
  <c r="E38" i="9"/>
  <c r="K37" i="9"/>
  <c r="H37" i="9"/>
  <c r="J37" i="9" s="1"/>
  <c r="M37" i="9" s="1"/>
  <c r="G37" i="9"/>
  <c r="E37" i="9"/>
  <c r="M36" i="9"/>
  <c r="L36" i="9"/>
  <c r="K36" i="9"/>
  <c r="J36" i="9"/>
  <c r="H36" i="9"/>
  <c r="G36" i="9"/>
  <c r="E36" i="9"/>
  <c r="K35" i="9"/>
  <c r="H35" i="9"/>
  <c r="J35" i="9" s="1"/>
  <c r="G35" i="9"/>
  <c r="E35" i="9"/>
  <c r="K34" i="9"/>
  <c r="H34" i="9"/>
  <c r="J34" i="9" s="1"/>
  <c r="G34" i="9"/>
  <c r="E34" i="9"/>
  <c r="K33" i="9"/>
  <c r="L33" i="9" s="1"/>
  <c r="J33" i="9"/>
  <c r="M33" i="9" s="1"/>
  <c r="H33" i="9"/>
  <c r="G33" i="9"/>
  <c r="E33" i="9"/>
  <c r="K32" i="9"/>
  <c r="J32" i="9"/>
  <c r="H32" i="9"/>
  <c r="G32" i="9"/>
  <c r="E32" i="9"/>
  <c r="M31" i="9"/>
  <c r="K31" i="9"/>
  <c r="L31" i="9" s="1"/>
  <c r="J31" i="9"/>
  <c r="H31" i="9"/>
  <c r="G31" i="9"/>
  <c r="E31" i="9"/>
  <c r="M30" i="9"/>
  <c r="L30" i="9"/>
  <c r="K30" i="9"/>
  <c r="H30" i="9"/>
  <c r="J30" i="9" s="1"/>
  <c r="G30" i="9"/>
  <c r="E30" i="9"/>
  <c r="M29" i="9"/>
  <c r="L29" i="9"/>
  <c r="K29" i="9"/>
  <c r="J29" i="9"/>
  <c r="H29" i="9"/>
  <c r="G29" i="9"/>
  <c r="E29" i="9"/>
  <c r="K28" i="9"/>
  <c r="J28" i="9"/>
  <c r="H28" i="9"/>
  <c r="G28" i="9"/>
  <c r="E28" i="9"/>
  <c r="K27" i="9"/>
  <c r="J27" i="9"/>
  <c r="H27" i="9"/>
  <c r="G27" i="9"/>
  <c r="E27" i="9"/>
  <c r="M26" i="9"/>
  <c r="K26" i="9"/>
  <c r="L26" i="9" s="1"/>
  <c r="J26" i="9"/>
  <c r="H26" i="9"/>
  <c r="G26" i="9"/>
  <c r="E26" i="9"/>
  <c r="K25" i="9"/>
  <c r="L25" i="9" s="1"/>
  <c r="H25" i="9"/>
  <c r="J25" i="9" s="1"/>
  <c r="M25" i="9" s="1"/>
  <c r="G25" i="9"/>
  <c r="E25" i="9"/>
  <c r="M24" i="9"/>
  <c r="L24" i="9"/>
  <c r="K24" i="9"/>
  <c r="J24" i="9"/>
  <c r="H24" i="9"/>
  <c r="G24" i="9"/>
  <c r="E24" i="9"/>
  <c r="M23" i="9"/>
  <c r="K23" i="9"/>
  <c r="J23" i="9"/>
  <c r="L23" i="9" s="1"/>
  <c r="H23" i="9"/>
  <c r="G23" i="9"/>
  <c r="E23" i="9"/>
  <c r="K22" i="9"/>
  <c r="H22" i="9"/>
  <c r="J22" i="9" s="1"/>
  <c r="G22" i="9"/>
  <c r="E22" i="9"/>
  <c r="K21" i="9"/>
  <c r="H21" i="9"/>
  <c r="J21" i="9" s="1"/>
  <c r="G21" i="9"/>
  <c r="E21" i="9"/>
  <c r="K20" i="9"/>
  <c r="J20" i="9"/>
  <c r="H20" i="9"/>
  <c r="G20" i="9"/>
  <c r="E20" i="9"/>
  <c r="M19" i="9"/>
  <c r="L19" i="9"/>
  <c r="K19" i="9"/>
  <c r="J19" i="9"/>
  <c r="H19" i="9"/>
  <c r="G19" i="9"/>
  <c r="E19" i="9"/>
  <c r="M18" i="9"/>
  <c r="K18" i="9"/>
  <c r="H18" i="9"/>
  <c r="J18" i="9" s="1"/>
  <c r="L18" i="9" s="1"/>
  <c r="G18" i="9"/>
  <c r="E18" i="9"/>
  <c r="M17" i="9"/>
  <c r="L17" i="9"/>
  <c r="K17" i="9"/>
  <c r="J17" i="9"/>
  <c r="H17" i="9"/>
  <c r="G17" i="9"/>
  <c r="E17" i="9"/>
  <c r="K16" i="9"/>
  <c r="H16" i="9"/>
  <c r="J16" i="9" s="1"/>
  <c r="G16" i="9"/>
  <c r="E16" i="9"/>
  <c r="K15" i="9"/>
  <c r="H15" i="9"/>
  <c r="J15" i="9" s="1"/>
  <c r="G15" i="9"/>
  <c r="E15" i="9"/>
  <c r="K14" i="9"/>
  <c r="J14" i="9"/>
  <c r="M14" i="9" s="1"/>
  <c r="H14" i="9"/>
  <c r="G14" i="9"/>
  <c r="E14" i="9"/>
  <c r="K13" i="9"/>
  <c r="H13" i="9"/>
  <c r="J13" i="9" s="1"/>
  <c r="G13" i="9"/>
  <c r="E13" i="9"/>
  <c r="M12" i="9"/>
  <c r="L12" i="9"/>
  <c r="K12" i="9"/>
  <c r="J12" i="9"/>
  <c r="H12" i="9"/>
  <c r="G12" i="9"/>
  <c r="E12" i="9"/>
  <c r="K11" i="9"/>
  <c r="H11" i="9"/>
  <c r="J11" i="9" s="1"/>
  <c r="G11" i="9"/>
  <c r="E11" i="9"/>
  <c r="K10" i="9"/>
  <c r="H10" i="9"/>
  <c r="J10" i="9" s="1"/>
  <c r="G10" i="9"/>
  <c r="E10" i="9"/>
  <c r="L9" i="9"/>
  <c r="K9" i="9"/>
  <c r="J9" i="9"/>
  <c r="M9" i="9" s="1"/>
  <c r="H9" i="9"/>
  <c r="G9" i="9"/>
  <c r="E9" i="9"/>
  <c r="K8" i="9"/>
  <c r="J8" i="9"/>
  <c r="H8" i="9"/>
  <c r="G8" i="9"/>
  <c r="E8" i="9"/>
  <c r="M7" i="9"/>
  <c r="L7" i="9"/>
  <c r="K7" i="9"/>
  <c r="J7" i="9"/>
  <c r="H7" i="9"/>
  <c r="G7" i="9"/>
  <c r="E7" i="9"/>
  <c r="K6" i="9"/>
  <c r="H6" i="9"/>
  <c r="J6" i="9" s="1"/>
  <c r="G6" i="9"/>
  <c r="E6" i="9"/>
  <c r="M5" i="9"/>
  <c r="L5" i="9"/>
  <c r="K5" i="9"/>
  <c r="J5" i="9"/>
  <c r="H5" i="9"/>
  <c r="G5" i="9"/>
  <c r="E5" i="9"/>
  <c r="M304" i="8"/>
  <c r="K304" i="8"/>
  <c r="J304" i="8"/>
  <c r="H304" i="8"/>
  <c r="G304" i="8"/>
  <c r="E304" i="8"/>
  <c r="M303" i="8"/>
  <c r="K303" i="8"/>
  <c r="J303" i="8"/>
  <c r="L303" i="8" s="1"/>
  <c r="H303" i="8"/>
  <c r="G303" i="8"/>
  <c r="E303" i="8"/>
  <c r="M302" i="8"/>
  <c r="L302" i="8"/>
  <c r="K302" i="8"/>
  <c r="J302" i="8"/>
  <c r="H302" i="8"/>
  <c r="G302" i="8"/>
  <c r="E302" i="8"/>
  <c r="M301" i="8"/>
  <c r="K301" i="8"/>
  <c r="L301" i="8" s="1"/>
  <c r="J301" i="8"/>
  <c r="H301" i="8"/>
  <c r="G301" i="8"/>
  <c r="E301" i="8"/>
  <c r="M300" i="8"/>
  <c r="L300" i="8"/>
  <c r="K300" i="8"/>
  <c r="J300" i="8"/>
  <c r="H300" i="8"/>
  <c r="G300" i="8"/>
  <c r="E300" i="8"/>
  <c r="M299" i="8"/>
  <c r="K299" i="8"/>
  <c r="J299" i="8"/>
  <c r="L299" i="8" s="1"/>
  <c r="H299" i="8"/>
  <c r="G299" i="8"/>
  <c r="E299" i="8"/>
  <c r="M298" i="8"/>
  <c r="L298" i="8"/>
  <c r="K298" i="8"/>
  <c r="J298" i="8"/>
  <c r="H298" i="8"/>
  <c r="G298" i="8"/>
  <c r="E298" i="8"/>
  <c r="M297" i="8"/>
  <c r="K297" i="8"/>
  <c r="J297" i="8"/>
  <c r="L297" i="8" s="1"/>
  <c r="H297" i="8"/>
  <c r="G297" i="8"/>
  <c r="E297" i="8"/>
  <c r="M296" i="8"/>
  <c r="K296" i="8"/>
  <c r="J296" i="8"/>
  <c r="L296" i="8" s="1"/>
  <c r="H296" i="8"/>
  <c r="G296" i="8"/>
  <c r="E296" i="8"/>
  <c r="M295" i="8"/>
  <c r="K295" i="8"/>
  <c r="L295" i="8" s="1"/>
  <c r="J295" i="8"/>
  <c r="H295" i="8"/>
  <c r="G295" i="8"/>
  <c r="E295" i="8"/>
  <c r="M294" i="8"/>
  <c r="L294" i="8"/>
  <c r="K294" i="8"/>
  <c r="J294" i="8"/>
  <c r="H294" i="8"/>
  <c r="G294" i="8"/>
  <c r="E294" i="8"/>
  <c r="M293" i="8"/>
  <c r="L293" i="8"/>
  <c r="K293" i="8"/>
  <c r="J293" i="8"/>
  <c r="H293" i="8"/>
  <c r="G293" i="8"/>
  <c r="E293" i="8"/>
  <c r="M292" i="8"/>
  <c r="K292" i="8"/>
  <c r="J292" i="8"/>
  <c r="L292" i="8" s="1"/>
  <c r="H292" i="8"/>
  <c r="G292" i="8"/>
  <c r="E292" i="8"/>
  <c r="M291" i="8"/>
  <c r="K291" i="8"/>
  <c r="J291" i="8"/>
  <c r="L291" i="8" s="1"/>
  <c r="H291" i="8"/>
  <c r="G291" i="8"/>
  <c r="E291" i="8"/>
  <c r="M290" i="8"/>
  <c r="K290" i="8"/>
  <c r="L290" i="8" s="1"/>
  <c r="J290" i="8"/>
  <c r="H290" i="8"/>
  <c r="G290" i="8"/>
  <c r="E290" i="8"/>
  <c r="M289" i="8"/>
  <c r="L289" i="8"/>
  <c r="K289" i="8"/>
  <c r="J289" i="8"/>
  <c r="H289" i="8"/>
  <c r="G289" i="8"/>
  <c r="E289" i="8"/>
  <c r="M288" i="8"/>
  <c r="L288" i="8"/>
  <c r="K288" i="8"/>
  <c r="J288" i="8"/>
  <c r="H288" i="8"/>
  <c r="G288" i="8"/>
  <c r="E288" i="8"/>
  <c r="M287" i="8"/>
  <c r="K287" i="8"/>
  <c r="J287" i="8"/>
  <c r="L287" i="8" s="1"/>
  <c r="H287" i="8"/>
  <c r="G287" i="8"/>
  <c r="E287" i="8"/>
  <c r="M286" i="8"/>
  <c r="L286" i="8"/>
  <c r="K286" i="8"/>
  <c r="J286" i="8"/>
  <c r="H286" i="8"/>
  <c r="G286" i="8"/>
  <c r="E286" i="8"/>
  <c r="M285" i="8"/>
  <c r="K285" i="8"/>
  <c r="J285" i="8"/>
  <c r="L285" i="8" s="1"/>
  <c r="H285" i="8"/>
  <c r="G285" i="8"/>
  <c r="E285" i="8"/>
  <c r="M284" i="8"/>
  <c r="K284" i="8"/>
  <c r="J284" i="8"/>
  <c r="H284" i="8"/>
  <c r="G284" i="8"/>
  <c r="E284" i="8"/>
  <c r="M283" i="8"/>
  <c r="K283" i="8"/>
  <c r="L283" i="8" s="1"/>
  <c r="J283" i="8"/>
  <c r="H283" i="8"/>
  <c r="G283" i="8"/>
  <c r="E283" i="8"/>
  <c r="M282" i="8"/>
  <c r="L282" i="8"/>
  <c r="K282" i="8"/>
  <c r="J282" i="8"/>
  <c r="H282" i="8"/>
  <c r="G282" i="8"/>
  <c r="E282" i="8"/>
  <c r="M281" i="8"/>
  <c r="L281" i="8"/>
  <c r="K281" i="8"/>
  <c r="J281" i="8"/>
  <c r="H281" i="8"/>
  <c r="G281" i="8"/>
  <c r="E281" i="8"/>
  <c r="M280" i="8"/>
  <c r="K280" i="8"/>
  <c r="J280" i="8"/>
  <c r="H280" i="8"/>
  <c r="G280" i="8"/>
  <c r="E280" i="8"/>
  <c r="M279" i="8"/>
  <c r="K279" i="8"/>
  <c r="J279" i="8"/>
  <c r="L279" i="8" s="1"/>
  <c r="H279" i="8"/>
  <c r="G279" i="8"/>
  <c r="E279" i="8"/>
  <c r="M278" i="8"/>
  <c r="L278" i="8"/>
  <c r="K278" i="8"/>
  <c r="J278" i="8"/>
  <c r="H278" i="8"/>
  <c r="G278" i="8"/>
  <c r="E278" i="8"/>
  <c r="M277" i="8"/>
  <c r="K277" i="8"/>
  <c r="L277" i="8" s="1"/>
  <c r="J277" i="8"/>
  <c r="H277" i="8"/>
  <c r="G277" i="8"/>
  <c r="E277" i="8"/>
  <c r="M276" i="8"/>
  <c r="L276" i="8"/>
  <c r="K276" i="8"/>
  <c r="J276" i="8"/>
  <c r="H276" i="8"/>
  <c r="G276" i="8"/>
  <c r="E276" i="8"/>
  <c r="M275" i="8"/>
  <c r="K275" i="8"/>
  <c r="J275" i="8"/>
  <c r="L275" i="8" s="1"/>
  <c r="H275" i="8"/>
  <c r="G275" i="8"/>
  <c r="E275" i="8"/>
  <c r="M274" i="8"/>
  <c r="L274" i="8"/>
  <c r="K274" i="8"/>
  <c r="J274" i="8"/>
  <c r="H274" i="8"/>
  <c r="G274" i="8"/>
  <c r="E274" i="8"/>
  <c r="M273" i="8"/>
  <c r="K273" i="8"/>
  <c r="L273" i="8" s="1"/>
  <c r="J273" i="8"/>
  <c r="H273" i="8"/>
  <c r="G273" i="8"/>
  <c r="E273" i="8"/>
  <c r="M272" i="8"/>
  <c r="K272" i="8"/>
  <c r="J272" i="8"/>
  <c r="H272" i="8"/>
  <c r="G272" i="8"/>
  <c r="E272" i="8"/>
  <c r="M271" i="8"/>
  <c r="L271" i="8"/>
  <c r="K271" i="8"/>
  <c r="J271" i="8"/>
  <c r="H271" i="8"/>
  <c r="G271" i="8"/>
  <c r="E271" i="8"/>
  <c r="M270" i="8"/>
  <c r="L270" i="8"/>
  <c r="K270" i="8"/>
  <c r="J270" i="8"/>
  <c r="H270" i="8"/>
  <c r="G270" i="8"/>
  <c r="E270" i="8"/>
  <c r="M269" i="8"/>
  <c r="L269" i="8"/>
  <c r="K269" i="8"/>
  <c r="J269" i="8"/>
  <c r="H269" i="8"/>
  <c r="G269" i="8"/>
  <c r="E269" i="8"/>
  <c r="M268" i="8"/>
  <c r="K268" i="8"/>
  <c r="J268" i="8"/>
  <c r="H268" i="8"/>
  <c r="G268" i="8"/>
  <c r="E268" i="8"/>
  <c r="M267" i="8"/>
  <c r="K267" i="8"/>
  <c r="J267" i="8"/>
  <c r="L267" i="8" s="1"/>
  <c r="H267" i="8"/>
  <c r="G267" i="8"/>
  <c r="E267" i="8"/>
  <c r="M266" i="8"/>
  <c r="L266" i="8"/>
  <c r="K266" i="8"/>
  <c r="J266" i="8"/>
  <c r="H266" i="8"/>
  <c r="G266" i="8"/>
  <c r="E266" i="8"/>
  <c r="M265" i="8"/>
  <c r="K265" i="8"/>
  <c r="L265" i="8" s="1"/>
  <c r="J265" i="8"/>
  <c r="H265" i="8"/>
  <c r="G265" i="8"/>
  <c r="E265" i="8"/>
  <c r="M264" i="8"/>
  <c r="L264" i="8"/>
  <c r="K264" i="8"/>
  <c r="J264" i="8"/>
  <c r="H264" i="8"/>
  <c r="G264" i="8"/>
  <c r="E264" i="8"/>
  <c r="M263" i="8"/>
  <c r="K263" i="8"/>
  <c r="J263" i="8"/>
  <c r="L263" i="8" s="1"/>
  <c r="H263" i="8"/>
  <c r="G263" i="8"/>
  <c r="E263" i="8"/>
  <c r="M262" i="8"/>
  <c r="L262" i="8"/>
  <c r="K262" i="8"/>
  <c r="J262" i="8"/>
  <c r="H262" i="8"/>
  <c r="G262" i="8"/>
  <c r="E262" i="8"/>
  <c r="M261" i="8"/>
  <c r="K261" i="8"/>
  <c r="J261" i="8"/>
  <c r="L261" i="8" s="1"/>
  <c r="H261" i="8"/>
  <c r="G261" i="8"/>
  <c r="E261" i="8"/>
  <c r="M260" i="8"/>
  <c r="K260" i="8"/>
  <c r="J260" i="8"/>
  <c r="L260" i="8" s="1"/>
  <c r="H260" i="8"/>
  <c r="G260" i="8"/>
  <c r="E260" i="8"/>
  <c r="M259" i="8"/>
  <c r="K259" i="8"/>
  <c r="L259" i="8" s="1"/>
  <c r="J259" i="8"/>
  <c r="H259" i="8"/>
  <c r="G259" i="8"/>
  <c r="E259" i="8"/>
  <c r="M258" i="8"/>
  <c r="L258" i="8"/>
  <c r="K258" i="8"/>
  <c r="J258" i="8"/>
  <c r="H258" i="8"/>
  <c r="G258" i="8"/>
  <c r="E258" i="8"/>
  <c r="M257" i="8"/>
  <c r="L257" i="8"/>
  <c r="K257" i="8"/>
  <c r="J257" i="8"/>
  <c r="H257" i="8"/>
  <c r="G257" i="8"/>
  <c r="E257" i="8"/>
  <c r="M256" i="8"/>
  <c r="K256" i="8"/>
  <c r="J256" i="8"/>
  <c r="L256" i="8" s="1"/>
  <c r="H256" i="8"/>
  <c r="G256" i="8"/>
  <c r="E256" i="8"/>
  <c r="M255" i="8"/>
  <c r="K255" i="8"/>
  <c r="J255" i="8"/>
  <c r="L255" i="8" s="1"/>
  <c r="H255" i="8"/>
  <c r="G255" i="8"/>
  <c r="E255" i="8"/>
  <c r="M254" i="8"/>
  <c r="K254" i="8"/>
  <c r="L254" i="8" s="1"/>
  <c r="J254" i="8"/>
  <c r="H254" i="8"/>
  <c r="G254" i="8"/>
  <c r="E254" i="8"/>
  <c r="M253" i="8"/>
  <c r="L253" i="8"/>
  <c r="K253" i="8"/>
  <c r="J253" i="8"/>
  <c r="H253" i="8"/>
  <c r="G253" i="8"/>
  <c r="E253" i="8"/>
  <c r="M252" i="8"/>
  <c r="L252" i="8"/>
  <c r="K252" i="8"/>
  <c r="J252" i="8"/>
  <c r="H252" i="8"/>
  <c r="G252" i="8"/>
  <c r="E252" i="8"/>
  <c r="M251" i="8"/>
  <c r="K251" i="8"/>
  <c r="J251" i="8"/>
  <c r="L251" i="8" s="1"/>
  <c r="H251" i="8"/>
  <c r="G251" i="8"/>
  <c r="E251" i="8"/>
  <c r="M250" i="8"/>
  <c r="L250" i="8"/>
  <c r="K250" i="8"/>
  <c r="J250" i="8"/>
  <c r="H250" i="8"/>
  <c r="G250" i="8"/>
  <c r="E250" i="8"/>
  <c r="M249" i="8"/>
  <c r="K249" i="8"/>
  <c r="J249" i="8"/>
  <c r="L249" i="8" s="1"/>
  <c r="H249" i="8"/>
  <c r="G249" i="8"/>
  <c r="E249" i="8"/>
  <c r="M248" i="8"/>
  <c r="K248" i="8"/>
  <c r="J248" i="8"/>
  <c r="L248" i="8" s="1"/>
  <c r="H248" i="8"/>
  <c r="G248" i="8"/>
  <c r="E248" i="8"/>
  <c r="M247" i="8"/>
  <c r="K247" i="8"/>
  <c r="L247" i="8" s="1"/>
  <c r="J247" i="8"/>
  <c r="H247" i="8"/>
  <c r="G247" i="8"/>
  <c r="E247" i="8"/>
  <c r="M246" i="8"/>
  <c r="L246" i="8"/>
  <c r="K246" i="8"/>
  <c r="J246" i="8"/>
  <c r="H246" i="8"/>
  <c r="G246" i="8"/>
  <c r="E246" i="8"/>
  <c r="M245" i="8"/>
  <c r="L245" i="8"/>
  <c r="K245" i="8"/>
  <c r="J245" i="8"/>
  <c r="H245" i="8"/>
  <c r="G245" i="8"/>
  <c r="E245" i="8"/>
  <c r="M244" i="8"/>
  <c r="K244" i="8"/>
  <c r="J244" i="8"/>
  <c r="H244" i="8"/>
  <c r="G244" i="8"/>
  <c r="E244" i="8"/>
  <c r="M243" i="8"/>
  <c r="K243" i="8"/>
  <c r="J243" i="8"/>
  <c r="L243" i="8" s="1"/>
  <c r="H243" i="8"/>
  <c r="G243" i="8"/>
  <c r="E243" i="8"/>
  <c r="M242" i="8"/>
  <c r="L242" i="8"/>
  <c r="K242" i="8"/>
  <c r="J242" i="8"/>
  <c r="H242" i="8"/>
  <c r="G242" i="8"/>
  <c r="E242" i="8"/>
  <c r="M241" i="8"/>
  <c r="K241" i="8"/>
  <c r="L241" i="8" s="1"/>
  <c r="J241" i="8"/>
  <c r="H241" i="8"/>
  <c r="G241" i="8"/>
  <c r="E241" i="8"/>
  <c r="M240" i="8"/>
  <c r="L240" i="8"/>
  <c r="K240" i="8"/>
  <c r="J240" i="8"/>
  <c r="H240" i="8"/>
  <c r="G240" i="8"/>
  <c r="E240" i="8"/>
  <c r="M239" i="8"/>
  <c r="K239" i="8"/>
  <c r="J239" i="8"/>
  <c r="L239" i="8" s="1"/>
  <c r="H239" i="8"/>
  <c r="G239" i="8"/>
  <c r="E239" i="8"/>
  <c r="M238" i="8"/>
  <c r="L238" i="8"/>
  <c r="K238" i="8"/>
  <c r="J238" i="8"/>
  <c r="H238" i="8"/>
  <c r="G238" i="8"/>
  <c r="E238" i="8"/>
  <c r="M237" i="8"/>
  <c r="K237" i="8"/>
  <c r="L237" i="8" s="1"/>
  <c r="J237" i="8"/>
  <c r="H237" i="8"/>
  <c r="G237" i="8"/>
  <c r="E237" i="8"/>
  <c r="M236" i="8"/>
  <c r="K236" i="8"/>
  <c r="J236" i="8"/>
  <c r="H236" i="8"/>
  <c r="G236" i="8"/>
  <c r="E236" i="8"/>
  <c r="M235" i="8"/>
  <c r="L235" i="8"/>
  <c r="K235" i="8"/>
  <c r="J235" i="8"/>
  <c r="H235" i="8"/>
  <c r="G235" i="8"/>
  <c r="E235" i="8"/>
  <c r="M234" i="8"/>
  <c r="L234" i="8"/>
  <c r="K234" i="8"/>
  <c r="J234" i="8"/>
  <c r="H234" i="8"/>
  <c r="G234" i="8"/>
  <c r="E234" i="8"/>
  <c r="M233" i="8"/>
  <c r="L233" i="8"/>
  <c r="K233" i="8"/>
  <c r="J233" i="8"/>
  <c r="H233" i="8"/>
  <c r="G233" i="8"/>
  <c r="E233" i="8"/>
  <c r="M232" i="8"/>
  <c r="K232" i="8"/>
  <c r="J232" i="8"/>
  <c r="H232" i="8"/>
  <c r="G232" i="8"/>
  <c r="E232" i="8"/>
  <c r="M231" i="8"/>
  <c r="K231" i="8"/>
  <c r="J231" i="8"/>
  <c r="L231" i="8" s="1"/>
  <c r="H231" i="8"/>
  <c r="G231" i="8"/>
  <c r="E231" i="8"/>
  <c r="M230" i="8"/>
  <c r="L230" i="8"/>
  <c r="K230" i="8"/>
  <c r="J230" i="8"/>
  <c r="H230" i="8"/>
  <c r="G230" i="8"/>
  <c r="E230" i="8"/>
  <c r="M229" i="8"/>
  <c r="K229" i="8"/>
  <c r="L229" i="8" s="1"/>
  <c r="J229" i="8"/>
  <c r="H229" i="8"/>
  <c r="G229" i="8"/>
  <c r="E229" i="8"/>
  <c r="M228" i="8"/>
  <c r="L228" i="8"/>
  <c r="K228" i="8"/>
  <c r="J228" i="8"/>
  <c r="H228" i="8"/>
  <c r="G228" i="8"/>
  <c r="E228" i="8"/>
  <c r="M227" i="8"/>
  <c r="K227" i="8"/>
  <c r="J227" i="8"/>
  <c r="L227" i="8" s="1"/>
  <c r="H227" i="8"/>
  <c r="G227" i="8"/>
  <c r="E227" i="8"/>
  <c r="M226" i="8"/>
  <c r="L226" i="8"/>
  <c r="K226" i="8"/>
  <c r="J226" i="8"/>
  <c r="H226" i="8"/>
  <c r="G226" i="8"/>
  <c r="E226" i="8"/>
  <c r="M225" i="8"/>
  <c r="K225" i="8"/>
  <c r="J225" i="8"/>
  <c r="L225" i="8" s="1"/>
  <c r="H225" i="8"/>
  <c r="G225" i="8"/>
  <c r="E225" i="8"/>
  <c r="M224" i="8"/>
  <c r="K224" i="8"/>
  <c r="J224" i="8"/>
  <c r="L224" i="8" s="1"/>
  <c r="H224" i="8"/>
  <c r="G224" i="8"/>
  <c r="E224" i="8"/>
  <c r="M223" i="8"/>
  <c r="K223" i="8"/>
  <c r="L223" i="8" s="1"/>
  <c r="J223" i="8"/>
  <c r="H223" i="8"/>
  <c r="G223" i="8"/>
  <c r="E223" i="8"/>
  <c r="M222" i="8"/>
  <c r="L222" i="8"/>
  <c r="K222" i="8"/>
  <c r="J222" i="8"/>
  <c r="H222" i="8"/>
  <c r="G222" i="8"/>
  <c r="E222" i="8"/>
  <c r="M221" i="8"/>
  <c r="L221" i="8"/>
  <c r="K221" i="8"/>
  <c r="J221" i="8"/>
  <c r="H221" i="8"/>
  <c r="G221" i="8"/>
  <c r="E221" i="8"/>
  <c r="M220" i="8"/>
  <c r="K220" i="8"/>
  <c r="J220" i="8"/>
  <c r="L220" i="8" s="1"/>
  <c r="H220" i="8"/>
  <c r="G220" i="8"/>
  <c r="E220" i="8"/>
  <c r="M219" i="8"/>
  <c r="K219" i="8"/>
  <c r="J219" i="8"/>
  <c r="L219" i="8" s="1"/>
  <c r="H219" i="8"/>
  <c r="G219" i="8"/>
  <c r="E219" i="8"/>
  <c r="M218" i="8"/>
  <c r="K218" i="8"/>
  <c r="L218" i="8" s="1"/>
  <c r="J218" i="8"/>
  <c r="H218" i="8"/>
  <c r="G218" i="8"/>
  <c r="E218" i="8"/>
  <c r="M217" i="8"/>
  <c r="L217" i="8"/>
  <c r="K217" i="8"/>
  <c r="J217" i="8"/>
  <c r="H217" i="8"/>
  <c r="G217" i="8"/>
  <c r="E217" i="8"/>
  <c r="M216" i="8"/>
  <c r="L216" i="8"/>
  <c r="K216" i="8"/>
  <c r="J216" i="8"/>
  <c r="H216" i="8"/>
  <c r="G216" i="8"/>
  <c r="E216" i="8"/>
  <c r="M215" i="8"/>
  <c r="K215" i="8"/>
  <c r="J215" i="8"/>
  <c r="L215" i="8" s="1"/>
  <c r="H215" i="8"/>
  <c r="G215" i="8"/>
  <c r="E215" i="8"/>
  <c r="M214" i="8"/>
  <c r="L214" i="8"/>
  <c r="K214" i="8"/>
  <c r="J214" i="8"/>
  <c r="H214" i="8"/>
  <c r="G214" i="8"/>
  <c r="E214" i="8"/>
  <c r="M213" i="8"/>
  <c r="K213" i="8"/>
  <c r="J213" i="8"/>
  <c r="L213" i="8" s="1"/>
  <c r="H213" i="8"/>
  <c r="G213" i="8"/>
  <c r="E213" i="8"/>
  <c r="M212" i="8"/>
  <c r="K212" i="8"/>
  <c r="J212" i="8"/>
  <c r="H212" i="8"/>
  <c r="G212" i="8"/>
  <c r="E212" i="8"/>
  <c r="M211" i="8"/>
  <c r="K211" i="8"/>
  <c r="L211" i="8" s="1"/>
  <c r="J211" i="8"/>
  <c r="H211" i="8"/>
  <c r="G211" i="8"/>
  <c r="E211" i="8"/>
  <c r="M210" i="8"/>
  <c r="L210" i="8"/>
  <c r="K210" i="8"/>
  <c r="J210" i="8"/>
  <c r="H210" i="8"/>
  <c r="G210" i="8"/>
  <c r="E210" i="8"/>
  <c r="M209" i="8"/>
  <c r="L209" i="8"/>
  <c r="K209" i="8"/>
  <c r="J209" i="8"/>
  <c r="H209" i="8"/>
  <c r="G209" i="8"/>
  <c r="E209" i="8"/>
  <c r="M208" i="8"/>
  <c r="L208" i="8"/>
  <c r="K208" i="8"/>
  <c r="J208" i="8"/>
  <c r="H208" i="8"/>
  <c r="G208" i="8"/>
  <c r="E208" i="8"/>
  <c r="M207" i="8"/>
  <c r="K207" i="8"/>
  <c r="J207" i="8"/>
  <c r="L207" i="8" s="1"/>
  <c r="H207" i="8"/>
  <c r="G207" i="8"/>
  <c r="E207" i="8"/>
  <c r="M206" i="8"/>
  <c r="K206" i="8"/>
  <c r="J206" i="8"/>
  <c r="L206" i="8" s="1"/>
  <c r="H206" i="8"/>
  <c r="G206" i="8"/>
  <c r="E206" i="8"/>
  <c r="M205" i="8"/>
  <c r="L205" i="8"/>
  <c r="K205" i="8"/>
  <c r="J205" i="8"/>
  <c r="H205" i="8"/>
  <c r="G205" i="8"/>
  <c r="E205" i="8"/>
  <c r="M204" i="8"/>
  <c r="L204" i="8"/>
  <c r="K204" i="8"/>
  <c r="J204" i="8"/>
  <c r="H204" i="8"/>
  <c r="G204" i="8"/>
  <c r="E204" i="8"/>
  <c r="M203" i="8"/>
  <c r="K203" i="8"/>
  <c r="J203" i="8"/>
  <c r="L203" i="8" s="1"/>
  <c r="H203" i="8"/>
  <c r="G203" i="8"/>
  <c r="E203" i="8"/>
  <c r="M202" i="8"/>
  <c r="L202" i="8"/>
  <c r="K202" i="8"/>
  <c r="J202" i="8"/>
  <c r="H202" i="8"/>
  <c r="G202" i="8"/>
  <c r="E202" i="8"/>
  <c r="M201" i="8"/>
  <c r="L201" i="8"/>
  <c r="K201" i="8"/>
  <c r="J201" i="8"/>
  <c r="H201" i="8"/>
  <c r="G201" i="8"/>
  <c r="E201" i="8"/>
  <c r="M200" i="8"/>
  <c r="K200" i="8"/>
  <c r="J200" i="8"/>
  <c r="L200" i="8" s="1"/>
  <c r="H200" i="8"/>
  <c r="G200" i="8"/>
  <c r="E200" i="8"/>
  <c r="M199" i="8"/>
  <c r="L199" i="8"/>
  <c r="K199" i="8"/>
  <c r="J199" i="8"/>
  <c r="H199" i="8"/>
  <c r="G199" i="8"/>
  <c r="E199" i="8"/>
  <c r="M198" i="8"/>
  <c r="K198" i="8"/>
  <c r="J198" i="8"/>
  <c r="L198" i="8" s="1"/>
  <c r="H198" i="8"/>
  <c r="G198" i="8"/>
  <c r="E198" i="8"/>
  <c r="M197" i="8"/>
  <c r="L197" i="8"/>
  <c r="K197" i="8"/>
  <c r="J197" i="8"/>
  <c r="H197" i="8"/>
  <c r="G197" i="8"/>
  <c r="E197" i="8"/>
  <c r="K196" i="8"/>
  <c r="H196" i="8"/>
  <c r="J196" i="8" s="1"/>
  <c r="G196" i="8"/>
  <c r="E196" i="8"/>
  <c r="K195" i="8"/>
  <c r="H195" i="8"/>
  <c r="J195" i="8" s="1"/>
  <c r="G195" i="8"/>
  <c r="E195" i="8"/>
  <c r="K194" i="8"/>
  <c r="J194" i="8"/>
  <c r="M194" i="8" s="1"/>
  <c r="H194" i="8"/>
  <c r="G194" i="8"/>
  <c r="E194" i="8"/>
  <c r="K193" i="8"/>
  <c r="H193" i="8"/>
  <c r="J193" i="8" s="1"/>
  <c r="G193" i="8"/>
  <c r="E193" i="8"/>
  <c r="M192" i="8"/>
  <c r="L192" i="8"/>
  <c r="K192" i="8"/>
  <c r="J192" i="8"/>
  <c r="H192" i="8"/>
  <c r="G192" i="8"/>
  <c r="E192" i="8"/>
  <c r="K191" i="8"/>
  <c r="J191" i="8"/>
  <c r="H191" i="8"/>
  <c r="G191" i="8"/>
  <c r="E191" i="8"/>
  <c r="K190" i="8"/>
  <c r="H190" i="8"/>
  <c r="J190" i="8" s="1"/>
  <c r="G190" i="8"/>
  <c r="E190" i="8"/>
  <c r="K189" i="8"/>
  <c r="H189" i="8"/>
  <c r="J189" i="8" s="1"/>
  <c r="G189" i="8"/>
  <c r="E189" i="8"/>
  <c r="K188" i="8"/>
  <c r="J188" i="8"/>
  <c r="H188" i="8"/>
  <c r="G188" i="8"/>
  <c r="E188" i="8"/>
  <c r="M187" i="8"/>
  <c r="K187" i="8"/>
  <c r="H187" i="8"/>
  <c r="J187" i="8" s="1"/>
  <c r="L187" i="8" s="1"/>
  <c r="G187" i="8"/>
  <c r="E187" i="8"/>
  <c r="K186" i="8"/>
  <c r="H186" i="8"/>
  <c r="J186" i="8" s="1"/>
  <c r="G186" i="8"/>
  <c r="E186" i="8"/>
  <c r="K185" i="8"/>
  <c r="H185" i="8"/>
  <c r="J185" i="8" s="1"/>
  <c r="L185" i="8" s="1"/>
  <c r="G185" i="8"/>
  <c r="E185" i="8"/>
  <c r="K184" i="8"/>
  <c r="H184" i="8"/>
  <c r="J184" i="8" s="1"/>
  <c r="G184" i="8"/>
  <c r="E184" i="8"/>
  <c r="K183" i="8"/>
  <c r="H183" i="8"/>
  <c r="J183" i="8" s="1"/>
  <c r="G183" i="8"/>
  <c r="E183" i="8"/>
  <c r="K182" i="8"/>
  <c r="J182" i="8"/>
  <c r="H182" i="8"/>
  <c r="G182" i="8"/>
  <c r="E182" i="8"/>
  <c r="K181" i="8"/>
  <c r="H181" i="8"/>
  <c r="J181" i="8" s="1"/>
  <c r="M181" i="8" s="1"/>
  <c r="G181" i="8"/>
  <c r="E181" i="8"/>
  <c r="K180" i="8"/>
  <c r="J180" i="8"/>
  <c r="H180" i="8"/>
  <c r="G180" i="8"/>
  <c r="E180" i="8"/>
  <c r="K179" i="8"/>
  <c r="H179" i="8"/>
  <c r="J179" i="8" s="1"/>
  <c r="G179" i="8"/>
  <c r="E179" i="8"/>
  <c r="K178" i="8"/>
  <c r="H178" i="8"/>
  <c r="J178" i="8" s="1"/>
  <c r="G178" i="8"/>
  <c r="E178" i="8"/>
  <c r="K177" i="8"/>
  <c r="H177" i="8"/>
  <c r="J177" i="8" s="1"/>
  <c r="G177" i="8"/>
  <c r="E177" i="8"/>
  <c r="K176" i="8"/>
  <c r="J176" i="8"/>
  <c r="H176" i="8"/>
  <c r="G176" i="8"/>
  <c r="E176" i="8"/>
  <c r="K175" i="8"/>
  <c r="H175" i="8"/>
  <c r="J175" i="8" s="1"/>
  <c r="M175" i="8" s="1"/>
  <c r="G175" i="8"/>
  <c r="E175" i="8"/>
  <c r="K174" i="8"/>
  <c r="H174" i="8"/>
  <c r="J174" i="8" s="1"/>
  <c r="G174" i="8"/>
  <c r="E174" i="8"/>
  <c r="K173" i="8"/>
  <c r="H173" i="8"/>
  <c r="J173" i="8" s="1"/>
  <c r="L173" i="8" s="1"/>
  <c r="G173" i="8"/>
  <c r="E173" i="8"/>
  <c r="K172" i="8"/>
  <c r="H172" i="8"/>
  <c r="J172" i="8" s="1"/>
  <c r="G172" i="8"/>
  <c r="E172" i="8"/>
  <c r="K171" i="8"/>
  <c r="H171" i="8"/>
  <c r="J171" i="8" s="1"/>
  <c r="G171" i="8"/>
  <c r="E171" i="8"/>
  <c r="K170" i="8"/>
  <c r="H170" i="8"/>
  <c r="J170" i="8" s="1"/>
  <c r="G170" i="8"/>
  <c r="E170" i="8"/>
  <c r="K169" i="8"/>
  <c r="H169" i="8"/>
  <c r="J169" i="8" s="1"/>
  <c r="G169" i="8"/>
  <c r="E169" i="8"/>
  <c r="K168" i="8"/>
  <c r="J168" i="8"/>
  <c r="M168" i="8" s="1"/>
  <c r="H168" i="8"/>
  <c r="G168" i="8"/>
  <c r="E168" i="8"/>
  <c r="K167" i="8"/>
  <c r="H167" i="8"/>
  <c r="J167" i="8" s="1"/>
  <c r="G167" i="8"/>
  <c r="E167" i="8"/>
  <c r="K166" i="8"/>
  <c r="J166" i="8"/>
  <c r="M166" i="8" s="1"/>
  <c r="H166" i="8"/>
  <c r="G166" i="8"/>
  <c r="E166" i="8"/>
  <c r="K165" i="8"/>
  <c r="H165" i="8"/>
  <c r="J165" i="8" s="1"/>
  <c r="M165" i="8" s="1"/>
  <c r="G165" i="8"/>
  <c r="E165" i="8"/>
  <c r="K164" i="8"/>
  <c r="L164" i="8" s="1"/>
  <c r="J164" i="8"/>
  <c r="M164" i="8" s="1"/>
  <c r="H164" i="8"/>
  <c r="G164" i="8"/>
  <c r="E164" i="8"/>
  <c r="K163" i="8"/>
  <c r="H163" i="8"/>
  <c r="J163" i="8" s="1"/>
  <c r="M163" i="8" s="1"/>
  <c r="G163" i="8"/>
  <c r="E163" i="8"/>
  <c r="K162" i="8"/>
  <c r="H162" i="8"/>
  <c r="J162" i="8" s="1"/>
  <c r="L162" i="8" s="1"/>
  <c r="G162" i="8"/>
  <c r="E162" i="8"/>
  <c r="K161" i="8"/>
  <c r="H161" i="8"/>
  <c r="J161" i="8" s="1"/>
  <c r="G161" i="8"/>
  <c r="E161" i="8"/>
  <c r="K160" i="8"/>
  <c r="H160" i="8"/>
  <c r="J160" i="8" s="1"/>
  <c r="G160" i="8"/>
  <c r="E160" i="8"/>
  <c r="K159" i="8"/>
  <c r="H159" i="8"/>
  <c r="J159" i="8" s="1"/>
  <c r="G159" i="8"/>
  <c r="E159" i="8"/>
  <c r="K158" i="8"/>
  <c r="H158" i="8"/>
  <c r="J158" i="8" s="1"/>
  <c r="G158" i="8"/>
  <c r="E158" i="8"/>
  <c r="L157" i="8"/>
  <c r="K157" i="8"/>
  <c r="H157" i="8"/>
  <c r="J157" i="8" s="1"/>
  <c r="M157" i="8" s="1"/>
  <c r="G157" i="8"/>
  <c r="E157" i="8"/>
  <c r="K156" i="8"/>
  <c r="J156" i="8"/>
  <c r="H156" i="8"/>
  <c r="G156" i="8"/>
  <c r="E156" i="8"/>
  <c r="K155" i="8"/>
  <c r="J155" i="8"/>
  <c r="L155" i="8" s="1"/>
  <c r="H155" i="8"/>
  <c r="G155" i="8"/>
  <c r="E155" i="8"/>
  <c r="K154" i="8"/>
  <c r="J154" i="8"/>
  <c r="H154" i="8"/>
  <c r="G154" i="8"/>
  <c r="E154" i="8"/>
  <c r="M153" i="8"/>
  <c r="K153" i="8"/>
  <c r="L153" i="8" s="1"/>
  <c r="J153" i="8"/>
  <c r="H153" i="8"/>
  <c r="G153" i="8"/>
  <c r="E153" i="8"/>
  <c r="K152" i="8"/>
  <c r="L152" i="8" s="1"/>
  <c r="J152" i="8"/>
  <c r="M152" i="8" s="1"/>
  <c r="H152" i="8"/>
  <c r="G152" i="8"/>
  <c r="E152" i="8"/>
  <c r="M151" i="8"/>
  <c r="L151" i="8"/>
  <c r="K151" i="8"/>
  <c r="H151" i="8"/>
  <c r="J151" i="8" s="1"/>
  <c r="G151" i="8"/>
  <c r="E151" i="8"/>
  <c r="K150" i="8"/>
  <c r="J150" i="8"/>
  <c r="L150" i="8" s="1"/>
  <c r="H150" i="8"/>
  <c r="G150" i="8"/>
  <c r="E150" i="8"/>
  <c r="K149" i="8"/>
  <c r="H149" i="8"/>
  <c r="J149" i="8" s="1"/>
  <c r="M149" i="8" s="1"/>
  <c r="G149" i="8"/>
  <c r="E149" i="8"/>
  <c r="K148" i="8"/>
  <c r="H148" i="8"/>
  <c r="J148" i="8" s="1"/>
  <c r="G148" i="8"/>
  <c r="E148" i="8"/>
  <c r="K147" i="8"/>
  <c r="H147" i="8"/>
  <c r="J147" i="8" s="1"/>
  <c r="G147" i="8"/>
  <c r="E147" i="8"/>
  <c r="K146" i="8"/>
  <c r="J146" i="8"/>
  <c r="H146" i="8"/>
  <c r="G146" i="8"/>
  <c r="E146" i="8"/>
  <c r="K145" i="8"/>
  <c r="H145" i="8"/>
  <c r="J145" i="8" s="1"/>
  <c r="G145" i="8"/>
  <c r="E145" i="8"/>
  <c r="K144" i="8"/>
  <c r="J144" i="8"/>
  <c r="M144" i="8" s="1"/>
  <c r="H144" i="8"/>
  <c r="G144" i="8"/>
  <c r="E144" i="8"/>
  <c r="K143" i="8"/>
  <c r="H143" i="8"/>
  <c r="J143" i="8" s="1"/>
  <c r="M143" i="8" s="1"/>
  <c r="G143" i="8"/>
  <c r="E143" i="8"/>
  <c r="K142" i="8"/>
  <c r="H142" i="8"/>
  <c r="J142" i="8" s="1"/>
  <c r="M142" i="8" s="1"/>
  <c r="G142" i="8"/>
  <c r="E142" i="8"/>
  <c r="K141" i="8"/>
  <c r="H141" i="8"/>
  <c r="J141" i="8" s="1"/>
  <c r="G141" i="8"/>
  <c r="E141" i="8"/>
  <c r="K140" i="8"/>
  <c r="H140" i="8"/>
  <c r="J140" i="8" s="1"/>
  <c r="G140" i="8"/>
  <c r="E140" i="8"/>
  <c r="K139" i="8"/>
  <c r="H139" i="8"/>
  <c r="J139" i="8" s="1"/>
  <c r="G139" i="8"/>
  <c r="E139" i="8"/>
  <c r="K138" i="8"/>
  <c r="H138" i="8"/>
  <c r="J138" i="8" s="1"/>
  <c r="G138" i="8"/>
  <c r="E138" i="8"/>
  <c r="M137" i="8"/>
  <c r="L137" i="8"/>
  <c r="K137" i="8"/>
  <c r="H137" i="8"/>
  <c r="J137" i="8" s="1"/>
  <c r="G137" i="8"/>
  <c r="E137" i="8"/>
  <c r="K136" i="8"/>
  <c r="J136" i="8"/>
  <c r="H136" i="8"/>
  <c r="G136" i="8"/>
  <c r="E136" i="8"/>
  <c r="K135" i="8"/>
  <c r="J135" i="8"/>
  <c r="L135" i="8" s="1"/>
  <c r="H135" i="8"/>
  <c r="G135" i="8"/>
  <c r="E135" i="8"/>
  <c r="K134" i="8"/>
  <c r="H134" i="8"/>
  <c r="J134" i="8" s="1"/>
  <c r="M134" i="8" s="1"/>
  <c r="G134" i="8"/>
  <c r="E134" i="8"/>
  <c r="K133" i="8"/>
  <c r="H133" i="8"/>
  <c r="J133" i="8" s="1"/>
  <c r="M133" i="8" s="1"/>
  <c r="G133" i="8"/>
  <c r="E133" i="8"/>
  <c r="K132" i="8"/>
  <c r="J132" i="8"/>
  <c r="L132" i="8" s="1"/>
  <c r="H132" i="8"/>
  <c r="G132" i="8"/>
  <c r="E132" i="8"/>
  <c r="K131" i="8"/>
  <c r="H131" i="8"/>
  <c r="J131" i="8" s="1"/>
  <c r="G131" i="8"/>
  <c r="E131" i="8"/>
  <c r="K130" i="8"/>
  <c r="H130" i="8"/>
  <c r="J130" i="8" s="1"/>
  <c r="G130" i="8"/>
  <c r="E130" i="8"/>
  <c r="K129" i="8"/>
  <c r="J129" i="8"/>
  <c r="H129" i="8"/>
  <c r="G129" i="8"/>
  <c r="E129" i="8"/>
  <c r="L128" i="8"/>
  <c r="K128" i="8"/>
  <c r="J128" i="8"/>
  <c r="M128" i="8" s="1"/>
  <c r="H128" i="8"/>
  <c r="G128" i="8"/>
  <c r="E128" i="8"/>
  <c r="L127" i="8"/>
  <c r="K127" i="8"/>
  <c r="H127" i="8"/>
  <c r="J127" i="8" s="1"/>
  <c r="M127" i="8" s="1"/>
  <c r="G127" i="8"/>
  <c r="E127" i="8"/>
  <c r="M126" i="8"/>
  <c r="L126" i="8"/>
  <c r="K126" i="8"/>
  <c r="H126" i="8"/>
  <c r="J126" i="8" s="1"/>
  <c r="G126" i="8"/>
  <c r="E126" i="8"/>
  <c r="M125" i="8"/>
  <c r="K125" i="8"/>
  <c r="H125" i="8"/>
  <c r="J125" i="8" s="1"/>
  <c r="L125" i="8" s="1"/>
  <c r="G125" i="8"/>
  <c r="E125" i="8"/>
  <c r="K124" i="8"/>
  <c r="H124" i="8"/>
  <c r="J124" i="8" s="1"/>
  <c r="L124" i="8" s="1"/>
  <c r="G124" i="8"/>
  <c r="E124" i="8"/>
  <c r="K123" i="8"/>
  <c r="H123" i="8"/>
  <c r="J123" i="8" s="1"/>
  <c r="G123" i="8"/>
  <c r="E123" i="8"/>
  <c r="K122" i="8"/>
  <c r="H122" i="8"/>
  <c r="J122" i="8" s="1"/>
  <c r="G122" i="8"/>
  <c r="E122" i="8"/>
  <c r="K121" i="8"/>
  <c r="H121" i="8"/>
  <c r="J121" i="8" s="1"/>
  <c r="G121" i="8"/>
  <c r="E121" i="8"/>
  <c r="K120" i="8"/>
  <c r="J120" i="8"/>
  <c r="H120" i="8"/>
  <c r="G120" i="8"/>
  <c r="E120" i="8"/>
  <c r="M119" i="8"/>
  <c r="L119" i="8"/>
  <c r="K119" i="8"/>
  <c r="J119" i="8"/>
  <c r="H119" i="8"/>
  <c r="G119" i="8"/>
  <c r="E119" i="8"/>
  <c r="M118" i="8"/>
  <c r="K118" i="8"/>
  <c r="H118" i="8"/>
  <c r="J118" i="8" s="1"/>
  <c r="L118" i="8" s="1"/>
  <c r="G118" i="8"/>
  <c r="E118" i="8"/>
  <c r="M117" i="8"/>
  <c r="K117" i="8"/>
  <c r="H117" i="8"/>
  <c r="J117" i="8" s="1"/>
  <c r="L117" i="8" s="1"/>
  <c r="G117" i="8"/>
  <c r="E117" i="8"/>
  <c r="K116" i="8"/>
  <c r="J116" i="8"/>
  <c r="H116" i="8"/>
  <c r="G116" i="8"/>
  <c r="E116" i="8"/>
  <c r="K115" i="8"/>
  <c r="H115" i="8"/>
  <c r="J115" i="8" s="1"/>
  <c r="G115" i="8"/>
  <c r="E115" i="8"/>
  <c r="K114" i="8"/>
  <c r="J114" i="8"/>
  <c r="M114" i="8" s="1"/>
  <c r="H114" i="8"/>
  <c r="G114" i="8"/>
  <c r="E114" i="8"/>
  <c r="K113" i="8"/>
  <c r="H113" i="8"/>
  <c r="J113" i="8" s="1"/>
  <c r="M113" i="8" s="1"/>
  <c r="G113" i="8"/>
  <c r="E113" i="8"/>
  <c r="K112" i="8"/>
  <c r="H112" i="8"/>
  <c r="J112" i="8" s="1"/>
  <c r="M112" i="8" s="1"/>
  <c r="G112" i="8"/>
  <c r="E112" i="8"/>
  <c r="K111" i="8"/>
  <c r="H111" i="8"/>
  <c r="J111" i="8" s="1"/>
  <c r="G111" i="8"/>
  <c r="E111" i="8"/>
  <c r="K110" i="8"/>
  <c r="H110" i="8"/>
  <c r="J110" i="8" s="1"/>
  <c r="G110" i="8"/>
  <c r="E110" i="8"/>
  <c r="K109" i="8"/>
  <c r="H109" i="8"/>
  <c r="J109" i="8" s="1"/>
  <c r="G109" i="8"/>
  <c r="E109" i="8"/>
  <c r="K108" i="8"/>
  <c r="J108" i="8"/>
  <c r="H108" i="8"/>
  <c r="G108" i="8"/>
  <c r="E108" i="8"/>
  <c r="M107" i="8"/>
  <c r="K107" i="8"/>
  <c r="L107" i="8" s="1"/>
  <c r="J107" i="8"/>
  <c r="H107" i="8"/>
  <c r="G107" i="8"/>
  <c r="E107" i="8"/>
  <c r="K106" i="8"/>
  <c r="H106" i="8"/>
  <c r="J106" i="8" s="1"/>
  <c r="M106" i="8" s="1"/>
  <c r="G106" i="8"/>
  <c r="E106" i="8"/>
  <c r="K105" i="8"/>
  <c r="H105" i="8"/>
  <c r="J105" i="8" s="1"/>
  <c r="L105" i="8" s="1"/>
  <c r="G105" i="8"/>
  <c r="E105" i="8"/>
  <c r="K104" i="8"/>
  <c r="H104" i="8"/>
  <c r="J104" i="8" s="1"/>
  <c r="G104" i="8"/>
  <c r="E104" i="8"/>
  <c r="K103" i="8"/>
  <c r="J103" i="8"/>
  <c r="H103" i="8"/>
  <c r="G103" i="8"/>
  <c r="E103" i="8"/>
  <c r="M102" i="8"/>
  <c r="K102" i="8"/>
  <c r="L102" i="8" s="1"/>
  <c r="J102" i="8"/>
  <c r="H102" i="8"/>
  <c r="G102" i="8"/>
  <c r="E102" i="8"/>
  <c r="K101" i="8"/>
  <c r="L101" i="8" s="1"/>
  <c r="H101" i="8"/>
  <c r="J101" i="8" s="1"/>
  <c r="M101" i="8" s="1"/>
  <c r="G101" i="8"/>
  <c r="E101" i="8"/>
  <c r="M100" i="8"/>
  <c r="L100" i="8"/>
  <c r="K100" i="8"/>
  <c r="H100" i="8"/>
  <c r="J100" i="8" s="1"/>
  <c r="G100" i="8"/>
  <c r="E100" i="8"/>
  <c r="K99" i="8"/>
  <c r="J99" i="8"/>
  <c r="L99" i="8" s="1"/>
  <c r="H99" i="8"/>
  <c r="G99" i="8"/>
  <c r="E99" i="8"/>
  <c r="K98" i="8"/>
  <c r="H98" i="8"/>
  <c r="J98" i="8" s="1"/>
  <c r="G98" i="8"/>
  <c r="E98" i="8"/>
  <c r="K97" i="8"/>
  <c r="H97" i="8"/>
  <c r="J97" i="8" s="1"/>
  <c r="G97" i="8"/>
  <c r="E97" i="8"/>
  <c r="K96" i="8"/>
  <c r="J96" i="8"/>
  <c r="H96" i="8"/>
  <c r="G96" i="8"/>
  <c r="E96" i="8"/>
  <c r="M95" i="8"/>
  <c r="K95" i="8"/>
  <c r="L95" i="8" s="1"/>
  <c r="J95" i="8"/>
  <c r="H95" i="8"/>
  <c r="G95" i="8"/>
  <c r="E95" i="8"/>
  <c r="K94" i="8"/>
  <c r="H94" i="8"/>
  <c r="J94" i="8" s="1"/>
  <c r="M94" i="8" s="1"/>
  <c r="G94" i="8"/>
  <c r="E94" i="8"/>
  <c r="K93" i="8"/>
  <c r="H93" i="8"/>
  <c r="J93" i="8" s="1"/>
  <c r="L93" i="8" s="1"/>
  <c r="G93" i="8"/>
  <c r="E93" i="8"/>
  <c r="K92" i="8"/>
  <c r="H92" i="8"/>
  <c r="J92" i="8" s="1"/>
  <c r="G92" i="8"/>
  <c r="E92" i="8"/>
  <c r="K91" i="8"/>
  <c r="H91" i="8"/>
  <c r="J91" i="8" s="1"/>
  <c r="G91" i="8"/>
  <c r="E91" i="8"/>
  <c r="M90" i="8"/>
  <c r="L90" i="8"/>
  <c r="K90" i="8"/>
  <c r="J90" i="8"/>
  <c r="H90" i="8"/>
  <c r="G90" i="8"/>
  <c r="E90" i="8"/>
  <c r="L89" i="8"/>
  <c r="K89" i="8"/>
  <c r="H89" i="8"/>
  <c r="J89" i="8" s="1"/>
  <c r="M89" i="8" s="1"/>
  <c r="G89" i="8"/>
  <c r="E89" i="8"/>
  <c r="M88" i="8"/>
  <c r="L88" i="8"/>
  <c r="K88" i="8"/>
  <c r="H88" i="8"/>
  <c r="J88" i="8" s="1"/>
  <c r="G88" i="8"/>
  <c r="E88" i="8"/>
  <c r="K87" i="8"/>
  <c r="H87" i="8"/>
  <c r="J87" i="8" s="1"/>
  <c r="G87" i="8"/>
  <c r="E87" i="8"/>
  <c r="K86" i="8"/>
  <c r="H86" i="8"/>
  <c r="J86" i="8" s="1"/>
  <c r="G86" i="8"/>
  <c r="E86" i="8"/>
  <c r="K85" i="8"/>
  <c r="H85" i="8"/>
  <c r="J85" i="8" s="1"/>
  <c r="G85" i="8"/>
  <c r="E85" i="8"/>
  <c r="K84" i="8"/>
  <c r="J84" i="8"/>
  <c r="H84" i="8"/>
  <c r="G84" i="8"/>
  <c r="E84" i="8"/>
  <c r="M83" i="8"/>
  <c r="K83" i="8"/>
  <c r="L83" i="8" s="1"/>
  <c r="J83" i="8"/>
  <c r="H83" i="8"/>
  <c r="G83" i="8"/>
  <c r="E83" i="8"/>
  <c r="K82" i="8"/>
  <c r="H82" i="8"/>
  <c r="J82" i="8" s="1"/>
  <c r="M82" i="8" s="1"/>
  <c r="G82" i="8"/>
  <c r="E82" i="8"/>
  <c r="K81" i="8"/>
  <c r="H81" i="8"/>
  <c r="J81" i="8" s="1"/>
  <c r="L81" i="8" s="1"/>
  <c r="G81" i="8"/>
  <c r="E81" i="8"/>
  <c r="K80" i="8"/>
  <c r="H80" i="8"/>
  <c r="J80" i="8" s="1"/>
  <c r="G80" i="8"/>
  <c r="E80" i="8"/>
  <c r="K79" i="8"/>
  <c r="H79" i="8"/>
  <c r="J79" i="8" s="1"/>
  <c r="G79" i="8"/>
  <c r="E79" i="8"/>
  <c r="M78" i="8"/>
  <c r="K78" i="8"/>
  <c r="J78" i="8"/>
  <c r="L78" i="8" s="1"/>
  <c r="H78" i="8"/>
  <c r="G78" i="8"/>
  <c r="E78" i="8"/>
  <c r="K77" i="8"/>
  <c r="H77" i="8"/>
  <c r="J77" i="8" s="1"/>
  <c r="M77" i="8" s="1"/>
  <c r="G77" i="8"/>
  <c r="E77" i="8"/>
  <c r="M76" i="8"/>
  <c r="K76" i="8"/>
  <c r="H76" i="8"/>
  <c r="J76" i="8" s="1"/>
  <c r="L76" i="8" s="1"/>
  <c r="G76" i="8"/>
  <c r="E76" i="8"/>
  <c r="K75" i="8"/>
  <c r="H75" i="8"/>
  <c r="J75" i="8" s="1"/>
  <c r="G75" i="8"/>
  <c r="E75" i="8"/>
  <c r="K74" i="8"/>
  <c r="H74" i="8"/>
  <c r="J74" i="8" s="1"/>
  <c r="G74" i="8"/>
  <c r="E74" i="8"/>
  <c r="K73" i="8"/>
  <c r="J73" i="8"/>
  <c r="M73" i="8" s="1"/>
  <c r="H73" i="8"/>
  <c r="G73" i="8"/>
  <c r="E73" i="8"/>
  <c r="K72" i="8"/>
  <c r="J72" i="8"/>
  <c r="H72" i="8"/>
  <c r="G72" i="8"/>
  <c r="E72" i="8"/>
  <c r="M71" i="8"/>
  <c r="K71" i="8"/>
  <c r="L71" i="8" s="1"/>
  <c r="J71" i="8"/>
  <c r="H71" i="8"/>
  <c r="G71" i="8"/>
  <c r="E71" i="8"/>
  <c r="M70" i="8"/>
  <c r="L70" i="8"/>
  <c r="K70" i="8"/>
  <c r="H70" i="8"/>
  <c r="J70" i="8" s="1"/>
  <c r="G70" i="8"/>
  <c r="E70" i="8"/>
  <c r="K69" i="8"/>
  <c r="H69" i="8"/>
  <c r="J69" i="8" s="1"/>
  <c r="L69" i="8" s="1"/>
  <c r="G69" i="8"/>
  <c r="E69" i="8"/>
  <c r="K68" i="8"/>
  <c r="H68" i="8"/>
  <c r="J68" i="8" s="1"/>
  <c r="G68" i="8"/>
  <c r="E68" i="8"/>
  <c r="K67" i="8"/>
  <c r="H67" i="8"/>
  <c r="J67" i="8" s="1"/>
  <c r="G67" i="8"/>
  <c r="E67" i="8"/>
  <c r="K66" i="8"/>
  <c r="J66" i="8"/>
  <c r="M66" i="8" s="1"/>
  <c r="H66" i="8"/>
  <c r="G66" i="8"/>
  <c r="E66" i="8"/>
  <c r="K65" i="8"/>
  <c r="H65" i="8"/>
  <c r="J65" i="8" s="1"/>
  <c r="M65" i="8" s="1"/>
  <c r="G65" i="8"/>
  <c r="E65" i="8"/>
  <c r="K64" i="8"/>
  <c r="H64" i="8"/>
  <c r="J64" i="8" s="1"/>
  <c r="M64" i="8" s="1"/>
  <c r="G64" i="8"/>
  <c r="E64" i="8"/>
  <c r="K63" i="8"/>
  <c r="H63" i="8"/>
  <c r="J63" i="8" s="1"/>
  <c r="G63" i="8"/>
  <c r="E63" i="8"/>
  <c r="K62" i="8"/>
  <c r="H62" i="8"/>
  <c r="J62" i="8" s="1"/>
  <c r="G62" i="8"/>
  <c r="E62" i="8"/>
  <c r="K61" i="8"/>
  <c r="H61" i="8"/>
  <c r="J61" i="8" s="1"/>
  <c r="G61" i="8"/>
  <c r="E61" i="8"/>
  <c r="K60" i="8"/>
  <c r="J60" i="8"/>
  <c r="H60" i="8"/>
  <c r="G60" i="8"/>
  <c r="E60" i="8"/>
  <c r="M59" i="8"/>
  <c r="K59" i="8"/>
  <c r="L59" i="8" s="1"/>
  <c r="J59" i="8"/>
  <c r="H59" i="8"/>
  <c r="G59" i="8"/>
  <c r="E59" i="8"/>
  <c r="M58" i="8"/>
  <c r="L58" i="8"/>
  <c r="K58" i="8"/>
  <c r="H58" i="8"/>
  <c r="J58" i="8" s="1"/>
  <c r="G58" i="8"/>
  <c r="E58" i="8"/>
  <c r="M57" i="8"/>
  <c r="K57" i="8"/>
  <c r="H57" i="8"/>
  <c r="J57" i="8" s="1"/>
  <c r="L57" i="8" s="1"/>
  <c r="G57" i="8"/>
  <c r="E57" i="8"/>
  <c r="K56" i="8"/>
  <c r="H56" i="8"/>
  <c r="J56" i="8" s="1"/>
  <c r="G56" i="8"/>
  <c r="E56" i="8"/>
  <c r="K55" i="8"/>
  <c r="H55" i="8"/>
  <c r="J55" i="8" s="1"/>
  <c r="G55" i="8"/>
  <c r="E55" i="8"/>
  <c r="K54" i="8"/>
  <c r="J54" i="8"/>
  <c r="M54" i="8" s="1"/>
  <c r="H54" i="8"/>
  <c r="G54" i="8"/>
  <c r="E54" i="8"/>
  <c r="K53" i="8"/>
  <c r="H53" i="8"/>
  <c r="J53" i="8" s="1"/>
  <c r="M53" i="8" s="1"/>
  <c r="G53" i="8"/>
  <c r="E53" i="8"/>
  <c r="K52" i="8"/>
  <c r="H52" i="8"/>
  <c r="J52" i="8" s="1"/>
  <c r="M52" i="8" s="1"/>
  <c r="G52" i="8"/>
  <c r="E52" i="8"/>
  <c r="K51" i="8"/>
  <c r="H51" i="8"/>
  <c r="J51" i="8" s="1"/>
  <c r="G51" i="8"/>
  <c r="E51" i="8"/>
  <c r="K50" i="8"/>
  <c r="H50" i="8"/>
  <c r="J50" i="8" s="1"/>
  <c r="G50" i="8"/>
  <c r="E50" i="8"/>
  <c r="K49" i="8"/>
  <c r="H49" i="8"/>
  <c r="J49" i="8" s="1"/>
  <c r="G49" i="8"/>
  <c r="E49" i="8"/>
  <c r="K48" i="8"/>
  <c r="J48" i="8"/>
  <c r="H48" i="8"/>
  <c r="G48" i="8"/>
  <c r="E48" i="8"/>
  <c r="M47" i="8"/>
  <c r="L47" i="8"/>
  <c r="K47" i="8"/>
  <c r="J47" i="8"/>
  <c r="H47" i="8"/>
  <c r="G47" i="8"/>
  <c r="E47" i="8"/>
  <c r="M46" i="8"/>
  <c r="K46" i="8"/>
  <c r="H46" i="8"/>
  <c r="J46" i="8" s="1"/>
  <c r="L46" i="8" s="1"/>
  <c r="G46" i="8"/>
  <c r="E46" i="8"/>
  <c r="M45" i="8"/>
  <c r="K45" i="8"/>
  <c r="H45" i="8"/>
  <c r="J45" i="8" s="1"/>
  <c r="L45" i="8" s="1"/>
  <c r="G45" i="8"/>
  <c r="E45" i="8"/>
  <c r="K44" i="8"/>
  <c r="J44" i="8"/>
  <c r="H44" i="8"/>
  <c r="G44" i="8"/>
  <c r="E44" i="8"/>
  <c r="K43" i="8"/>
  <c r="H43" i="8"/>
  <c r="J43" i="8" s="1"/>
  <c r="G43" i="8"/>
  <c r="E43" i="8"/>
  <c r="K42" i="8"/>
  <c r="J42" i="8"/>
  <c r="M42" i="8" s="1"/>
  <c r="H42" i="8"/>
  <c r="G42" i="8"/>
  <c r="E42" i="8"/>
  <c r="K41" i="8"/>
  <c r="H41" i="8"/>
  <c r="J41" i="8" s="1"/>
  <c r="M41" i="8" s="1"/>
  <c r="G41" i="8"/>
  <c r="E41" i="8"/>
  <c r="K40" i="8"/>
  <c r="H40" i="8"/>
  <c r="J40" i="8" s="1"/>
  <c r="M40" i="8" s="1"/>
  <c r="G40" i="8"/>
  <c r="E40" i="8"/>
  <c r="K39" i="8"/>
  <c r="H39" i="8"/>
  <c r="J39" i="8" s="1"/>
  <c r="G39" i="8"/>
  <c r="E39" i="8"/>
  <c r="K38" i="8"/>
  <c r="H38" i="8"/>
  <c r="J38" i="8" s="1"/>
  <c r="G38" i="8"/>
  <c r="E38" i="8"/>
  <c r="K37" i="8"/>
  <c r="H37" i="8"/>
  <c r="J37" i="8" s="1"/>
  <c r="G37" i="8"/>
  <c r="E37" i="8"/>
  <c r="K36" i="8"/>
  <c r="J36" i="8"/>
  <c r="H36" i="8"/>
  <c r="G36" i="8"/>
  <c r="E36" i="8"/>
  <c r="M35" i="8"/>
  <c r="K35" i="8"/>
  <c r="L35" i="8" s="1"/>
  <c r="J35" i="8"/>
  <c r="H35" i="8"/>
  <c r="G35" i="8"/>
  <c r="E35" i="8"/>
  <c r="K34" i="8"/>
  <c r="H34" i="8"/>
  <c r="J34" i="8" s="1"/>
  <c r="M34" i="8" s="1"/>
  <c r="G34" i="8"/>
  <c r="E34" i="8"/>
  <c r="K33" i="8"/>
  <c r="H33" i="8"/>
  <c r="J33" i="8" s="1"/>
  <c r="L33" i="8" s="1"/>
  <c r="G33" i="8"/>
  <c r="E33" i="8"/>
  <c r="K32" i="8"/>
  <c r="H32" i="8"/>
  <c r="J32" i="8" s="1"/>
  <c r="G32" i="8"/>
  <c r="E32" i="8"/>
  <c r="K31" i="8"/>
  <c r="J31" i="8"/>
  <c r="H31" i="8"/>
  <c r="G31" i="8"/>
  <c r="E31" i="8"/>
  <c r="M30" i="8"/>
  <c r="K30" i="8"/>
  <c r="L30" i="8" s="1"/>
  <c r="J30" i="8"/>
  <c r="H30" i="8"/>
  <c r="G30" i="8"/>
  <c r="E30" i="8"/>
  <c r="K29" i="8"/>
  <c r="L29" i="8" s="1"/>
  <c r="H29" i="8"/>
  <c r="J29" i="8" s="1"/>
  <c r="M29" i="8" s="1"/>
  <c r="G29" i="8"/>
  <c r="E29" i="8"/>
  <c r="M28" i="8"/>
  <c r="L28" i="8"/>
  <c r="K28" i="8"/>
  <c r="J28" i="8"/>
  <c r="H28" i="8"/>
  <c r="G28" i="8"/>
  <c r="E28" i="8"/>
  <c r="K27" i="8"/>
  <c r="H27" i="8"/>
  <c r="J27" i="8" s="1"/>
  <c r="G27" i="8"/>
  <c r="E27" i="8"/>
  <c r="K26" i="8"/>
  <c r="H26" i="8"/>
  <c r="J26" i="8" s="1"/>
  <c r="G26" i="8"/>
  <c r="E26" i="8"/>
  <c r="K25" i="8"/>
  <c r="H25" i="8"/>
  <c r="J25" i="8" s="1"/>
  <c r="G25" i="8"/>
  <c r="E25" i="8"/>
  <c r="K24" i="8"/>
  <c r="J24" i="8"/>
  <c r="H24" i="8"/>
  <c r="G24" i="8"/>
  <c r="E24" i="8"/>
  <c r="M23" i="8"/>
  <c r="K23" i="8"/>
  <c r="L23" i="8" s="1"/>
  <c r="J23" i="8"/>
  <c r="H23" i="8"/>
  <c r="G23" i="8"/>
  <c r="E23" i="8"/>
  <c r="K22" i="8"/>
  <c r="H22" i="8"/>
  <c r="J22" i="8" s="1"/>
  <c r="M22" i="8" s="1"/>
  <c r="G22" i="8"/>
  <c r="E22" i="8"/>
  <c r="K21" i="8"/>
  <c r="H21" i="8"/>
  <c r="J21" i="8" s="1"/>
  <c r="L21" i="8" s="1"/>
  <c r="G21" i="8"/>
  <c r="E21" i="8"/>
  <c r="K20" i="8"/>
  <c r="H20" i="8"/>
  <c r="J20" i="8" s="1"/>
  <c r="G20" i="8"/>
  <c r="E20" i="8"/>
  <c r="K19" i="8"/>
  <c r="H19" i="8"/>
  <c r="J19" i="8" s="1"/>
  <c r="G19" i="8"/>
  <c r="E19" i="8"/>
  <c r="M18" i="8"/>
  <c r="K18" i="8"/>
  <c r="J18" i="8"/>
  <c r="L18" i="8" s="1"/>
  <c r="H18" i="8"/>
  <c r="G18" i="8"/>
  <c r="E18" i="8"/>
  <c r="K17" i="8"/>
  <c r="H17" i="8"/>
  <c r="J17" i="8" s="1"/>
  <c r="M17" i="8" s="1"/>
  <c r="G17" i="8"/>
  <c r="E17" i="8"/>
  <c r="M16" i="8"/>
  <c r="L16" i="8"/>
  <c r="K16" i="8"/>
  <c r="J16" i="8"/>
  <c r="H16" i="8"/>
  <c r="G16" i="8"/>
  <c r="E16" i="8"/>
  <c r="K15" i="8"/>
  <c r="H15" i="8"/>
  <c r="J15" i="8" s="1"/>
  <c r="G15" i="8"/>
  <c r="E15" i="8"/>
  <c r="K14" i="8"/>
  <c r="H14" i="8"/>
  <c r="J14" i="8" s="1"/>
  <c r="G14" i="8"/>
  <c r="E14" i="8"/>
  <c r="K13" i="8"/>
  <c r="H13" i="8"/>
  <c r="J13" i="8" s="1"/>
  <c r="G13" i="8"/>
  <c r="E13" i="8"/>
  <c r="K12" i="8"/>
  <c r="J12" i="8"/>
  <c r="H12" i="8"/>
  <c r="G12" i="8"/>
  <c r="E12" i="8"/>
  <c r="M11" i="8"/>
  <c r="K11" i="8"/>
  <c r="L11" i="8" s="1"/>
  <c r="J11" i="8"/>
  <c r="H11" i="8"/>
  <c r="G11" i="8"/>
  <c r="E11" i="8"/>
  <c r="M10" i="8"/>
  <c r="L10" i="8"/>
  <c r="K10" i="8"/>
  <c r="H10" i="8"/>
  <c r="J10" i="8" s="1"/>
  <c r="G10" i="8"/>
  <c r="E10" i="8"/>
  <c r="M9" i="8"/>
  <c r="K9" i="8"/>
  <c r="H9" i="8"/>
  <c r="J9" i="8" s="1"/>
  <c r="L9" i="8" s="1"/>
  <c r="G9" i="8"/>
  <c r="E9" i="8"/>
  <c r="K8" i="8"/>
  <c r="H8" i="8"/>
  <c r="J8" i="8" s="1"/>
  <c r="G8" i="8"/>
  <c r="E8" i="8"/>
  <c r="K7" i="8"/>
  <c r="H7" i="8"/>
  <c r="J7" i="8" s="1"/>
  <c r="G7" i="8"/>
  <c r="E7" i="8"/>
  <c r="K6" i="8"/>
  <c r="J6" i="8"/>
  <c r="M6" i="8" s="1"/>
  <c r="H6" i="8"/>
  <c r="G6" i="8"/>
  <c r="E6" i="8"/>
  <c r="K5" i="8"/>
  <c r="H5" i="8"/>
  <c r="J5" i="8" s="1"/>
  <c r="M5" i="8" s="1"/>
  <c r="G5" i="8"/>
  <c r="E5" i="8"/>
  <c r="M304" i="7"/>
  <c r="L304" i="7"/>
  <c r="K304" i="7"/>
  <c r="J304" i="7"/>
  <c r="H304" i="7"/>
  <c r="G304" i="7"/>
  <c r="E304" i="7"/>
  <c r="M303" i="7"/>
  <c r="K303" i="7"/>
  <c r="J303" i="7"/>
  <c r="L303" i="7" s="1"/>
  <c r="H303" i="7"/>
  <c r="G303" i="7"/>
  <c r="E303" i="7"/>
  <c r="M302" i="7"/>
  <c r="K302" i="7"/>
  <c r="J302" i="7"/>
  <c r="L302" i="7" s="1"/>
  <c r="H302" i="7"/>
  <c r="G302" i="7"/>
  <c r="E302" i="7"/>
  <c r="M301" i="7"/>
  <c r="K301" i="7"/>
  <c r="J301" i="7"/>
  <c r="L301" i="7" s="1"/>
  <c r="H301" i="7"/>
  <c r="G301" i="7"/>
  <c r="E301" i="7"/>
  <c r="M300" i="7"/>
  <c r="K300" i="7"/>
  <c r="J300" i="7"/>
  <c r="L300" i="7" s="1"/>
  <c r="H300" i="7"/>
  <c r="G300" i="7"/>
  <c r="E300" i="7"/>
  <c r="M299" i="7"/>
  <c r="K299" i="7"/>
  <c r="L299" i="7" s="1"/>
  <c r="J299" i="7"/>
  <c r="H299" i="7"/>
  <c r="G299" i="7"/>
  <c r="E299" i="7"/>
  <c r="M298" i="7"/>
  <c r="L298" i="7"/>
  <c r="K298" i="7"/>
  <c r="J298" i="7"/>
  <c r="H298" i="7"/>
  <c r="G298" i="7"/>
  <c r="E298" i="7"/>
  <c r="M297" i="7"/>
  <c r="L297" i="7"/>
  <c r="K297" i="7"/>
  <c r="J297" i="7"/>
  <c r="H297" i="7"/>
  <c r="G297" i="7"/>
  <c r="E297" i="7"/>
  <c r="M296" i="7"/>
  <c r="K296" i="7"/>
  <c r="J296" i="7"/>
  <c r="L296" i="7" s="1"/>
  <c r="H296" i="7"/>
  <c r="G296" i="7"/>
  <c r="E296" i="7"/>
  <c r="M295" i="7"/>
  <c r="K295" i="7"/>
  <c r="J295" i="7"/>
  <c r="L295" i="7" s="1"/>
  <c r="H295" i="7"/>
  <c r="G295" i="7"/>
  <c r="E295" i="7"/>
  <c r="M294" i="7"/>
  <c r="K294" i="7"/>
  <c r="J294" i="7"/>
  <c r="L294" i="7" s="1"/>
  <c r="H294" i="7"/>
  <c r="G294" i="7"/>
  <c r="E294" i="7"/>
  <c r="M293" i="7"/>
  <c r="K293" i="7"/>
  <c r="L293" i="7" s="1"/>
  <c r="J293" i="7"/>
  <c r="H293" i="7"/>
  <c r="G293" i="7"/>
  <c r="E293" i="7"/>
  <c r="M292" i="7"/>
  <c r="L292" i="7"/>
  <c r="K292" i="7"/>
  <c r="J292" i="7"/>
  <c r="H292" i="7"/>
  <c r="G292" i="7"/>
  <c r="E292" i="7"/>
  <c r="M291" i="7"/>
  <c r="K291" i="7"/>
  <c r="J291" i="7"/>
  <c r="L291" i="7" s="1"/>
  <c r="H291" i="7"/>
  <c r="G291" i="7"/>
  <c r="E291" i="7"/>
  <c r="M290" i="7"/>
  <c r="K290" i="7"/>
  <c r="J290" i="7"/>
  <c r="L290" i="7" s="1"/>
  <c r="H290" i="7"/>
  <c r="G290" i="7"/>
  <c r="E290" i="7"/>
  <c r="M289" i="7"/>
  <c r="K289" i="7"/>
  <c r="L289" i="7" s="1"/>
  <c r="J289" i="7"/>
  <c r="H289" i="7"/>
  <c r="G289" i="7"/>
  <c r="E289" i="7"/>
  <c r="M288" i="7"/>
  <c r="K288" i="7"/>
  <c r="J288" i="7"/>
  <c r="H288" i="7"/>
  <c r="G288" i="7"/>
  <c r="E288" i="7"/>
  <c r="M287" i="7"/>
  <c r="L287" i="7"/>
  <c r="K287" i="7"/>
  <c r="J287" i="7"/>
  <c r="H287" i="7"/>
  <c r="G287" i="7"/>
  <c r="E287" i="7"/>
  <c r="M286" i="7"/>
  <c r="L286" i="7"/>
  <c r="K286" i="7"/>
  <c r="J286" i="7"/>
  <c r="H286" i="7"/>
  <c r="G286" i="7"/>
  <c r="E286" i="7"/>
  <c r="M285" i="7"/>
  <c r="L285" i="7"/>
  <c r="K285" i="7"/>
  <c r="J285" i="7"/>
  <c r="H285" i="7"/>
  <c r="G285" i="7"/>
  <c r="E285" i="7"/>
  <c r="M284" i="7"/>
  <c r="K284" i="7"/>
  <c r="J284" i="7"/>
  <c r="L284" i="7" s="1"/>
  <c r="H284" i="7"/>
  <c r="G284" i="7"/>
  <c r="E284" i="7"/>
  <c r="M283" i="7"/>
  <c r="K283" i="7"/>
  <c r="J283" i="7"/>
  <c r="L283" i="7" s="1"/>
  <c r="H283" i="7"/>
  <c r="G283" i="7"/>
  <c r="E283" i="7"/>
  <c r="M282" i="7"/>
  <c r="K282" i="7"/>
  <c r="J282" i="7"/>
  <c r="L282" i="7" s="1"/>
  <c r="H282" i="7"/>
  <c r="G282" i="7"/>
  <c r="E282" i="7"/>
  <c r="M281" i="7"/>
  <c r="K281" i="7"/>
  <c r="L281" i="7" s="1"/>
  <c r="J281" i="7"/>
  <c r="H281" i="7"/>
  <c r="G281" i="7"/>
  <c r="E281" i="7"/>
  <c r="M280" i="7"/>
  <c r="L280" i="7"/>
  <c r="K280" i="7"/>
  <c r="J280" i="7"/>
  <c r="H280" i="7"/>
  <c r="G280" i="7"/>
  <c r="E280" i="7"/>
  <c r="M279" i="7"/>
  <c r="K279" i="7"/>
  <c r="J279" i="7"/>
  <c r="L279" i="7" s="1"/>
  <c r="H279" i="7"/>
  <c r="G279" i="7"/>
  <c r="E279" i="7"/>
  <c r="M278" i="7"/>
  <c r="K278" i="7"/>
  <c r="J278" i="7"/>
  <c r="L278" i="7" s="1"/>
  <c r="H278" i="7"/>
  <c r="G278" i="7"/>
  <c r="E278" i="7"/>
  <c r="M277" i="7"/>
  <c r="L277" i="7"/>
  <c r="K277" i="7"/>
  <c r="J277" i="7"/>
  <c r="H277" i="7"/>
  <c r="G277" i="7"/>
  <c r="E277" i="7"/>
  <c r="M276" i="7"/>
  <c r="K276" i="7"/>
  <c r="J276" i="7"/>
  <c r="L276" i="7" s="1"/>
  <c r="H276" i="7"/>
  <c r="G276" i="7"/>
  <c r="E276" i="7"/>
  <c r="M275" i="7"/>
  <c r="K275" i="7"/>
  <c r="L275" i="7" s="1"/>
  <c r="J275" i="7"/>
  <c r="H275" i="7"/>
  <c r="G275" i="7"/>
  <c r="E275" i="7"/>
  <c r="M274" i="7"/>
  <c r="L274" i="7"/>
  <c r="K274" i="7"/>
  <c r="J274" i="7"/>
  <c r="H274" i="7"/>
  <c r="G274" i="7"/>
  <c r="E274" i="7"/>
  <c r="M273" i="7"/>
  <c r="L273" i="7"/>
  <c r="K273" i="7"/>
  <c r="J273" i="7"/>
  <c r="H273" i="7"/>
  <c r="G273" i="7"/>
  <c r="E273" i="7"/>
  <c r="M272" i="7"/>
  <c r="K272" i="7"/>
  <c r="J272" i="7"/>
  <c r="L272" i="7" s="1"/>
  <c r="H272" i="7"/>
  <c r="G272" i="7"/>
  <c r="E272" i="7"/>
  <c r="M271" i="7"/>
  <c r="K271" i="7"/>
  <c r="J271" i="7"/>
  <c r="L271" i="7" s="1"/>
  <c r="H271" i="7"/>
  <c r="G271" i="7"/>
  <c r="E271" i="7"/>
  <c r="M270" i="7"/>
  <c r="K270" i="7"/>
  <c r="J270" i="7"/>
  <c r="L270" i="7" s="1"/>
  <c r="H270" i="7"/>
  <c r="G270" i="7"/>
  <c r="E270" i="7"/>
  <c r="M269" i="7"/>
  <c r="K269" i="7"/>
  <c r="L269" i="7" s="1"/>
  <c r="J269" i="7"/>
  <c r="H269" i="7"/>
  <c r="G269" i="7"/>
  <c r="E269" i="7"/>
  <c r="M268" i="7"/>
  <c r="L268" i="7"/>
  <c r="K268" i="7"/>
  <c r="J268" i="7"/>
  <c r="H268" i="7"/>
  <c r="G268" i="7"/>
  <c r="E268" i="7"/>
  <c r="M267" i="7"/>
  <c r="K267" i="7"/>
  <c r="J267" i="7"/>
  <c r="L267" i="7" s="1"/>
  <c r="H267" i="7"/>
  <c r="G267" i="7"/>
  <c r="E267" i="7"/>
  <c r="M266" i="7"/>
  <c r="K266" i="7"/>
  <c r="J266" i="7"/>
  <c r="L266" i="7" s="1"/>
  <c r="H266" i="7"/>
  <c r="G266" i="7"/>
  <c r="E266" i="7"/>
  <c r="M265" i="7"/>
  <c r="K265" i="7"/>
  <c r="J265" i="7"/>
  <c r="L265" i="7" s="1"/>
  <c r="H265" i="7"/>
  <c r="G265" i="7"/>
  <c r="E265" i="7"/>
  <c r="M264" i="7"/>
  <c r="K264" i="7"/>
  <c r="J264" i="7"/>
  <c r="L264" i="7" s="1"/>
  <c r="H264" i="7"/>
  <c r="G264" i="7"/>
  <c r="E264" i="7"/>
  <c r="M263" i="7"/>
  <c r="K263" i="7"/>
  <c r="L263" i="7" s="1"/>
  <c r="J263" i="7"/>
  <c r="H263" i="7"/>
  <c r="G263" i="7"/>
  <c r="E263" i="7"/>
  <c r="M262" i="7"/>
  <c r="L262" i="7"/>
  <c r="K262" i="7"/>
  <c r="J262" i="7"/>
  <c r="H262" i="7"/>
  <c r="G262" i="7"/>
  <c r="E262" i="7"/>
  <c r="M261" i="7"/>
  <c r="L261" i="7"/>
  <c r="K261" i="7"/>
  <c r="J261" i="7"/>
  <c r="H261" i="7"/>
  <c r="G261" i="7"/>
  <c r="E261" i="7"/>
  <c r="M260" i="7"/>
  <c r="K260" i="7"/>
  <c r="J260" i="7"/>
  <c r="L260" i="7" s="1"/>
  <c r="H260" i="7"/>
  <c r="G260" i="7"/>
  <c r="E260" i="7"/>
  <c r="M259" i="7"/>
  <c r="K259" i="7"/>
  <c r="J259" i="7"/>
  <c r="L259" i="7" s="1"/>
  <c r="H259" i="7"/>
  <c r="G259" i="7"/>
  <c r="E259" i="7"/>
  <c r="M258" i="7"/>
  <c r="K258" i="7"/>
  <c r="L258" i="7" s="1"/>
  <c r="J258" i="7"/>
  <c r="H258" i="7"/>
  <c r="G258" i="7"/>
  <c r="E258" i="7"/>
  <c r="M257" i="7"/>
  <c r="L257" i="7"/>
  <c r="K257" i="7"/>
  <c r="J257" i="7"/>
  <c r="H257" i="7"/>
  <c r="G257" i="7"/>
  <c r="E257" i="7"/>
  <c r="M256" i="7"/>
  <c r="L256" i="7"/>
  <c r="K256" i="7"/>
  <c r="J256" i="7"/>
  <c r="H256" i="7"/>
  <c r="G256" i="7"/>
  <c r="E256" i="7"/>
  <c r="M255" i="7"/>
  <c r="K255" i="7"/>
  <c r="J255" i="7"/>
  <c r="L255" i="7" s="1"/>
  <c r="H255" i="7"/>
  <c r="G255" i="7"/>
  <c r="E255" i="7"/>
  <c r="M254" i="7"/>
  <c r="K254" i="7"/>
  <c r="J254" i="7"/>
  <c r="L254" i="7" s="1"/>
  <c r="H254" i="7"/>
  <c r="G254" i="7"/>
  <c r="E254" i="7"/>
  <c r="M253" i="7"/>
  <c r="K253" i="7"/>
  <c r="J253" i="7"/>
  <c r="L253" i="7" s="1"/>
  <c r="H253" i="7"/>
  <c r="G253" i="7"/>
  <c r="E253" i="7"/>
  <c r="M252" i="7"/>
  <c r="K252" i="7"/>
  <c r="J252" i="7"/>
  <c r="L252" i="7" s="1"/>
  <c r="H252" i="7"/>
  <c r="G252" i="7"/>
  <c r="E252" i="7"/>
  <c r="M251" i="7"/>
  <c r="K251" i="7"/>
  <c r="L251" i="7" s="1"/>
  <c r="J251" i="7"/>
  <c r="H251" i="7"/>
  <c r="G251" i="7"/>
  <c r="E251" i="7"/>
  <c r="M250" i="7"/>
  <c r="L250" i="7"/>
  <c r="K250" i="7"/>
  <c r="J250" i="7"/>
  <c r="H250" i="7"/>
  <c r="G250" i="7"/>
  <c r="E250" i="7"/>
  <c r="M249" i="7"/>
  <c r="L249" i="7"/>
  <c r="K249" i="7"/>
  <c r="J249" i="7"/>
  <c r="H249" i="7"/>
  <c r="G249" i="7"/>
  <c r="E249" i="7"/>
  <c r="M248" i="7"/>
  <c r="K248" i="7"/>
  <c r="J248" i="7"/>
  <c r="H248" i="7"/>
  <c r="G248" i="7"/>
  <c r="E248" i="7"/>
  <c r="M247" i="7"/>
  <c r="K247" i="7"/>
  <c r="J247" i="7"/>
  <c r="L247" i="7" s="1"/>
  <c r="H247" i="7"/>
  <c r="G247" i="7"/>
  <c r="E247" i="7"/>
  <c r="M246" i="7"/>
  <c r="K246" i="7"/>
  <c r="L246" i="7" s="1"/>
  <c r="J246" i="7"/>
  <c r="H246" i="7"/>
  <c r="G246" i="7"/>
  <c r="E246" i="7"/>
  <c r="M245" i="7"/>
  <c r="K245" i="7"/>
  <c r="L245" i="7" s="1"/>
  <c r="J245" i="7"/>
  <c r="H245" i="7"/>
  <c r="G245" i="7"/>
  <c r="E245" i="7"/>
  <c r="M244" i="7"/>
  <c r="L244" i="7"/>
  <c r="K244" i="7"/>
  <c r="J244" i="7"/>
  <c r="H244" i="7"/>
  <c r="G244" i="7"/>
  <c r="E244" i="7"/>
  <c r="M243" i="7"/>
  <c r="K243" i="7"/>
  <c r="J243" i="7"/>
  <c r="L243" i="7" s="1"/>
  <c r="H243" i="7"/>
  <c r="G243" i="7"/>
  <c r="E243" i="7"/>
  <c r="M242" i="7"/>
  <c r="K242" i="7"/>
  <c r="J242" i="7"/>
  <c r="L242" i="7" s="1"/>
  <c r="H242" i="7"/>
  <c r="G242" i="7"/>
  <c r="E242" i="7"/>
  <c r="M241" i="7"/>
  <c r="K241" i="7"/>
  <c r="J241" i="7"/>
  <c r="L241" i="7" s="1"/>
  <c r="H241" i="7"/>
  <c r="G241" i="7"/>
  <c r="E241" i="7"/>
  <c r="M240" i="7"/>
  <c r="K240" i="7"/>
  <c r="J240" i="7"/>
  <c r="L240" i="7" s="1"/>
  <c r="H240" i="7"/>
  <c r="G240" i="7"/>
  <c r="E240" i="7"/>
  <c r="M239" i="7"/>
  <c r="K239" i="7"/>
  <c r="L239" i="7" s="1"/>
  <c r="J239" i="7"/>
  <c r="H239" i="7"/>
  <c r="G239" i="7"/>
  <c r="E239" i="7"/>
  <c r="M238" i="7"/>
  <c r="L238" i="7"/>
  <c r="K238" i="7"/>
  <c r="J238" i="7"/>
  <c r="H238" i="7"/>
  <c r="G238" i="7"/>
  <c r="E238" i="7"/>
  <c r="M237" i="7"/>
  <c r="L237" i="7"/>
  <c r="K237" i="7"/>
  <c r="J237" i="7"/>
  <c r="H237" i="7"/>
  <c r="G237" i="7"/>
  <c r="E237" i="7"/>
  <c r="M236" i="7"/>
  <c r="K236" i="7"/>
  <c r="J236" i="7"/>
  <c r="L236" i="7" s="1"/>
  <c r="H236" i="7"/>
  <c r="G236" i="7"/>
  <c r="E236" i="7"/>
  <c r="M235" i="7"/>
  <c r="K235" i="7"/>
  <c r="J235" i="7"/>
  <c r="L235" i="7" s="1"/>
  <c r="H235" i="7"/>
  <c r="G235" i="7"/>
  <c r="E235" i="7"/>
  <c r="M234" i="7"/>
  <c r="K234" i="7"/>
  <c r="J234" i="7"/>
  <c r="L234" i="7" s="1"/>
  <c r="H234" i="7"/>
  <c r="G234" i="7"/>
  <c r="E234" i="7"/>
  <c r="M233" i="7"/>
  <c r="K233" i="7"/>
  <c r="L233" i="7" s="1"/>
  <c r="J233" i="7"/>
  <c r="H233" i="7"/>
  <c r="G233" i="7"/>
  <c r="E233" i="7"/>
  <c r="M232" i="7"/>
  <c r="L232" i="7"/>
  <c r="K232" i="7"/>
  <c r="J232" i="7"/>
  <c r="H232" i="7"/>
  <c r="G232" i="7"/>
  <c r="E232" i="7"/>
  <c r="M231" i="7"/>
  <c r="K231" i="7"/>
  <c r="J231" i="7"/>
  <c r="L231" i="7" s="1"/>
  <c r="H231" i="7"/>
  <c r="G231" i="7"/>
  <c r="E231" i="7"/>
  <c r="M230" i="7"/>
  <c r="K230" i="7"/>
  <c r="J230" i="7"/>
  <c r="L230" i="7" s="1"/>
  <c r="H230" i="7"/>
  <c r="G230" i="7"/>
  <c r="E230" i="7"/>
  <c r="M229" i="7"/>
  <c r="K229" i="7"/>
  <c r="J229" i="7"/>
  <c r="L229" i="7" s="1"/>
  <c r="H229" i="7"/>
  <c r="G229" i="7"/>
  <c r="E229" i="7"/>
  <c r="M228" i="7"/>
  <c r="K228" i="7"/>
  <c r="J228" i="7"/>
  <c r="L228" i="7" s="1"/>
  <c r="H228" i="7"/>
  <c r="G228" i="7"/>
  <c r="E228" i="7"/>
  <c r="M227" i="7"/>
  <c r="K227" i="7"/>
  <c r="L227" i="7" s="1"/>
  <c r="J227" i="7"/>
  <c r="H227" i="7"/>
  <c r="G227" i="7"/>
  <c r="E227" i="7"/>
  <c r="M226" i="7"/>
  <c r="L226" i="7"/>
  <c r="K226" i="7"/>
  <c r="J226" i="7"/>
  <c r="H226" i="7"/>
  <c r="G226" i="7"/>
  <c r="E226" i="7"/>
  <c r="M225" i="7"/>
  <c r="L225" i="7"/>
  <c r="K225" i="7"/>
  <c r="J225" i="7"/>
  <c r="H225" i="7"/>
  <c r="G225" i="7"/>
  <c r="E225" i="7"/>
  <c r="M224" i="7"/>
  <c r="K224" i="7"/>
  <c r="J224" i="7"/>
  <c r="L224" i="7" s="1"/>
  <c r="H224" i="7"/>
  <c r="G224" i="7"/>
  <c r="E224" i="7"/>
  <c r="M223" i="7"/>
  <c r="K223" i="7"/>
  <c r="J223" i="7"/>
  <c r="L223" i="7" s="1"/>
  <c r="H223" i="7"/>
  <c r="G223" i="7"/>
  <c r="E223" i="7"/>
  <c r="M222" i="7"/>
  <c r="K222" i="7"/>
  <c r="J222" i="7"/>
  <c r="L222" i="7" s="1"/>
  <c r="H222" i="7"/>
  <c r="G222" i="7"/>
  <c r="E222" i="7"/>
  <c r="M221" i="7"/>
  <c r="K221" i="7"/>
  <c r="L221" i="7" s="1"/>
  <c r="J221" i="7"/>
  <c r="H221" i="7"/>
  <c r="G221" i="7"/>
  <c r="E221" i="7"/>
  <c r="M220" i="7"/>
  <c r="L220" i="7"/>
  <c r="K220" i="7"/>
  <c r="J220" i="7"/>
  <c r="H220" i="7"/>
  <c r="G220" i="7"/>
  <c r="E220" i="7"/>
  <c r="M219" i="7"/>
  <c r="K219" i="7"/>
  <c r="J219" i="7"/>
  <c r="L219" i="7" s="1"/>
  <c r="H219" i="7"/>
  <c r="G219" i="7"/>
  <c r="E219" i="7"/>
  <c r="M218" i="7"/>
  <c r="K218" i="7"/>
  <c r="J218" i="7"/>
  <c r="L218" i="7" s="1"/>
  <c r="H218" i="7"/>
  <c r="G218" i="7"/>
  <c r="E218" i="7"/>
  <c r="M217" i="7"/>
  <c r="K217" i="7"/>
  <c r="J217" i="7"/>
  <c r="L217" i="7" s="1"/>
  <c r="H217" i="7"/>
  <c r="G217" i="7"/>
  <c r="E217" i="7"/>
  <c r="M216" i="7"/>
  <c r="K216" i="7"/>
  <c r="J216" i="7"/>
  <c r="H216" i="7"/>
  <c r="G216" i="7"/>
  <c r="E216" i="7"/>
  <c r="M215" i="7"/>
  <c r="K215" i="7"/>
  <c r="L215" i="7" s="1"/>
  <c r="J215" i="7"/>
  <c r="H215" i="7"/>
  <c r="G215" i="7"/>
  <c r="E215" i="7"/>
  <c r="M214" i="7"/>
  <c r="L214" i="7"/>
  <c r="K214" i="7"/>
  <c r="J214" i="7"/>
  <c r="H214" i="7"/>
  <c r="G214" i="7"/>
  <c r="E214" i="7"/>
  <c r="M213" i="7"/>
  <c r="L213" i="7"/>
  <c r="K213" i="7"/>
  <c r="J213" i="7"/>
  <c r="H213" i="7"/>
  <c r="G213" i="7"/>
  <c r="E213" i="7"/>
  <c r="M212" i="7"/>
  <c r="K212" i="7"/>
  <c r="J212" i="7"/>
  <c r="L212" i="7" s="1"/>
  <c r="H212" i="7"/>
  <c r="G212" i="7"/>
  <c r="E212" i="7"/>
  <c r="M211" i="7"/>
  <c r="K211" i="7"/>
  <c r="J211" i="7"/>
  <c r="L211" i="7" s="1"/>
  <c r="H211" i="7"/>
  <c r="G211" i="7"/>
  <c r="E211" i="7"/>
  <c r="M210" i="7"/>
  <c r="K210" i="7"/>
  <c r="J210" i="7"/>
  <c r="L210" i="7" s="1"/>
  <c r="H210" i="7"/>
  <c r="G210" i="7"/>
  <c r="E210" i="7"/>
  <c r="M209" i="7"/>
  <c r="K209" i="7"/>
  <c r="L209" i="7" s="1"/>
  <c r="J209" i="7"/>
  <c r="H209" i="7"/>
  <c r="G209" i="7"/>
  <c r="E209" i="7"/>
  <c r="M208" i="7"/>
  <c r="L208" i="7"/>
  <c r="K208" i="7"/>
  <c r="J208" i="7"/>
  <c r="H208" i="7"/>
  <c r="G208" i="7"/>
  <c r="E208" i="7"/>
  <c r="M207" i="7"/>
  <c r="K207" i="7"/>
  <c r="J207" i="7"/>
  <c r="L207" i="7" s="1"/>
  <c r="H207" i="7"/>
  <c r="G207" i="7"/>
  <c r="E207" i="7"/>
  <c r="M206" i="7"/>
  <c r="K206" i="7"/>
  <c r="J206" i="7"/>
  <c r="L206" i="7" s="1"/>
  <c r="H206" i="7"/>
  <c r="G206" i="7"/>
  <c r="E206" i="7"/>
  <c r="M205" i="7"/>
  <c r="L205" i="7"/>
  <c r="K205" i="7"/>
  <c r="J205" i="7"/>
  <c r="H205" i="7"/>
  <c r="G205" i="7"/>
  <c r="E205" i="7"/>
  <c r="M204" i="7"/>
  <c r="K204" i="7"/>
  <c r="J204" i="7"/>
  <c r="H204" i="7"/>
  <c r="G204" i="7"/>
  <c r="E204" i="7"/>
  <c r="M203" i="7"/>
  <c r="K203" i="7"/>
  <c r="L203" i="7" s="1"/>
  <c r="J203" i="7"/>
  <c r="H203" i="7"/>
  <c r="G203" i="7"/>
  <c r="E203" i="7"/>
  <c r="M202" i="7"/>
  <c r="L202" i="7"/>
  <c r="K202" i="7"/>
  <c r="J202" i="7"/>
  <c r="H202" i="7"/>
  <c r="G202" i="7"/>
  <c r="E202" i="7"/>
  <c r="M201" i="7"/>
  <c r="L201" i="7"/>
  <c r="K201" i="7"/>
  <c r="J201" i="7"/>
  <c r="H201" i="7"/>
  <c r="G201" i="7"/>
  <c r="E201" i="7"/>
  <c r="M200" i="7"/>
  <c r="K200" i="7"/>
  <c r="J200" i="7"/>
  <c r="L200" i="7" s="1"/>
  <c r="H200" i="7"/>
  <c r="G200" i="7"/>
  <c r="E200" i="7"/>
  <c r="M199" i="7"/>
  <c r="K199" i="7"/>
  <c r="J199" i="7"/>
  <c r="L199" i="7" s="1"/>
  <c r="H199" i="7"/>
  <c r="G199" i="7"/>
  <c r="E199" i="7"/>
  <c r="M198" i="7"/>
  <c r="K198" i="7"/>
  <c r="J198" i="7"/>
  <c r="L198" i="7" s="1"/>
  <c r="H198" i="7"/>
  <c r="G198" i="7"/>
  <c r="E198" i="7"/>
  <c r="M197" i="7"/>
  <c r="K197" i="7"/>
  <c r="L197" i="7" s="1"/>
  <c r="J197" i="7"/>
  <c r="H197" i="7"/>
  <c r="G197" i="7"/>
  <c r="E197" i="7"/>
  <c r="M196" i="7"/>
  <c r="L196" i="7"/>
  <c r="K196" i="7"/>
  <c r="J196" i="7"/>
  <c r="H196" i="7"/>
  <c r="G196" i="7"/>
  <c r="E196" i="7"/>
  <c r="M195" i="7"/>
  <c r="K195" i="7"/>
  <c r="J195" i="7"/>
  <c r="L195" i="7" s="1"/>
  <c r="H195" i="7"/>
  <c r="G195" i="7"/>
  <c r="E195" i="7"/>
  <c r="M194" i="7"/>
  <c r="K194" i="7"/>
  <c r="J194" i="7"/>
  <c r="L194" i="7" s="1"/>
  <c r="H194" i="7"/>
  <c r="G194" i="7"/>
  <c r="E194" i="7"/>
  <c r="M193" i="7"/>
  <c r="L193" i="7"/>
  <c r="K193" i="7"/>
  <c r="J193" i="7"/>
  <c r="H193" i="7"/>
  <c r="G193" i="7"/>
  <c r="E193" i="7"/>
  <c r="M192" i="7"/>
  <c r="K192" i="7"/>
  <c r="J192" i="7"/>
  <c r="L192" i="7" s="1"/>
  <c r="H192" i="7"/>
  <c r="G192" i="7"/>
  <c r="E192" i="7"/>
  <c r="M191" i="7"/>
  <c r="K191" i="7"/>
  <c r="L191" i="7" s="1"/>
  <c r="J191" i="7"/>
  <c r="H191" i="7"/>
  <c r="G191" i="7"/>
  <c r="E191" i="7"/>
  <c r="M190" i="7"/>
  <c r="L190" i="7"/>
  <c r="K190" i="7"/>
  <c r="J190" i="7"/>
  <c r="H190" i="7"/>
  <c r="G190" i="7"/>
  <c r="E190" i="7"/>
  <c r="M189" i="7"/>
  <c r="L189" i="7"/>
  <c r="K189" i="7"/>
  <c r="J189" i="7"/>
  <c r="H189" i="7"/>
  <c r="G189" i="7"/>
  <c r="E189" i="7"/>
  <c r="M188" i="7"/>
  <c r="K188" i="7"/>
  <c r="J188" i="7"/>
  <c r="L188" i="7" s="1"/>
  <c r="H188" i="7"/>
  <c r="G188" i="7"/>
  <c r="E188" i="7"/>
  <c r="M187" i="7"/>
  <c r="K187" i="7"/>
  <c r="J187" i="7"/>
  <c r="L187" i="7" s="1"/>
  <c r="H187" i="7"/>
  <c r="G187" i="7"/>
  <c r="E187" i="7"/>
  <c r="M186" i="7"/>
  <c r="K186" i="7"/>
  <c r="J186" i="7"/>
  <c r="L186" i="7" s="1"/>
  <c r="H186" i="7"/>
  <c r="G186" i="7"/>
  <c r="E186" i="7"/>
  <c r="M185" i="7"/>
  <c r="L185" i="7"/>
  <c r="K185" i="7"/>
  <c r="J185" i="7"/>
  <c r="H185" i="7"/>
  <c r="G185" i="7"/>
  <c r="E185" i="7"/>
  <c r="M184" i="7"/>
  <c r="L184" i="7"/>
  <c r="K184" i="7"/>
  <c r="J184" i="7"/>
  <c r="H184" i="7"/>
  <c r="G184" i="7"/>
  <c r="E184" i="7"/>
  <c r="M183" i="7"/>
  <c r="K183" i="7"/>
  <c r="J183" i="7"/>
  <c r="L183" i="7" s="1"/>
  <c r="H183" i="7"/>
  <c r="G183" i="7"/>
  <c r="E183" i="7"/>
  <c r="M182" i="7"/>
  <c r="K182" i="7"/>
  <c r="J182" i="7"/>
  <c r="L182" i="7" s="1"/>
  <c r="H182" i="7"/>
  <c r="G182" i="7"/>
  <c r="E182" i="7"/>
  <c r="M181" i="7"/>
  <c r="K181" i="7"/>
  <c r="J181" i="7"/>
  <c r="L181" i="7" s="1"/>
  <c r="H181" i="7"/>
  <c r="G181" i="7"/>
  <c r="E181" i="7"/>
  <c r="M180" i="7"/>
  <c r="K180" i="7"/>
  <c r="J180" i="7"/>
  <c r="L180" i="7" s="1"/>
  <c r="H180" i="7"/>
  <c r="G180" i="7"/>
  <c r="E180" i="7"/>
  <c r="M179" i="7"/>
  <c r="K179" i="7"/>
  <c r="L179" i="7" s="1"/>
  <c r="J179" i="7"/>
  <c r="H179" i="7"/>
  <c r="G179" i="7"/>
  <c r="E179" i="7"/>
  <c r="M178" i="7"/>
  <c r="L178" i="7"/>
  <c r="K178" i="7"/>
  <c r="J178" i="7"/>
  <c r="H178" i="7"/>
  <c r="G178" i="7"/>
  <c r="E178" i="7"/>
  <c r="M177" i="7"/>
  <c r="L177" i="7"/>
  <c r="K177" i="7"/>
  <c r="J177" i="7"/>
  <c r="H177" i="7"/>
  <c r="G177" i="7"/>
  <c r="E177" i="7"/>
  <c r="M176" i="7"/>
  <c r="K176" i="7"/>
  <c r="J176" i="7"/>
  <c r="H176" i="7"/>
  <c r="G176" i="7"/>
  <c r="E176" i="7"/>
  <c r="M175" i="7"/>
  <c r="K175" i="7"/>
  <c r="J175" i="7"/>
  <c r="L175" i="7" s="1"/>
  <c r="H175" i="7"/>
  <c r="G175" i="7"/>
  <c r="E175" i="7"/>
  <c r="M174" i="7"/>
  <c r="L174" i="7"/>
  <c r="K174" i="7"/>
  <c r="J174" i="7"/>
  <c r="H174" i="7"/>
  <c r="G174" i="7"/>
  <c r="E174" i="7"/>
  <c r="M173" i="7"/>
  <c r="L173" i="7"/>
  <c r="K173" i="7"/>
  <c r="J173" i="7"/>
  <c r="H173" i="7"/>
  <c r="G173" i="7"/>
  <c r="E173" i="7"/>
  <c r="M172" i="7"/>
  <c r="L172" i="7"/>
  <c r="K172" i="7"/>
  <c r="J172" i="7"/>
  <c r="H172" i="7"/>
  <c r="G172" i="7"/>
  <c r="E172" i="7"/>
  <c r="M171" i="7"/>
  <c r="K171" i="7"/>
  <c r="J171" i="7"/>
  <c r="L171" i="7" s="1"/>
  <c r="H171" i="7"/>
  <c r="G171" i="7"/>
  <c r="E171" i="7"/>
  <c r="M170" i="7"/>
  <c r="K170" i="7"/>
  <c r="J170" i="7"/>
  <c r="L170" i="7" s="1"/>
  <c r="H170" i="7"/>
  <c r="G170" i="7"/>
  <c r="E170" i="7"/>
  <c r="M169" i="7"/>
  <c r="K169" i="7"/>
  <c r="J169" i="7"/>
  <c r="L169" i="7" s="1"/>
  <c r="H169" i="7"/>
  <c r="G169" i="7"/>
  <c r="E169" i="7"/>
  <c r="M168" i="7"/>
  <c r="K168" i="7"/>
  <c r="J168" i="7"/>
  <c r="L168" i="7" s="1"/>
  <c r="H168" i="7"/>
  <c r="G168" i="7"/>
  <c r="E168" i="7"/>
  <c r="M167" i="7"/>
  <c r="K167" i="7"/>
  <c r="L167" i="7" s="1"/>
  <c r="J167" i="7"/>
  <c r="H167" i="7"/>
  <c r="G167" i="7"/>
  <c r="E167" i="7"/>
  <c r="M166" i="7"/>
  <c r="L166" i="7"/>
  <c r="K166" i="7"/>
  <c r="J166" i="7"/>
  <c r="H166" i="7"/>
  <c r="G166" i="7"/>
  <c r="E166" i="7"/>
  <c r="M165" i="7"/>
  <c r="L165" i="7"/>
  <c r="K165" i="7"/>
  <c r="J165" i="7"/>
  <c r="H165" i="7"/>
  <c r="G165" i="7"/>
  <c r="E165" i="7"/>
  <c r="M164" i="7"/>
  <c r="K164" i="7"/>
  <c r="J164" i="7"/>
  <c r="H164" i="7"/>
  <c r="G164" i="7"/>
  <c r="E164" i="7"/>
  <c r="M163" i="7"/>
  <c r="K163" i="7"/>
  <c r="J163" i="7"/>
  <c r="L163" i="7" s="1"/>
  <c r="H163" i="7"/>
  <c r="G163" i="7"/>
  <c r="E163" i="7"/>
  <c r="M162" i="7"/>
  <c r="L162" i="7"/>
  <c r="K162" i="7"/>
  <c r="J162" i="7"/>
  <c r="H162" i="7"/>
  <c r="G162" i="7"/>
  <c r="E162" i="7"/>
  <c r="M161" i="7"/>
  <c r="K161" i="7"/>
  <c r="L161" i="7" s="1"/>
  <c r="J161" i="7"/>
  <c r="H161" i="7"/>
  <c r="G161" i="7"/>
  <c r="E161" i="7"/>
  <c r="M160" i="7"/>
  <c r="L160" i="7"/>
  <c r="K160" i="7"/>
  <c r="J160" i="7"/>
  <c r="H160" i="7"/>
  <c r="G160" i="7"/>
  <c r="E160" i="7"/>
  <c r="M159" i="7"/>
  <c r="K159" i="7"/>
  <c r="J159" i="7"/>
  <c r="L159" i="7" s="1"/>
  <c r="H159" i="7"/>
  <c r="G159" i="7"/>
  <c r="E159" i="7"/>
  <c r="M158" i="7"/>
  <c r="K158" i="7"/>
  <c r="J158" i="7"/>
  <c r="L158" i="7" s="1"/>
  <c r="H158" i="7"/>
  <c r="G158" i="7"/>
  <c r="E158" i="7"/>
  <c r="M157" i="7"/>
  <c r="K157" i="7"/>
  <c r="J157" i="7"/>
  <c r="L157" i="7" s="1"/>
  <c r="H157" i="7"/>
  <c r="G157" i="7"/>
  <c r="E157" i="7"/>
  <c r="M156" i="7"/>
  <c r="K156" i="7"/>
  <c r="J156" i="7"/>
  <c r="L156" i="7" s="1"/>
  <c r="H156" i="7"/>
  <c r="G156" i="7"/>
  <c r="E156" i="7"/>
  <c r="M155" i="7"/>
  <c r="K155" i="7"/>
  <c r="L155" i="7" s="1"/>
  <c r="J155" i="7"/>
  <c r="H155" i="7"/>
  <c r="G155" i="7"/>
  <c r="E155" i="7"/>
  <c r="M154" i="7"/>
  <c r="L154" i="7"/>
  <c r="K154" i="7"/>
  <c r="J154" i="7"/>
  <c r="H154" i="7"/>
  <c r="G154" i="7"/>
  <c r="E154" i="7"/>
  <c r="M153" i="7"/>
  <c r="L153" i="7"/>
  <c r="K153" i="7"/>
  <c r="J153" i="7"/>
  <c r="H153" i="7"/>
  <c r="G153" i="7"/>
  <c r="E153" i="7"/>
  <c r="M152" i="7"/>
  <c r="K152" i="7"/>
  <c r="J152" i="7"/>
  <c r="L152" i="7" s="1"/>
  <c r="H152" i="7"/>
  <c r="G152" i="7"/>
  <c r="E152" i="7"/>
  <c r="M151" i="7"/>
  <c r="K151" i="7"/>
  <c r="J151" i="7"/>
  <c r="L151" i="7" s="1"/>
  <c r="H151" i="7"/>
  <c r="G151" i="7"/>
  <c r="E151" i="7"/>
  <c r="M150" i="7"/>
  <c r="K150" i="7"/>
  <c r="J150" i="7"/>
  <c r="L150" i="7" s="1"/>
  <c r="H150" i="7"/>
  <c r="G150" i="7"/>
  <c r="E150" i="7"/>
  <c r="M149" i="7"/>
  <c r="K149" i="7"/>
  <c r="L149" i="7" s="1"/>
  <c r="J149" i="7"/>
  <c r="H149" i="7"/>
  <c r="G149" i="7"/>
  <c r="E149" i="7"/>
  <c r="M148" i="7"/>
  <c r="L148" i="7"/>
  <c r="K148" i="7"/>
  <c r="J148" i="7"/>
  <c r="H148" i="7"/>
  <c r="G148" i="7"/>
  <c r="E148" i="7"/>
  <c r="M147" i="7"/>
  <c r="K147" i="7"/>
  <c r="J147" i="7"/>
  <c r="L147" i="7" s="1"/>
  <c r="H147" i="7"/>
  <c r="G147" i="7"/>
  <c r="E147" i="7"/>
  <c r="M146" i="7"/>
  <c r="K146" i="7"/>
  <c r="J146" i="7"/>
  <c r="L146" i="7" s="1"/>
  <c r="H146" i="7"/>
  <c r="G146" i="7"/>
  <c r="E146" i="7"/>
  <c r="M145" i="7"/>
  <c r="K145" i="7"/>
  <c r="L145" i="7" s="1"/>
  <c r="J145" i="7"/>
  <c r="H145" i="7"/>
  <c r="G145" i="7"/>
  <c r="E145" i="7"/>
  <c r="M144" i="7"/>
  <c r="K144" i="7"/>
  <c r="J144" i="7"/>
  <c r="L144" i="7" s="1"/>
  <c r="H144" i="7"/>
  <c r="G144" i="7"/>
  <c r="E144" i="7"/>
  <c r="M143" i="7"/>
  <c r="L143" i="7"/>
  <c r="K143" i="7"/>
  <c r="J143" i="7"/>
  <c r="H143" i="7"/>
  <c r="G143" i="7"/>
  <c r="E143" i="7"/>
  <c r="M142" i="7"/>
  <c r="L142" i="7"/>
  <c r="K142" i="7"/>
  <c r="J142" i="7"/>
  <c r="H142" i="7"/>
  <c r="G142" i="7"/>
  <c r="E142" i="7"/>
  <c r="M141" i="7"/>
  <c r="L141" i="7"/>
  <c r="K141" i="7"/>
  <c r="J141" i="7"/>
  <c r="H141" i="7"/>
  <c r="G141" i="7"/>
  <c r="E141" i="7"/>
  <c r="M140" i="7"/>
  <c r="K140" i="7"/>
  <c r="J140" i="7"/>
  <c r="L140" i="7" s="1"/>
  <c r="H140" i="7"/>
  <c r="G140" i="7"/>
  <c r="E140" i="7"/>
  <c r="M139" i="7"/>
  <c r="K139" i="7"/>
  <c r="J139" i="7"/>
  <c r="L139" i="7" s="1"/>
  <c r="H139" i="7"/>
  <c r="G139" i="7"/>
  <c r="E139" i="7"/>
  <c r="M138" i="7"/>
  <c r="K138" i="7"/>
  <c r="J138" i="7"/>
  <c r="L138" i="7" s="1"/>
  <c r="H138" i="7"/>
  <c r="G138" i="7"/>
  <c r="E138" i="7"/>
  <c r="M137" i="7"/>
  <c r="K137" i="7"/>
  <c r="L137" i="7" s="1"/>
  <c r="J137" i="7"/>
  <c r="H137" i="7"/>
  <c r="G137" i="7"/>
  <c r="E137" i="7"/>
  <c r="M136" i="7"/>
  <c r="L136" i="7"/>
  <c r="K136" i="7"/>
  <c r="J136" i="7"/>
  <c r="H136" i="7"/>
  <c r="G136" i="7"/>
  <c r="E136" i="7"/>
  <c r="M135" i="7"/>
  <c r="K135" i="7"/>
  <c r="J135" i="7"/>
  <c r="L135" i="7" s="1"/>
  <c r="H135" i="7"/>
  <c r="G135" i="7"/>
  <c r="E135" i="7"/>
  <c r="M134" i="7"/>
  <c r="K134" i="7"/>
  <c r="J134" i="7"/>
  <c r="L134" i="7" s="1"/>
  <c r="H134" i="7"/>
  <c r="G134" i="7"/>
  <c r="E134" i="7"/>
  <c r="M133" i="7"/>
  <c r="K133" i="7"/>
  <c r="L133" i="7" s="1"/>
  <c r="J133" i="7"/>
  <c r="H133" i="7"/>
  <c r="G133" i="7"/>
  <c r="E133" i="7"/>
  <c r="M132" i="7"/>
  <c r="K132" i="7"/>
  <c r="J132" i="7"/>
  <c r="L132" i="7" s="1"/>
  <c r="H132" i="7"/>
  <c r="G132" i="7"/>
  <c r="E132" i="7"/>
  <c r="M131" i="7"/>
  <c r="L131" i="7"/>
  <c r="K131" i="7"/>
  <c r="J131" i="7"/>
  <c r="H131" i="7"/>
  <c r="G131" i="7"/>
  <c r="E131" i="7"/>
  <c r="M130" i="7"/>
  <c r="L130" i="7"/>
  <c r="K130" i="7"/>
  <c r="J130" i="7"/>
  <c r="H130" i="7"/>
  <c r="G130" i="7"/>
  <c r="E130" i="7"/>
  <c r="M129" i="7"/>
  <c r="L129" i="7"/>
  <c r="K129" i="7"/>
  <c r="J129" i="7"/>
  <c r="H129" i="7"/>
  <c r="G129" i="7"/>
  <c r="E129" i="7"/>
  <c r="M128" i="7"/>
  <c r="K128" i="7"/>
  <c r="J128" i="7"/>
  <c r="L128" i="7" s="1"/>
  <c r="H128" i="7"/>
  <c r="G128" i="7"/>
  <c r="E128" i="7"/>
  <c r="M127" i="7"/>
  <c r="K127" i="7"/>
  <c r="J127" i="7"/>
  <c r="L127" i="7" s="1"/>
  <c r="H127" i="7"/>
  <c r="G127" i="7"/>
  <c r="E127" i="7"/>
  <c r="M126" i="7"/>
  <c r="K126" i="7"/>
  <c r="J126" i="7"/>
  <c r="L126" i="7" s="1"/>
  <c r="H126" i="7"/>
  <c r="G126" i="7"/>
  <c r="E126" i="7"/>
  <c r="M125" i="7"/>
  <c r="K125" i="7"/>
  <c r="L125" i="7" s="1"/>
  <c r="J125" i="7"/>
  <c r="H125" i="7"/>
  <c r="G125" i="7"/>
  <c r="E125" i="7"/>
  <c r="M124" i="7"/>
  <c r="L124" i="7"/>
  <c r="K124" i="7"/>
  <c r="J124" i="7"/>
  <c r="H124" i="7"/>
  <c r="G124" i="7"/>
  <c r="E124" i="7"/>
  <c r="M123" i="7"/>
  <c r="K123" i="7"/>
  <c r="J123" i="7"/>
  <c r="L123" i="7" s="1"/>
  <c r="H123" i="7"/>
  <c r="G123" i="7"/>
  <c r="E123" i="7"/>
  <c r="M122" i="7"/>
  <c r="K122" i="7"/>
  <c r="J122" i="7"/>
  <c r="L122" i="7" s="1"/>
  <c r="H122" i="7"/>
  <c r="G122" i="7"/>
  <c r="E122" i="7"/>
  <c r="M121" i="7"/>
  <c r="K121" i="7"/>
  <c r="J121" i="7"/>
  <c r="L121" i="7" s="1"/>
  <c r="H121" i="7"/>
  <c r="G121" i="7"/>
  <c r="E121" i="7"/>
  <c r="M120" i="7"/>
  <c r="K120" i="7"/>
  <c r="J120" i="7"/>
  <c r="L120" i="7" s="1"/>
  <c r="H120" i="7"/>
  <c r="G120" i="7"/>
  <c r="E120" i="7"/>
  <c r="M119" i="7"/>
  <c r="K119" i="7"/>
  <c r="L119" i="7" s="1"/>
  <c r="J119" i="7"/>
  <c r="H119" i="7"/>
  <c r="G119" i="7"/>
  <c r="E119" i="7"/>
  <c r="M118" i="7"/>
  <c r="L118" i="7"/>
  <c r="K118" i="7"/>
  <c r="J118" i="7"/>
  <c r="H118" i="7"/>
  <c r="G118" i="7"/>
  <c r="E118" i="7"/>
  <c r="M117" i="7"/>
  <c r="L117" i="7"/>
  <c r="K117" i="7"/>
  <c r="J117" i="7"/>
  <c r="H117" i="7"/>
  <c r="G117" i="7"/>
  <c r="E117" i="7"/>
  <c r="M116" i="7"/>
  <c r="K116" i="7"/>
  <c r="J116" i="7"/>
  <c r="H116" i="7"/>
  <c r="G116" i="7"/>
  <c r="E116" i="7"/>
  <c r="M115" i="7"/>
  <c r="K115" i="7"/>
  <c r="J115" i="7"/>
  <c r="L115" i="7" s="1"/>
  <c r="H115" i="7"/>
  <c r="G115" i="7"/>
  <c r="E115" i="7"/>
  <c r="M114" i="7"/>
  <c r="L114" i="7"/>
  <c r="K114" i="7"/>
  <c r="J114" i="7"/>
  <c r="H114" i="7"/>
  <c r="G114" i="7"/>
  <c r="E114" i="7"/>
  <c r="M113" i="7"/>
  <c r="L113" i="7"/>
  <c r="K113" i="7"/>
  <c r="J113" i="7"/>
  <c r="H113" i="7"/>
  <c r="G113" i="7"/>
  <c r="E113" i="7"/>
  <c r="M112" i="7"/>
  <c r="L112" i="7"/>
  <c r="K112" i="7"/>
  <c r="J112" i="7"/>
  <c r="H112" i="7"/>
  <c r="G112" i="7"/>
  <c r="E112" i="7"/>
  <c r="M111" i="7"/>
  <c r="K111" i="7"/>
  <c r="J111" i="7"/>
  <c r="L111" i="7" s="1"/>
  <c r="H111" i="7"/>
  <c r="G111" i="7"/>
  <c r="E111" i="7"/>
  <c r="M110" i="7"/>
  <c r="K110" i="7"/>
  <c r="J110" i="7"/>
  <c r="L110" i="7" s="1"/>
  <c r="H110" i="7"/>
  <c r="G110" i="7"/>
  <c r="E110" i="7"/>
  <c r="M109" i="7"/>
  <c r="K109" i="7"/>
  <c r="J109" i="7"/>
  <c r="L109" i="7" s="1"/>
  <c r="H109" i="7"/>
  <c r="G109" i="7"/>
  <c r="E109" i="7"/>
  <c r="M108" i="7"/>
  <c r="K108" i="7"/>
  <c r="J108" i="7"/>
  <c r="L108" i="7" s="1"/>
  <c r="H108" i="7"/>
  <c r="G108" i="7"/>
  <c r="E108" i="7"/>
  <c r="M107" i="7"/>
  <c r="K107" i="7"/>
  <c r="L107" i="7" s="1"/>
  <c r="J107" i="7"/>
  <c r="H107" i="7"/>
  <c r="G107" i="7"/>
  <c r="E107" i="7"/>
  <c r="M106" i="7"/>
  <c r="L106" i="7"/>
  <c r="K106" i="7"/>
  <c r="J106" i="7"/>
  <c r="H106" i="7"/>
  <c r="G106" i="7"/>
  <c r="E106" i="7"/>
  <c r="M105" i="7"/>
  <c r="L105" i="7"/>
  <c r="K105" i="7"/>
  <c r="J105" i="7"/>
  <c r="H105" i="7"/>
  <c r="G105" i="7"/>
  <c r="E105" i="7"/>
  <c r="M104" i="7"/>
  <c r="K104" i="7"/>
  <c r="J104" i="7"/>
  <c r="L104" i="7" s="1"/>
  <c r="H104" i="7"/>
  <c r="G104" i="7"/>
  <c r="E104" i="7"/>
  <c r="M103" i="7"/>
  <c r="K103" i="7"/>
  <c r="J103" i="7"/>
  <c r="L103" i="7" s="1"/>
  <c r="H103" i="7"/>
  <c r="G103" i="7"/>
  <c r="E103" i="7"/>
  <c r="M102" i="7"/>
  <c r="K102" i="7"/>
  <c r="J102" i="7"/>
  <c r="L102" i="7" s="1"/>
  <c r="H102" i="7"/>
  <c r="G102" i="7"/>
  <c r="E102" i="7"/>
  <c r="M101" i="7"/>
  <c r="K101" i="7"/>
  <c r="L101" i="7" s="1"/>
  <c r="J101" i="7"/>
  <c r="H101" i="7"/>
  <c r="G101" i="7"/>
  <c r="E101" i="7"/>
  <c r="M100" i="7"/>
  <c r="K100" i="7"/>
  <c r="L100" i="7" s="1"/>
  <c r="J100" i="7"/>
  <c r="H100" i="7"/>
  <c r="G100" i="7"/>
  <c r="E100" i="7"/>
  <c r="M99" i="7"/>
  <c r="K99" i="7"/>
  <c r="J99" i="7"/>
  <c r="L99" i="7" s="1"/>
  <c r="H99" i="7"/>
  <c r="G99" i="7"/>
  <c r="E99" i="7"/>
  <c r="M98" i="7"/>
  <c r="K98" i="7"/>
  <c r="J98" i="7"/>
  <c r="L98" i="7" s="1"/>
  <c r="H98" i="7"/>
  <c r="G98" i="7"/>
  <c r="E98" i="7"/>
  <c r="M97" i="7"/>
  <c r="K97" i="7"/>
  <c r="J97" i="7"/>
  <c r="L97" i="7" s="1"/>
  <c r="H97" i="7"/>
  <c r="G97" i="7"/>
  <c r="E97" i="7"/>
  <c r="M96" i="7"/>
  <c r="L96" i="7"/>
  <c r="K96" i="7"/>
  <c r="J96" i="7"/>
  <c r="H96" i="7"/>
  <c r="G96" i="7"/>
  <c r="E96" i="7"/>
  <c r="M95" i="7"/>
  <c r="L95" i="7"/>
  <c r="K95" i="7"/>
  <c r="J95" i="7"/>
  <c r="H95" i="7"/>
  <c r="G95" i="7"/>
  <c r="E95" i="7"/>
  <c r="M94" i="7"/>
  <c r="L94" i="7"/>
  <c r="K94" i="7"/>
  <c r="J94" i="7"/>
  <c r="H94" i="7"/>
  <c r="G94" i="7"/>
  <c r="E94" i="7"/>
  <c r="M93" i="7"/>
  <c r="L93" i="7"/>
  <c r="K93" i="7"/>
  <c r="J93" i="7"/>
  <c r="H93" i="7"/>
  <c r="G93" i="7"/>
  <c r="E93" i="7"/>
  <c r="M92" i="7"/>
  <c r="K92" i="7"/>
  <c r="J92" i="7"/>
  <c r="L92" i="7" s="1"/>
  <c r="H92" i="7"/>
  <c r="G92" i="7"/>
  <c r="E92" i="7"/>
  <c r="M91" i="7"/>
  <c r="K91" i="7"/>
  <c r="J91" i="7"/>
  <c r="L91" i="7" s="1"/>
  <c r="H91" i="7"/>
  <c r="G91" i="7"/>
  <c r="E91" i="7"/>
  <c r="M90" i="7"/>
  <c r="K90" i="7"/>
  <c r="J90" i="7"/>
  <c r="L90" i="7" s="1"/>
  <c r="H90" i="7"/>
  <c r="G90" i="7"/>
  <c r="E90" i="7"/>
  <c r="M89" i="7"/>
  <c r="K89" i="7"/>
  <c r="L89" i="7" s="1"/>
  <c r="J89" i="7"/>
  <c r="H89" i="7"/>
  <c r="G89" i="7"/>
  <c r="E89" i="7"/>
  <c r="M88" i="7"/>
  <c r="K88" i="7"/>
  <c r="L88" i="7" s="1"/>
  <c r="J88" i="7"/>
  <c r="H88" i="7"/>
  <c r="G88" i="7"/>
  <c r="E88" i="7"/>
  <c r="M87" i="7"/>
  <c r="K87" i="7"/>
  <c r="J87" i="7"/>
  <c r="L87" i="7" s="1"/>
  <c r="H87" i="7"/>
  <c r="G87" i="7"/>
  <c r="E87" i="7"/>
  <c r="M86" i="7"/>
  <c r="K86" i="7"/>
  <c r="J86" i="7"/>
  <c r="L86" i="7" s="1"/>
  <c r="H86" i="7"/>
  <c r="G86" i="7"/>
  <c r="E86" i="7"/>
  <c r="M85" i="7"/>
  <c r="K85" i="7"/>
  <c r="J85" i="7"/>
  <c r="L85" i="7" s="1"/>
  <c r="H85" i="7"/>
  <c r="G85" i="7"/>
  <c r="E85" i="7"/>
  <c r="M84" i="7"/>
  <c r="K84" i="7"/>
  <c r="J84" i="7"/>
  <c r="L84" i="7" s="1"/>
  <c r="H84" i="7"/>
  <c r="G84" i="7"/>
  <c r="E84" i="7"/>
  <c r="M83" i="7"/>
  <c r="K83" i="7"/>
  <c r="J83" i="7"/>
  <c r="L83" i="7" s="1"/>
  <c r="H83" i="7"/>
  <c r="G83" i="7"/>
  <c r="E83" i="7"/>
  <c r="M82" i="7"/>
  <c r="L82" i="7"/>
  <c r="K82" i="7"/>
  <c r="J82" i="7"/>
  <c r="H82" i="7"/>
  <c r="G82" i="7"/>
  <c r="E82" i="7"/>
  <c r="M81" i="7"/>
  <c r="L81" i="7"/>
  <c r="K81" i="7"/>
  <c r="J81" i="7"/>
  <c r="H81" i="7"/>
  <c r="G81" i="7"/>
  <c r="E81" i="7"/>
  <c r="M80" i="7"/>
  <c r="L80" i="7"/>
  <c r="K80" i="7"/>
  <c r="J80" i="7"/>
  <c r="H80" i="7"/>
  <c r="G80" i="7"/>
  <c r="E80" i="7"/>
  <c r="M79" i="7"/>
  <c r="K79" i="7"/>
  <c r="J79" i="7"/>
  <c r="H79" i="7"/>
  <c r="G79" i="7"/>
  <c r="E79" i="7"/>
  <c r="M78" i="7"/>
  <c r="K78" i="7"/>
  <c r="J78" i="7"/>
  <c r="L78" i="7" s="1"/>
  <c r="H78" i="7"/>
  <c r="G78" i="7"/>
  <c r="E78" i="7"/>
  <c r="M77" i="7"/>
  <c r="K77" i="7"/>
  <c r="L77" i="7" s="1"/>
  <c r="J77" i="7"/>
  <c r="H77" i="7"/>
  <c r="G77" i="7"/>
  <c r="E77" i="7"/>
  <c r="M76" i="7"/>
  <c r="K76" i="7"/>
  <c r="L76" i="7" s="1"/>
  <c r="J76" i="7"/>
  <c r="H76" i="7"/>
  <c r="G76" i="7"/>
  <c r="E76" i="7"/>
  <c r="M75" i="7"/>
  <c r="K75" i="7"/>
  <c r="J75" i="7"/>
  <c r="L75" i="7" s="1"/>
  <c r="H75" i="7"/>
  <c r="G75" i="7"/>
  <c r="E75" i="7"/>
  <c r="M74" i="7"/>
  <c r="K74" i="7"/>
  <c r="J74" i="7"/>
  <c r="L74" i="7" s="1"/>
  <c r="H74" i="7"/>
  <c r="G74" i="7"/>
  <c r="E74" i="7"/>
  <c r="M73" i="7"/>
  <c r="K73" i="7"/>
  <c r="J73" i="7"/>
  <c r="L73" i="7" s="1"/>
  <c r="H73" i="7"/>
  <c r="G73" i="7"/>
  <c r="E73" i="7"/>
  <c r="M72" i="7"/>
  <c r="K72" i="7"/>
  <c r="J72" i="7"/>
  <c r="L72" i="7" s="1"/>
  <c r="H72" i="7"/>
  <c r="G72" i="7"/>
  <c r="E72" i="7"/>
  <c r="M71" i="7"/>
  <c r="L71" i="7"/>
  <c r="K71" i="7"/>
  <c r="J71" i="7"/>
  <c r="H71" i="7"/>
  <c r="G71" i="7"/>
  <c r="E71" i="7"/>
  <c r="M70" i="7"/>
  <c r="L70" i="7"/>
  <c r="K70" i="7"/>
  <c r="J70" i="7"/>
  <c r="H70" i="7"/>
  <c r="G70" i="7"/>
  <c r="E70" i="7"/>
  <c r="M69" i="7"/>
  <c r="L69" i="7"/>
  <c r="K69" i="7"/>
  <c r="J69" i="7"/>
  <c r="H69" i="7"/>
  <c r="G69" i="7"/>
  <c r="E69" i="7"/>
  <c r="M68" i="7"/>
  <c r="K68" i="7"/>
  <c r="J68" i="7"/>
  <c r="L68" i="7" s="1"/>
  <c r="H68" i="7"/>
  <c r="G68" i="7"/>
  <c r="E68" i="7"/>
  <c r="M67" i="7"/>
  <c r="K67" i="7"/>
  <c r="J67" i="7"/>
  <c r="L67" i="7" s="1"/>
  <c r="H67" i="7"/>
  <c r="G67" i="7"/>
  <c r="E67" i="7"/>
  <c r="M66" i="7"/>
  <c r="K66" i="7"/>
  <c r="J66" i="7"/>
  <c r="L66" i="7" s="1"/>
  <c r="H66" i="7"/>
  <c r="G66" i="7"/>
  <c r="E66" i="7"/>
  <c r="M65" i="7"/>
  <c r="K65" i="7"/>
  <c r="L65" i="7" s="1"/>
  <c r="J65" i="7"/>
  <c r="H65" i="7"/>
  <c r="G65" i="7"/>
  <c r="E65" i="7"/>
  <c r="M64" i="7"/>
  <c r="L64" i="7"/>
  <c r="K64" i="7"/>
  <c r="J64" i="7"/>
  <c r="H64" i="7"/>
  <c r="G64" i="7"/>
  <c r="E64" i="7"/>
  <c r="M63" i="7"/>
  <c r="L63" i="7"/>
  <c r="K63" i="7"/>
  <c r="J63" i="7"/>
  <c r="H63" i="7"/>
  <c r="G63" i="7"/>
  <c r="E63" i="7"/>
  <c r="M62" i="7"/>
  <c r="K62" i="7"/>
  <c r="J62" i="7"/>
  <c r="L62" i="7" s="1"/>
  <c r="H62" i="7"/>
  <c r="G62" i="7"/>
  <c r="E62" i="7"/>
  <c r="M61" i="7"/>
  <c r="K61" i="7"/>
  <c r="J61" i="7"/>
  <c r="L61" i="7" s="1"/>
  <c r="H61" i="7"/>
  <c r="G61" i="7"/>
  <c r="E61" i="7"/>
  <c r="M60" i="7"/>
  <c r="K60" i="7"/>
  <c r="J60" i="7"/>
  <c r="L60" i="7" s="1"/>
  <c r="H60" i="7"/>
  <c r="G60" i="7"/>
  <c r="E60" i="7"/>
  <c r="M59" i="7"/>
  <c r="K59" i="7"/>
  <c r="J59" i="7"/>
  <c r="L59" i="7" s="1"/>
  <c r="H59" i="7"/>
  <c r="G59" i="7"/>
  <c r="E59" i="7"/>
  <c r="M58" i="7"/>
  <c r="K58" i="7"/>
  <c r="J58" i="7"/>
  <c r="L58" i="7" s="1"/>
  <c r="H58" i="7"/>
  <c r="G58" i="7"/>
  <c r="E58" i="7"/>
  <c r="M57" i="7"/>
  <c r="L57" i="7"/>
  <c r="K57" i="7"/>
  <c r="J57" i="7"/>
  <c r="H57" i="7"/>
  <c r="G57" i="7"/>
  <c r="E57" i="7"/>
  <c r="M56" i="7"/>
  <c r="L56" i="7"/>
  <c r="K56" i="7"/>
  <c r="J56" i="7"/>
  <c r="H56" i="7"/>
  <c r="G56" i="7"/>
  <c r="E56" i="7"/>
  <c r="M55" i="7"/>
  <c r="K55" i="7"/>
  <c r="J55" i="7"/>
  <c r="L55" i="7" s="1"/>
  <c r="H55" i="7"/>
  <c r="G55" i="7"/>
  <c r="E55" i="7"/>
  <c r="M54" i="7"/>
  <c r="K54" i="7"/>
  <c r="J54" i="7"/>
  <c r="L54" i="7" s="1"/>
  <c r="H54" i="7"/>
  <c r="G54" i="7"/>
  <c r="E54" i="7"/>
  <c r="M53" i="7"/>
  <c r="K53" i="7"/>
  <c r="J53" i="7"/>
  <c r="L53" i="7" s="1"/>
  <c r="H53" i="7"/>
  <c r="G53" i="7"/>
  <c r="E53" i="7"/>
  <c r="M52" i="7"/>
  <c r="K52" i="7"/>
  <c r="L52" i="7" s="1"/>
  <c r="J52" i="7"/>
  <c r="H52" i="7"/>
  <c r="G52" i="7"/>
  <c r="E52" i="7"/>
  <c r="M51" i="7"/>
  <c r="K51" i="7"/>
  <c r="L51" i="7" s="1"/>
  <c r="J51" i="7"/>
  <c r="H51" i="7"/>
  <c r="G51" i="7"/>
  <c r="E51" i="7"/>
  <c r="M50" i="7"/>
  <c r="K50" i="7"/>
  <c r="J50" i="7"/>
  <c r="L50" i="7" s="1"/>
  <c r="H50" i="7"/>
  <c r="G50" i="7"/>
  <c r="E50" i="7"/>
  <c r="M49" i="7"/>
  <c r="K49" i="7"/>
  <c r="J49" i="7"/>
  <c r="L49" i="7" s="1"/>
  <c r="H49" i="7"/>
  <c r="G49" i="7"/>
  <c r="E49" i="7"/>
  <c r="M48" i="7"/>
  <c r="K48" i="7"/>
  <c r="J48" i="7"/>
  <c r="L48" i="7" s="1"/>
  <c r="H48" i="7"/>
  <c r="G48" i="7"/>
  <c r="E48" i="7"/>
  <c r="M47" i="7"/>
  <c r="K47" i="7"/>
  <c r="J47" i="7"/>
  <c r="L47" i="7" s="1"/>
  <c r="H47" i="7"/>
  <c r="G47" i="7"/>
  <c r="E47" i="7"/>
  <c r="M46" i="7"/>
  <c r="K46" i="7"/>
  <c r="J46" i="7"/>
  <c r="L46" i="7" s="1"/>
  <c r="H46" i="7"/>
  <c r="G46" i="7"/>
  <c r="E46" i="7"/>
  <c r="M45" i="7"/>
  <c r="L45" i="7"/>
  <c r="K45" i="7"/>
  <c r="J45" i="7"/>
  <c r="H45" i="7"/>
  <c r="G45" i="7"/>
  <c r="E45" i="7"/>
  <c r="M44" i="7"/>
  <c r="L44" i="7"/>
  <c r="K44" i="7"/>
  <c r="J44" i="7"/>
  <c r="H44" i="7"/>
  <c r="G44" i="7"/>
  <c r="E44" i="7"/>
  <c r="M43" i="7"/>
  <c r="K43" i="7"/>
  <c r="J43" i="7"/>
  <c r="L43" i="7" s="1"/>
  <c r="H43" i="7"/>
  <c r="G43" i="7"/>
  <c r="E43" i="7"/>
  <c r="M42" i="7"/>
  <c r="K42" i="7"/>
  <c r="J42" i="7"/>
  <c r="L42" i="7" s="1"/>
  <c r="H42" i="7"/>
  <c r="G42" i="7"/>
  <c r="E42" i="7"/>
  <c r="M41" i="7"/>
  <c r="K41" i="7"/>
  <c r="J41" i="7"/>
  <c r="L41" i="7" s="1"/>
  <c r="H41" i="7"/>
  <c r="G41" i="7"/>
  <c r="E41" i="7"/>
  <c r="M40" i="7"/>
  <c r="K40" i="7"/>
  <c r="L40" i="7" s="1"/>
  <c r="J40" i="7"/>
  <c r="H40" i="7"/>
  <c r="G40" i="7"/>
  <c r="E40" i="7"/>
  <c r="M39" i="7"/>
  <c r="K39" i="7"/>
  <c r="L39" i="7" s="1"/>
  <c r="J39" i="7"/>
  <c r="H39" i="7"/>
  <c r="G39" i="7"/>
  <c r="E39" i="7"/>
  <c r="M38" i="7"/>
  <c r="K38" i="7"/>
  <c r="J38" i="7"/>
  <c r="L38" i="7" s="1"/>
  <c r="H38" i="7"/>
  <c r="G38" i="7"/>
  <c r="E38" i="7"/>
  <c r="M37" i="7"/>
  <c r="K37" i="7"/>
  <c r="J37" i="7"/>
  <c r="L37" i="7" s="1"/>
  <c r="H37" i="7"/>
  <c r="G37" i="7"/>
  <c r="E37" i="7"/>
  <c r="K36" i="7"/>
  <c r="H36" i="7"/>
  <c r="J36" i="7" s="1"/>
  <c r="G36" i="7"/>
  <c r="E36" i="7"/>
  <c r="K35" i="7"/>
  <c r="J35" i="7"/>
  <c r="M35" i="7" s="1"/>
  <c r="H35" i="7"/>
  <c r="G35" i="7"/>
  <c r="E35" i="7"/>
  <c r="K34" i="7"/>
  <c r="J34" i="7"/>
  <c r="L34" i="7" s="1"/>
  <c r="H34" i="7"/>
  <c r="G34" i="7"/>
  <c r="E34" i="7"/>
  <c r="K33" i="7"/>
  <c r="H33" i="7"/>
  <c r="J33" i="7" s="1"/>
  <c r="G33" i="7"/>
  <c r="E33" i="7"/>
  <c r="K32" i="7"/>
  <c r="H32" i="7"/>
  <c r="J32" i="7" s="1"/>
  <c r="G32" i="7"/>
  <c r="E32" i="7"/>
  <c r="K31" i="7"/>
  <c r="H31" i="7"/>
  <c r="J31" i="7" s="1"/>
  <c r="G31" i="7"/>
  <c r="E31" i="7"/>
  <c r="K30" i="7"/>
  <c r="H30" i="7"/>
  <c r="J30" i="7" s="1"/>
  <c r="G30" i="7"/>
  <c r="E30" i="7"/>
  <c r="K29" i="7"/>
  <c r="H29" i="7"/>
  <c r="J29" i="7" s="1"/>
  <c r="G29" i="7"/>
  <c r="E29" i="7"/>
  <c r="K28" i="7"/>
  <c r="H28" i="7"/>
  <c r="J28" i="7" s="1"/>
  <c r="G28" i="7"/>
  <c r="E28" i="7"/>
  <c r="K27" i="7"/>
  <c r="H27" i="7"/>
  <c r="J27" i="7" s="1"/>
  <c r="G27" i="7"/>
  <c r="E27" i="7"/>
  <c r="K26" i="7"/>
  <c r="H26" i="7"/>
  <c r="J26" i="7" s="1"/>
  <c r="G26" i="7"/>
  <c r="E26" i="7"/>
  <c r="K25" i="7"/>
  <c r="H25" i="7"/>
  <c r="J25" i="7" s="1"/>
  <c r="G25" i="7"/>
  <c r="E25" i="7"/>
  <c r="K24" i="7"/>
  <c r="H24" i="7"/>
  <c r="J24" i="7" s="1"/>
  <c r="G24" i="7"/>
  <c r="E24" i="7"/>
  <c r="K23" i="7"/>
  <c r="J23" i="7"/>
  <c r="L23" i="7" s="1"/>
  <c r="H23" i="7"/>
  <c r="G23" i="7"/>
  <c r="E23" i="7"/>
  <c r="K22" i="7"/>
  <c r="J22" i="7"/>
  <c r="M22" i="7" s="1"/>
  <c r="H22" i="7"/>
  <c r="G22" i="7"/>
  <c r="E22" i="7"/>
  <c r="K21" i="7"/>
  <c r="H21" i="7"/>
  <c r="J21" i="7" s="1"/>
  <c r="G21" i="7"/>
  <c r="E21" i="7"/>
  <c r="K20" i="7"/>
  <c r="H20" i="7"/>
  <c r="J20" i="7" s="1"/>
  <c r="G20" i="7"/>
  <c r="E20" i="7"/>
  <c r="K19" i="7"/>
  <c r="H19" i="7"/>
  <c r="J19" i="7" s="1"/>
  <c r="G19" i="7"/>
  <c r="E19" i="7"/>
  <c r="K18" i="7"/>
  <c r="H18" i="7"/>
  <c r="J18" i="7" s="1"/>
  <c r="G18" i="7"/>
  <c r="E18" i="7"/>
  <c r="K17" i="7"/>
  <c r="H17" i="7"/>
  <c r="J17" i="7" s="1"/>
  <c r="G17" i="7"/>
  <c r="E17" i="7"/>
  <c r="K16" i="7"/>
  <c r="H16" i="7"/>
  <c r="J16" i="7" s="1"/>
  <c r="G16" i="7"/>
  <c r="E16" i="7"/>
  <c r="K15" i="7"/>
  <c r="H15" i="7"/>
  <c r="J15" i="7" s="1"/>
  <c r="G15" i="7"/>
  <c r="E15" i="7"/>
  <c r="K14" i="7"/>
  <c r="H14" i="7"/>
  <c r="J14" i="7" s="1"/>
  <c r="G14" i="7"/>
  <c r="E14" i="7"/>
  <c r="K13" i="7"/>
  <c r="H13" i="7"/>
  <c r="J13" i="7" s="1"/>
  <c r="G13" i="7"/>
  <c r="E13" i="7"/>
  <c r="K12" i="7"/>
  <c r="H12" i="7"/>
  <c r="J12" i="7" s="1"/>
  <c r="G12" i="7"/>
  <c r="E12" i="7"/>
  <c r="K11" i="7"/>
  <c r="J11" i="7"/>
  <c r="M11" i="7" s="1"/>
  <c r="H11" i="7"/>
  <c r="G11" i="7"/>
  <c r="E11" i="7"/>
  <c r="K10" i="7"/>
  <c r="J10" i="7"/>
  <c r="L10" i="7" s="1"/>
  <c r="H10" i="7"/>
  <c r="G10" i="7"/>
  <c r="E10" i="7"/>
  <c r="K9" i="7"/>
  <c r="H9" i="7"/>
  <c r="J9" i="7" s="1"/>
  <c r="G9" i="7"/>
  <c r="E9" i="7"/>
  <c r="K8" i="7"/>
  <c r="H8" i="7"/>
  <c r="J8" i="7" s="1"/>
  <c r="G8" i="7"/>
  <c r="E8" i="7"/>
  <c r="K7" i="7"/>
  <c r="H7" i="7"/>
  <c r="J7" i="7" s="1"/>
  <c r="G7" i="7"/>
  <c r="E7" i="7"/>
  <c r="K6" i="7"/>
  <c r="H6" i="7"/>
  <c r="J6" i="7" s="1"/>
  <c r="G6" i="7"/>
  <c r="E6" i="7"/>
  <c r="K5" i="7"/>
  <c r="H5" i="7"/>
  <c r="J5" i="7" s="1"/>
  <c r="G5" i="7"/>
  <c r="E5" i="7"/>
  <c r="J10" i="5"/>
  <c r="J9" i="5"/>
  <c r="J8" i="5"/>
  <c r="J7" i="5"/>
  <c r="J6" i="5"/>
  <c r="J5" i="5"/>
  <c r="C36" i="1"/>
  <c r="B36" i="1"/>
  <c r="C35" i="1"/>
  <c r="B35" i="1"/>
  <c r="C34" i="1"/>
  <c r="B34" i="1"/>
  <c r="C33" i="1"/>
  <c r="B33" i="1"/>
  <c r="B32" i="1"/>
  <c r="B31" i="1"/>
  <c r="B30" i="1"/>
  <c r="B29" i="1"/>
  <c r="B28" i="1"/>
  <c r="B27" i="1"/>
  <c r="B26" i="1"/>
  <c r="B25" i="1"/>
  <c r="B19" i="1"/>
  <c r="B18" i="1"/>
  <c r="B17" i="1"/>
  <c r="B16" i="1"/>
  <c r="B15" i="1"/>
  <c r="B14" i="1"/>
  <c r="D7" i="1"/>
  <c r="M31" i="7" l="1"/>
  <c r="L31" i="7"/>
  <c r="L111" i="8"/>
  <c r="M111" i="8"/>
  <c r="M139" i="8"/>
  <c r="L139" i="8"/>
  <c r="M10" i="11"/>
  <c r="L10" i="11"/>
  <c r="M13" i="8"/>
  <c r="L13" i="8"/>
  <c r="M145" i="8"/>
  <c r="L145" i="8"/>
  <c r="M196" i="8"/>
  <c r="L196" i="8"/>
  <c r="L21" i="10"/>
  <c r="M21" i="10"/>
  <c r="M14" i="7"/>
  <c r="L14" i="7"/>
  <c r="M17" i="7"/>
  <c r="L17" i="7"/>
  <c r="L20" i="7"/>
  <c r="M20" i="7"/>
  <c r="L39" i="8"/>
  <c r="M39" i="8"/>
  <c r="M49" i="8"/>
  <c r="L49" i="8"/>
  <c r="M68" i="8"/>
  <c r="L68" i="8"/>
  <c r="M148" i="8"/>
  <c r="L148" i="8"/>
  <c r="M186" i="8"/>
  <c r="L186" i="8"/>
  <c r="M55" i="8"/>
  <c r="L55" i="8"/>
  <c r="M172" i="8"/>
  <c r="L172" i="8"/>
  <c r="L11" i="9"/>
  <c r="M11" i="9"/>
  <c r="M16" i="9"/>
  <c r="L16" i="9"/>
  <c r="M174" i="8"/>
  <c r="L174" i="8"/>
  <c r="D5" i="13" s="1"/>
  <c r="M5" i="7"/>
  <c r="L5" i="7"/>
  <c r="L75" i="8"/>
  <c r="M75" i="8"/>
  <c r="M26" i="7"/>
  <c r="L26" i="7"/>
  <c r="L15" i="7"/>
  <c r="M15" i="7"/>
  <c r="M37" i="8"/>
  <c r="L37" i="8"/>
  <c r="M44" i="9"/>
  <c r="L44" i="9"/>
  <c r="M7" i="8"/>
  <c r="L7" i="8"/>
  <c r="M32" i="8"/>
  <c r="L32" i="8"/>
  <c r="M43" i="8"/>
  <c r="L43" i="8"/>
  <c r="M56" i="8"/>
  <c r="L56" i="8"/>
  <c r="M79" i="8"/>
  <c r="L79" i="8"/>
  <c r="M97" i="8"/>
  <c r="L97" i="8"/>
  <c r="M130" i="8"/>
  <c r="L130" i="8"/>
  <c r="M170" i="8"/>
  <c r="L170" i="8"/>
  <c r="M21" i="9"/>
  <c r="L21" i="9"/>
  <c r="M8" i="8"/>
  <c r="L8" i="8"/>
  <c r="M8" i="7"/>
  <c r="L8" i="7"/>
  <c r="M121" i="8"/>
  <c r="L121" i="8"/>
  <c r="M6" i="7"/>
  <c r="L6" i="7"/>
  <c r="M29" i="7"/>
  <c r="L29" i="7"/>
  <c r="M104" i="8"/>
  <c r="L104" i="8"/>
  <c r="L21" i="7"/>
  <c r="M21" i="7"/>
  <c r="L167" i="8"/>
  <c r="M167" i="8"/>
  <c r="L24" i="7"/>
  <c r="M24" i="7"/>
  <c r="M33" i="7"/>
  <c r="L33" i="7"/>
  <c r="M92" i="8"/>
  <c r="L92" i="8"/>
  <c r="L123" i="8"/>
  <c r="M123" i="8"/>
  <c r="M138" i="8"/>
  <c r="L138" i="8"/>
  <c r="L141" i="8"/>
  <c r="M141" i="8"/>
  <c r="L159" i="8"/>
  <c r="M159" i="8"/>
  <c r="M25" i="10"/>
  <c r="L25" i="10"/>
  <c r="M80" i="8"/>
  <c r="L80" i="8"/>
  <c r="M28" i="7"/>
  <c r="L28" i="7"/>
  <c r="M9" i="7"/>
  <c r="L9" i="7"/>
  <c r="M91" i="8"/>
  <c r="L91" i="8"/>
  <c r="L27" i="8"/>
  <c r="M27" i="8"/>
  <c r="M115" i="8"/>
  <c r="L115" i="8"/>
  <c r="M12" i="7"/>
  <c r="L12" i="7"/>
  <c r="L87" i="8"/>
  <c r="M87" i="8"/>
  <c r="M30" i="7"/>
  <c r="L30" i="7"/>
  <c r="L15" i="8"/>
  <c r="M15" i="8"/>
  <c r="M25" i="8"/>
  <c r="L25" i="8"/>
  <c r="M61" i="8"/>
  <c r="L61" i="8"/>
  <c r="L25" i="7"/>
  <c r="M25" i="7"/>
  <c r="M32" i="7"/>
  <c r="L32" i="7"/>
  <c r="M109" i="8"/>
  <c r="L109" i="8"/>
  <c r="L37" i="11"/>
  <c r="M37" i="11"/>
  <c r="L63" i="8"/>
  <c r="M63" i="8"/>
  <c r="M18" i="7"/>
  <c r="L18" i="7"/>
  <c r="M19" i="8"/>
  <c r="L19" i="8"/>
  <c r="M184" i="8"/>
  <c r="L184" i="8"/>
  <c r="M7" i="7"/>
  <c r="L7" i="7"/>
  <c r="L27" i="7"/>
  <c r="M27" i="7"/>
  <c r="L13" i="7"/>
  <c r="M13" i="7"/>
  <c r="M16" i="7"/>
  <c r="L16" i="7"/>
  <c r="M19" i="7"/>
  <c r="L19" i="7"/>
  <c r="M36" i="7"/>
  <c r="L36" i="7"/>
  <c r="M20" i="8"/>
  <c r="L20" i="8"/>
  <c r="L51" i="8"/>
  <c r="M51" i="8"/>
  <c r="M67" i="8"/>
  <c r="L67" i="8"/>
  <c r="M85" i="8"/>
  <c r="L85" i="8"/>
  <c r="M26" i="8"/>
  <c r="L26" i="8"/>
  <c r="M116" i="8"/>
  <c r="L116" i="8"/>
  <c r="M189" i="8"/>
  <c r="L189" i="8"/>
  <c r="M24" i="11"/>
  <c r="L24" i="11"/>
  <c r="M32" i="10"/>
  <c r="L32" i="10"/>
  <c r="M10" i="7"/>
  <c r="L22" i="8"/>
  <c r="M69" i="8"/>
  <c r="L73" i="8"/>
  <c r="M84" i="8"/>
  <c r="L84" i="8"/>
  <c r="M110" i="8"/>
  <c r="L110" i="8"/>
  <c r="L112" i="8"/>
  <c r="L114" i="8"/>
  <c r="L134" i="8"/>
  <c r="L143" i="8"/>
  <c r="M176" i="8"/>
  <c r="L176" i="8"/>
  <c r="M27" i="9"/>
  <c r="L27" i="9"/>
  <c r="M30" i="10"/>
  <c r="L30" i="10"/>
  <c r="M31" i="12"/>
  <c r="L31" i="12"/>
  <c r="L5" i="8"/>
  <c r="M50" i="8"/>
  <c r="L50" i="8"/>
  <c r="L52" i="8"/>
  <c r="L54" i="8"/>
  <c r="L166" i="8"/>
  <c r="L171" i="8"/>
  <c r="M171" i="8"/>
  <c r="M52" i="9"/>
  <c r="L52" i="9"/>
  <c r="B7" i="14" s="1"/>
  <c r="M28" i="10"/>
  <c r="L28" i="10"/>
  <c r="M23" i="12"/>
  <c r="L23" i="12"/>
  <c r="M14" i="8"/>
  <c r="L14" i="8"/>
  <c r="L65" i="8"/>
  <c r="M93" i="8"/>
  <c r="L106" i="8"/>
  <c r="M108" i="8"/>
  <c r="L108" i="8"/>
  <c r="M162" i="8"/>
  <c r="M182" i="8"/>
  <c r="L182" i="8"/>
  <c r="M190" i="8"/>
  <c r="L190" i="8"/>
  <c r="M13" i="10"/>
  <c r="L13" i="10"/>
  <c r="M17" i="11"/>
  <c r="L17" i="11"/>
  <c r="M33" i="11"/>
  <c r="L33" i="11"/>
  <c r="M86" i="8"/>
  <c r="L86" i="8"/>
  <c r="M103" i="8"/>
  <c r="L103" i="8"/>
  <c r="M156" i="8"/>
  <c r="L156" i="8"/>
  <c r="L22" i="7"/>
  <c r="M154" i="8"/>
  <c r="L154" i="8"/>
  <c r="M35" i="10"/>
  <c r="L35" i="10"/>
  <c r="M34" i="7"/>
  <c r="M24" i="8"/>
  <c r="L24" i="8"/>
  <c r="L41" i="8"/>
  <c r="L82" i="8"/>
  <c r="M99" i="8"/>
  <c r="M150" i="8"/>
  <c r="L179" i="8"/>
  <c r="M179" i="8"/>
  <c r="L14" i="9"/>
  <c r="M20" i="12"/>
  <c r="L20" i="12"/>
  <c r="M132" i="8"/>
  <c r="L168" i="8"/>
  <c r="L194" i="8"/>
  <c r="M10" i="9"/>
  <c r="L10" i="9"/>
  <c r="M38" i="10"/>
  <c r="L38" i="10"/>
  <c r="L116" i="7"/>
  <c r="L176" i="7"/>
  <c r="L216" i="7"/>
  <c r="M33" i="8"/>
  <c r="M48" i="8"/>
  <c r="L48" i="8"/>
  <c r="M74" i="8"/>
  <c r="L74" i="8"/>
  <c r="L232" i="8"/>
  <c r="L304" i="8"/>
  <c r="M6" i="9"/>
  <c r="L6" i="9"/>
  <c r="M15" i="9"/>
  <c r="L15" i="9"/>
  <c r="M50" i="9"/>
  <c r="L50" i="9"/>
  <c r="L60" i="9"/>
  <c r="L103" i="9"/>
  <c r="M16" i="10"/>
  <c r="L16" i="10"/>
  <c r="L41" i="10"/>
  <c r="M41" i="10"/>
  <c r="M5" i="11"/>
  <c r="L5" i="11"/>
  <c r="M25" i="11"/>
  <c r="L25" i="11"/>
  <c r="M136" i="8"/>
  <c r="L136" i="8"/>
  <c r="M31" i="8"/>
  <c r="L31" i="8"/>
  <c r="M146" i="8"/>
  <c r="L146" i="8"/>
  <c r="M177" i="8"/>
  <c r="L177" i="8"/>
  <c r="M195" i="8"/>
  <c r="L195" i="8"/>
  <c r="L9" i="10"/>
  <c r="M9" i="10"/>
  <c r="M46" i="9"/>
  <c r="L46" i="9"/>
  <c r="M26" i="10"/>
  <c r="L26" i="10"/>
  <c r="L11" i="7"/>
  <c r="M38" i="8"/>
  <c r="L38" i="8"/>
  <c r="L40" i="8"/>
  <c r="L42" i="8"/>
  <c r="L113" i="8"/>
  <c r="M124" i="8"/>
  <c r="M131" i="8"/>
  <c r="L131" i="8"/>
  <c r="L133" i="8"/>
  <c r="M135" i="8"/>
  <c r="M140" i="8"/>
  <c r="L140" i="8"/>
  <c r="L142" i="8"/>
  <c r="L144" i="8"/>
  <c r="M155" i="8"/>
  <c r="L183" i="8"/>
  <c r="M183" i="8"/>
  <c r="M188" i="8"/>
  <c r="L188" i="8"/>
  <c r="D7" i="13" s="1"/>
  <c r="M193" i="8"/>
  <c r="L193" i="8"/>
  <c r="L212" i="8"/>
  <c r="L284" i="8"/>
  <c r="M22" i="9"/>
  <c r="L22" i="9"/>
  <c r="M32" i="9"/>
  <c r="L32" i="9"/>
  <c r="M19" i="10"/>
  <c r="L19" i="10"/>
  <c r="M27" i="12"/>
  <c r="L27" i="12"/>
  <c r="M60" i="8"/>
  <c r="L60" i="8"/>
  <c r="L42" i="11"/>
  <c r="M42" i="11"/>
  <c r="M27" i="11"/>
  <c r="L27" i="11"/>
  <c r="M12" i="8"/>
  <c r="L12" i="8"/>
  <c r="M160" i="8"/>
  <c r="L160" i="8"/>
  <c r="M98" i="8"/>
  <c r="L98" i="8"/>
  <c r="M180" i="8"/>
  <c r="L180" i="8"/>
  <c r="L35" i="7"/>
  <c r="M23" i="7"/>
  <c r="L6" i="8"/>
  <c r="M21" i="8"/>
  <c r="L53" i="8"/>
  <c r="M81" i="8"/>
  <c r="L94" i="8"/>
  <c r="M96" i="8"/>
  <c r="L96" i="8"/>
  <c r="M122" i="8"/>
  <c r="L122" i="8"/>
  <c r="M158" i="8"/>
  <c r="L158" i="8"/>
  <c r="L163" i="8"/>
  <c r="L165" i="8"/>
  <c r="L191" i="8"/>
  <c r="D8" i="13" s="1"/>
  <c r="M191" i="8"/>
  <c r="M39" i="9"/>
  <c r="M17" i="10"/>
  <c r="L17" i="10"/>
  <c r="M32" i="11"/>
  <c r="L32" i="11"/>
  <c r="M42" i="9"/>
  <c r="L42" i="9"/>
  <c r="M19" i="11"/>
  <c r="L19" i="11"/>
  <c r="M44" i="8"/>
  <c r="L44" i="8"/>
  <c r="M169" i="8"/>
  <c r="L169" i="8"/>
  <c r="M43" i="9"/>
  <c r="L43" i="9"/>
  <c r="L48" i="9"/>
  <c r="M48" i="9"/>
  <c r="M72" i="8"/>
  <c r="L72" i="8"/>
  <c r="M13" i="9"/>
  <c r="L13" i="9"/>
  <c r="L79" i="7"/>
  <c r="L164" i="7"/>
  <c r="L204" i="7"/>
  <c r="L34" i="8"/>
  <c r="M36" i="8"/>
  <c r="L36" i="8"/>
  <c r="M62" i="8"/>
  <c r="L62" i="8"/>
  <c r="L64" i="8"/>
  <c r="L66" i="8"/>
  <c r="M129" i="8"/>
  <c r="L129" i="8"/>
  <c r="L147" i="8"/>
  <c r="M147" i="8"/>
  <c r="M161" i="8"/>
  <c r="L161" i="8"/>
  <c r="M178" i="8"/>
  <c r="L178" i="8"/>
  <c r="M35" i="9"/>
  <c r="L35" i="9"/>
  <c r="M11" i="11"/>
  <c r="L11" i="11"/>
  <c r="M5" i="12"/>
  <c r="L5" i="12"/>
  <c r="L248" i="7"/>
  <c r="L288" i="7"/>
  <c r="L17" i="8"/>
  <c r="L77" i="8"/>
  <c r="M105" i="8"/>
  <c r="M120" i="8"/>
  <c r="L120" i="8"/>
  <c r="L268" i="8"/>
  <c r="M20" i="9"/>
  <c r="L20" i="9"/>
  <c r="L37" i="9"/>
  <c r="L210" i="9"/>
  <c r="M37" i="10"/>
  <c r="L37" i="10"/>
  <c r="M29" i="11"/>
  <c r="L29" i="11"/>
  <c r="M8" i="9"/>
  <c r="L8" i="9"/>
  <c r="M7" i="10"/>
  <c r="L7" i="10"/>
  <c r="L33" i="10"/>
  <c r="M33" i="10"/>
  <c r="L102" i="10"/>
  <c r="L35" i="11"/>
  <c r="M35" i="11"/>
  <c r="L236" i="8"/>
  <c r="L272" i="8"/>
  <c r="L111" i="9"/>
  <c r="L301" i="9"/>
  <c r="M5" i="10"/>
  <c r="L5" i="10"/>
  <c r="L54" i="10"/>
  <c r="M12" i="11"/>
  <c r="L12" i="11"/>
  <c r="M22" i="11"/>
  <c r="L22" i="11"/>
  <c r="L176" i="11"/>
  <c r="L59" i="12"/>
  <c r="L117" i="9"/>
  <c r="L141" i="9"/>
  <c r="L22" i="10"/>
  <c r="M22" i="10"/>
  <c r="L121" i="10"/>
  <c r="L134" i="10"/>
  <c r="M8" i="11"/>
  <c r="L8" i="11"/>
  <c r="M20" i="11"/>
  <c r="L20" i="11"/>
  <c r="M22" i="12"/>
  <c r="L22" i="12"/>
  <c r="M8" i="10"/>
  <c r="L8" i="10"/>
  <c r="M25" i="12"/>
  <c r="L25" i="12"/>
  <c r="L149" i="8"/>
  <c r="M173" i="8"/>
  <c r="L175" i="8"/>
  <c r="L181" i="8"/>
  <c r="M185" i="8"/>
  <c r="L244" i="8"/>
  <c r="L280" i="8"/>
  <c r="M34" i="9"/>
  <c r="L34" i="9"/>
  <c r="M15" i="10"/>
  <c r="L15" i="10"/>
  <c r="M20" i="10"/>
  <c r="L20" i="10"/>
  <c r="M34" i="10"/>
  <c r="L257" i="10"/>
  <c r="M13" i="11"/>
  <c r="L13" i="11"/>
  <c r="L10" i="12"/>
  <c r="M28" i="9"/>
  <c r="L28" i="9"/>
  <c r="L45" i="9"/>
  <c r="M45" i="9"/>
  <c r="L110" i="9"/>
  <c r="L134" i="9"/>
  <c r="L302" i="9"/>
  <c r="L164" i="10"/>
  <c r="M6" i="11"/>
  <c r="L6" i="11"/>
  <c r="M44" i="11"/>
  <c r="L44" i="11"/>
  <c r="L190" i="11"/>
  <c r="L203" i="12"/>
  <c r="L214" i="12"/>
  <c r="L30" i="12"/>
  <c r="M30" i="12"/>
  <c r="D12" i="13"/>
  <c r="B9" i="14"/>
  <c r="M35" i="12"/>
  <c r="L35" i="12"/>
  <c r="D13" i="13" s="1"/>
  <c r="L87" i="9"/>
  <c r="L159" i="9"/>
  <c r="L217" i="9"/>
  <c r="L290" i="9"/>
  <c r="M39" i="10"/>
  <c r="L39" i="10"/>
  <c r="L109" i="10"/>
  <c r="M30" i="11"/>
  <c r="L30" i="11"/>
  <c r="L197" i="11"/>
  <c r="L243" i="11"/>
  <c r="L258" i="11"/>
  <c r="M6" i="12"/>
  <c r="M17" i="12"/>
  <c r="L17" i="12"/>
  <c r="L105" i="9"/>
  <c r="L254" i="9"/>
  <c r="L146" i="10"/>
  <c r="M36" i="11"/>
  <c r="L36" i="11"/>
  <c r="M48" i="11"/>
  <c r="L48" i="11"/>
  <c r="M7" i="12"/>
  <c r="L7" i="12"/>
  <c r="L26" i="12"/>
  <c r="M26" i="12"/>
  <c r="L63" i="9"/>
  <c r="L135" i="9"/>
  <c r="L165" i="9"/>
  <c r="L194" i="9"/>
  <c r="L265" i="9"/>
  <c r="L86" i="10"/>
  <c r="L188" i="10"/>
  <c r="M7" i="11"/>
  <c r="L7" i="11"/>
  <c r="M18" i="11"/>
  <c r="L18" i="11"/>
  <c r="M23" i="11"/>
  <c r="L23" i="11"/>
  <c r="M31" i="11"/>
  <c r="L31" i="11"/>
  <c r="M46" i="11"/>
  <c r="L46" i="11"/>
  <c r="M36" i="12"/>
  <c r="L36" i="12"/>
  <c r="L93" i="9"/>
  <c r="L205" i="9"/>
  <c r="L278" i="9"/>
  <c r="M27" i="10"/>
  <c r="L27" i="10"/>
  <c r="M44" i="10"/>
  <c r="L44" i="10"/>
  <c r="B8" i="14" s="1"/>
  <c r="L97" i="10"/>
  <c r="L181" i="10"/>
  <c r="L26" i="11"/>
  <c r="M26" i="11"/>
  <c r="M34" i="11"/>
  <c r="L34" i="11"/>
  <c r="L80" i="11"/>
  <c r="L183" i="11"/>
  <c r="L279" i="11"/>
  <c r="L294" i="11"/>
  <c r="M21" i="12"/>
  <c r="L21" i="12"/>
  <c r="L51" i="9"/>
  <c r="L123" i="9"/>
  <c r="L218" i="9"/>
  <c r="L289" i="9"/>
  <c r="M14" i="10"/>
  <c r="L14" i="10"/>
  <c r="D9" i="13"/>
  <c r="L110" i="10"/>
  <c r="L192" i="10"/>
  <c r="L14" i="11"/>
  <c r="M14" i="11"/>
  <c r="M41" i="11"/>
  <c r="L41" i="11"/>
  <c r="L128" i="11"/>
  <c r="L270" i="11"/>
  <c r="M12" i="12"/>
  <c r="L12" i="12"/>
  <c r="M24" i="12"/>
  <c r="L24" i="12"/>
  <c r="M29" i="12"/>
  <c r="L29" i="12"/>
  <c r="M34" i="12"/>
  <c r="L34" i="12"/>
  <c r="B10" i="14" s="1"/>
  <c r="L299" i="12"/>
  <c r="M43" i="11"/>
  <c r="L43" i="11"/>
  <c r="M19" i="12"/>
  <c r="L19" i="12"/>
  <c r="L245" i="10"/>
  <c r="L293" i="10"/>
  <c r="L65" i="12"/>
  <c r="L221" i="10"/>
  <c r="L269" i="10"/>
  <c r="M38" i="11"/>
  <c r="L156" i="10"/>
  <c r="L77" i="11"/>
  <c r="L125" i="11"/>
  <c r="L173" i="11"/>
  <c r="L221" i="11"/>
  <c r="L257" i="11"/>
  <c r="L293" i="11"/>
  <c r="B13" i="17" l="1"/>
  <c r="D13" i="17" s="1"/>
  <c r="D8" i="14"/>
  <c r="C17" i="1"/>
  <c r="D7" i="14"/>
  <c r="B12" i="17"/>
  <c r="D12" i="17" s="1"/>
  <c r="C16" i="1"/>
  <c r="D10" i="14"/>
  <c r="B15" i="17"/>
  <c r="D15" i="17" s="1"/>
  <c r="C19" i="1"/>
  <c r="G7" i="13"/>
  <c r="F7" i="13"/>
  <c r="E7" i="13"/>
  <c r="L22" i="17"/>
  <c r="D22" i="17"/>
  <c r="G5" i="13"/>
  <c r="F5" i="13"/>
  <c r="E5" i="13"/>
  <c r="G13" i="13"/>
  <c r="F13" i="13"/>
  <c r="E13" i="13"/>
  <c r="G8" i="13"/>
  <c r="F8" i="13"/>
  <c r="E8" i="13"/>
  <c r="B14" i="17"/>
  <c r="D14" i="17" s="1"/>
  <c r="C18" i="1"/>
  <c r="D9" i="14"/>
  <c r="C11" i="15"/>
  <c r="C31" i="1" s="1"/>
  <c r="C12" i="15"/>
  <c r="C32" i="1" s="1"/>
  <c r="B5" i="14"/>
  <c r="D11" i="13"/>
  <c r="A7" i="1"/>
  <c r="C5" i="15"/>
  <c r="C25" i="1" s="1"/>
  <c r="C8" i="15"/>
  <c r="C28" i="1" s="1"/>
  <c r="G12" i="13"/>
  <c r="F12" i="13"/>
  <c r="E12" i="13"/>
  <c r="C10" i="15"/>
  <c r="C30" i="1" s="1"/>
  <c r="D10" i="13"/>
  <c r="D6" i="13"/>
  <c r="D24" i="17" s="1"/>
  <c r="C7" i="15"/>
  <c r="C27" i="1" s="1"/>
  <c r="B6" i="14"/>
  <c r="C6" i="15"/>
  <c r="C26" i="1" s="1"/>
  <c r="G9" i="13"/>
  <c r="F9" i="13"/>
  <c r="E9" i="13"/>
  <c r="C9" i="15"/>
  <c r="C29" i="1" s="1"/>
  <c r="C24" i="17" l="1"/>
  <c r="B24" i="17"/>
  <c r="L25" i="1"/>
  <c r="G10" i="13"/>
  <c r="F10" i="13"/>
  <c r="E10" i="13"/>
  <c r="L28" i="1"/>
  <c r="L29" i="1"/>
  <c r="L26" i="1"/>
  <c r="D23" i="17"/>
  <c r="F4" i="17"/>
  <c r="G7" i="1"/>
  <c r="L23" i="17"/>
  <c r="C22" i="17"/>
  <c r="B22" i="17"/>
  <c r="F11" i="13"/>
  <c r="E11" i="13"/>
  <c r="G11" i="13"/>
  <c r="D6" i="14"/>
  <c r="B11" i="17"/>
  <c r="D11" i="17" s="1"/>
  <c r="C15" i="1"/>
  <c r="B10" i="17"/>
  <c r="D10" i="17" s="1"/>
  <c r="D5" i="14"/>
  <c r="K4" i="17" s="1"/>
  <c r="C14" i="1"/>
  <c r="L27" i="1"/>
  <c r="K22" i="17"/>
  <c r="J22" i="17"/>
  <c r="G6" i="13"/>
  <c r="F6" i="13"/>
  <c r="M7" i="1" s="1"/>
  <c r="E6" i="13"/>
  <c r="J17" i="1" s="1"/>
  <c r="J7" i="1"/>
  <c r="L24" i="17"/>
  <c r="J16" i="1" l="1"/>
  <c r="J14" i="1"/>
  <c r="J15" i="1"/>
  <c r="J18" i="1"/>
  <c r="C23" i="17"/>
  <c r="B23" i="17"/>
  <c r="K28" i="1"/>
  <c r="J28" i="1"/>
  <c r="K25" i="1"/>
  <c r="J25" i="1"/>
  <c r="K27" i="1"/>
  <c r="J27" i="1"/>
  <c r="K24" i="17"/>
  <c r="J24" i="17"/>
  <c r="K26" i="1"/>
  <c r="J26" i="1"/>
  <c r="J23" i="17"/>
  <c r="K23" i="17"/>
  <c r="J29" i="1"/>
  <c r="K29" i="1"/>
</calcChain>
</file>

<file path=xl/sharedStrings.xml><?xml version="1.0" encoding="utf-8"?>
<sst xmlns="http://schemas.openxmlformats.org/spreadsheetml/2006/main" count="2817" uniqueCount="282">
  <si>
    <t>AP GROUP — KPI MANAGEMENT DASHBOARD</t>
  </si>
  <si>
    <t>Target vs ongoing otomatis digabungkan dari enam sheet input KPI divisi.</t>
  </si>
  <si>
    <t>Bulan</t>
  </si>
  <si>
    <t>Agustus</t>
  </si>
  <si>
    <t>Tahun</t>
  </si>
  <si>
    <t>Tanggal Cut-off</t>
  </si>
  <si>
    <t>Status Data</t>
  </si>
  <si>
    <t>CONTOH — ganti aktual</t>
  </si>
  <si>
    <t>OVERALL KPI</t>
  </si>
  <si>
    <t>TARGET</t>
  </si>
  <si>
    <t>GAP</t>
  </si>
  <si>
    <t>KARYAWAN DINILAI</t>
  </si>
  <si>
    <t>ON TRACK / TERCAPAI</t>
  </si>
  <si>
    <t>KPI PER DIVISI — TARGET VS AKTUAL</t>
  </si>
  <si>
    <t>DISTRIBUSI GRADE</t>
  </si>
  <si>
    <t>Divisi</t>
  </si>
  <si>
    <t>Target</t>
  </si>
  <si>
    <t>Aktual</t>
  </si>
  <si>
    <t>Grade</t>
  </si>
  <si>
    <t>Jumlah</t>
  </si>
  <si>
    <t>Produksi</t>
  </si>
  <si>
    <t>A</t>
  </si>
  <si>
    <t>Marketing</t>
  </si>
  <si>
    <t>B</t>
  </si>
  <si>
    <t>Admin</t>
  </si>
  <si>
    <t>C</t>
  </si>
  <si>
    <t>Design</t>
  </si>
  <si>
    <t>D</t>
  </si>
  <si>
    <t>HR</t>
  </si>
  <si>
    <t>E</t>
  </si>
  <si>
    <t>Finance</t>
  </si>
  <si>
    <t>TREND KPI PERUSAHAAN 2026</t>
  </si>
  <si>
    <t>RANKING INDIVIDU</t>
  </si>
  <si>
    <t>Rank</t>
  </si>
  <si>
    <t>Nama</t>
  </si>
  <si>
    <t>Score</t>
  </si>
  <si>
    <t>Jan</t>
  </si>
  <si>
    <t>Feb</t>
  </si>
  <si>
    <t>Mar</t>
  </si>
  <si>
    <t>Apr</t>
  </si>
  <si>
    <t>Mei</t>
  </si>
  <si>
    <t>Jun</t>
  </si>
  <si>
    <t>Jul</t>
  </si>
  <si>
    <t>Agu</t>
  </si>
  <si>
    <t>Sep</t>
  </si>
  <si>
    <t>Okt</t>
  </si>
  <si>
    <t>Nov</t>
  </si>
  <si>
    <t>Des</t>
  </si>
  <si>
    <t>MASTER DIVISI</t>
  </si>
  <si>
    <t>Tambah divisi baru di tabel ini, lalu tambahkan jabatan, karyawan, dan KPI terkait.</t>
  </si>
  <si>
    <t>ID Divisi</t>
  </si>
  <si>
    <t>DV001</t>
  </si>
  <si>
    <t>DV002</t>
  </si>
  <si>
    <t>DV003</t>
  </si>
  <si>
    <t>DV004</t>
  </si>
  <si>
    <t>DV005</t>
  </si>
  <si>
    <t>DV006</t>
  </si>
  <si>
    <t>MASTER JABATAN</t>
  </si>
  <si>
    <t>Setiap jabatan terhubung ke satu divisi agar rekap konsisten.</t>
  </si>
  <si>
    <t>ID Jabatan</t>
  </si>
  <si>
    <t>Jabatan</t>
  </si>
  <si>
    <t>JB001</t>
  </si>
  <si>
    <t>Operator Produksi</t>
  </si>
  <si>
    <t>JB002</t>
  </si>
  <si>
    <t>QC</t>
  </si>
  <si>
    <t>JB003</t>
  </si>
  <si>
    <t>Marketing Lead</t>
  </si>
  <si>
    <t>JB004</t>
  </si>
  <si>
    <t>Content &amp; Marketplace</t>
  </si>
  <si>
    <t>JB005</t>
  </si>
  <si>
    <t>Content Creator</t>
  </si>
  <si>
    <t>JB006</t>
  </si>
  <si>
    <t>Sales &amp; Community</t>
  </si>
  <si>
    <t>JB007</t>
  </si>
  <si>
    <t>Admin Sales</t>
  </si>
  <si>
    <t>JB008</t>
  </si>
  <si>
    <t>Graphic / Video Designer</t>
  </si>
  <si>
    <t>JB009</t>
  </si>
  <si>
    <t>HR Staff</t>
  </si>
  <si>
    <t>JB010</t>
  </si>
  <si>
    <t>Finance Staff</t>
  </si>
  <si>
    <t>MASTER KARYAWAN</t>
  </si>
  <si>
    <t>NIK menjadi key untuk seluruh input dan laporan. Ganti nama placeholder sebelum implementasi.</t>
  </si>
  <si>
    <t>NIK</t>
  </si>
  <si>
    <t>Atasan</t>
  </si>
  <si>
    <t>Status</t>
  </si>
  <si>
    <t>EMP001</t>
  </si>
  <si>
    <t>Stephan</t>
  </si>
  <si>
    <t>Owner</t>
  </si>
  <si>
    <t>Aktif</t>
  </si>
  <si>
    <t>EMP002</t>
  </si>
  <si>
    <t>Cantika</t>
  </si>
  <si>
    <t>EMP003</t>
  </si>
  <si>
    <t>Jessie</t>
  </si>
  <si>
    <t>EMP004</t>
  </si>
  <si>
    <t>Kia</t>
  </si>
  <si>
    <t>EMP005</t>
  </si>
  <si>
    <t>Ady</t>
  </si>
  <si>
    <t>EMP006</t>
  </si>
  <si>
    <t>Admin AP (Ganti Nama)</t>
  </si>
  <si>
    <t>EMP007</t>
  </si>
  <si>
    <t>Supervisor Produksi (Ganti Nama)</t>
  </si>
  <si>
    <t>EMP008</t>
  </si>
  <si>
    <t>HR Staff (Ganti Nama)</t>
  </si>
  <si>
    <t>EMP009</t>
  </si>
  <si>
    <t>Finance Staff (Ganti Nama)</t>
  </si>
  <si>
    <t>MASTER KPI — SIMPLE</t>
  </si>
  <si>
    <t>Sheet ini hanya mendefinisikan KPI. Penentuan angka target dipusatkan di 06_Target KPI agar tidak ada target ganda.</t>
  </si>
  <si>
    <t>Kode KPI</t>
  </si>
  <si>
    <t>Nama KPI</t>
  </si>
  <si>
    <t>Satuan</t>
  </si>
  <si>
    <t>Bobot</t>
  </si>
  <si>
    <t>Arah Nilai</t>
  </si>
  <si>
    <t>Jenis Target</t>
  </si>
  <si>
    <t>Cek Bobot</t>
  </si>
  <si>
    <t>Total</t>
  </si>
  <si>
    <t>PROD01</t>
  </si>
  <si>
    <t>QC Pass Rate</t>
  </si>
  <si>
    <t>%</t>
  </si>
  <si>
    <t>Higher</t>
  </si>
  <si>
    <t>Rasio</t>
  </si>
  <si>
    <t>PROD02</t>
  </si>
  <si>
    <t>Output Produksi</t>
  </si>
  <si>
    <t>pcs</t>
  </si>
  <si>
    <t>Kumulatif</t>
  </si>
  <si>
    <t>PROD03</t>
  </si>
  <si>
    <t>On-Time Delivery</t>
  </si>
  <si>
    <t>PROD04</t>
  </si>
  <si>
    <t>SOP &amp; 5S</t>
  </si>
  <si>
    <t>ADM01</t>
  </si>
  <si>
    <t>Response Time WA</t>
  </si>
  <si>
    <t>menit</t>
  </si>
  <si>
    <t>Lower</t>
  </si>
  <si>
    <t>ADM02</t>
  </si>
  <si>
    <t>Input Worksheet Benar</t>
  </si>
  <si>
    <t>ADM03</t>
  </si>
  <si>
    <t>Follow-up Customer</t>
  </si>
  <si>
    <t>ADM04</t>
  </si>
  <si>
    <t>Closing Rate</t>
  </si>
  <si>
    <t>ADM05</t>
  </si>
  <si>
    <t>Komplain Selesai</t>
  </si>
  <si>
    <t>ADM06</t>
  </si>
  <si>
    <t>Administrasi Lengkap</t>
  </si>
  <si>
    <t>MKT01</t>
  </si>
  <si>
    <t>Content Plan</t>
  </si>
  <si>
    <t>konten</t>
  </si>
  <si>
    <t>MKT02</t>
  </si>
  <si>
    <t>Engagement Rate</t>
  </si>
  <si>
    <t>MKT03</t>
  </si>
  <si>
    <t>Qualified Leads</t>
  </si>
  <si>
    <t>lead</t>
  </si>
  <si>
    <t>MKT04</t>
  </si>
  <si>
    <t>Campaign Execution</t>
  </si>
  <si>
    <t>MKT05</t>
  </si>
  <si>
    <t>Lead Conversion</t>
  </si>
  <si>
    <t>MKT06</t>
  </si>
  <si>
    <t>Reporting</t>
  </si>
  <si>
    <t>DSG01</t>
  </si>
  <si>
    <t>Ketepatan Design</t>
  </si>
  <si>
    <t>DSG02</t>
  </si>
  <si>
    <t>Deadline</t>
  </si>
  <si>
    <t>DSG03</t>
  </si>
  <si>
    <t>Worksheet Lengkap</t>
  </si>
  <si>
    <t>DSG04</t>
  </si>
  <si>
    <t>Revisi Internal</t>
  </si>
  <si>
    <t>siklus</t>
  </si>
  <si>
    <t>DSG05</t>
  </si>
  <si>
    <t>Koordinasi</t>
  </si>
  <si>
    <t>HR001</t>
  </si>
  <si>
    <t>Recruitment Fulfillment</t>
  </si>
  <si>
    <t>HR002</t>
  </si>
  <si>
    <t>Payroll Accuracy</t>
  </si>
  <si>
    <t>HR003</t>
  </si>
  <si>
    <t>Administrasi Absensi</t>
  </si>
  <si>
    <t>HR004</t>
  </si>
  <si>
    <t>Administrasi Personalia</t>
  </si>
  <si>
    <t>HR005</t>
  </si>
  <si>
    <t>Evaluasi Karyawan</t>
  </si>
  <si>
    <t>HR006</t>
  </si>
  <si>
    <t>Onboarding Completion</t>
  </si>
  <si>
    <t>FIN01</t>
  </si>
  <si>
    <t>Laporan Tepat Waktu</t>
  </si>
  <si>
    <t>FIN02</t>
  </si>
  <si>
    <t>Deviasi Cashflow</t>
  </si>
  <si>
    <t>FIN03</t>
  </si>
  <si>
    <t>Penagihan Piutang</t>
  </si>
  <si>
    <t>FIN04</t>
  </si>
  <si>
    <t>Akurasi Biaya</t>
  </si>
  <si>
    <t>Arah Nilai: Higher = realisasi makin besar makin baik; Lower = realisasi makin kecil makin baik. Jenis Target: Kumulatif = target berjalan mengikuti tanggal cut-off; Rasio = target tetap sepanjang bulan.</t>
  </si>
  <si>
    <t>TARGET KPI BULANAN — MATRIX</t>
  </si>
  <si>
    <t>Isi hanya sel kuning. Satu tampilan memperlihatkan perubahan target Januari–Desember agar mudah dibandingkan.</t>
  </si>
  <si>
    <t>Tahun Target</t>
  </si>
  <si>
    <t>Januari</t>
  </si>
  <si>
    <t>Februari</t>
  </si>
  <si>
    <t>Maret</t>
  </si>
  <si>
    <t>April</t>
  </si>
  <si>
    <t>Juni</t>
  </si>
  <si>
    <t>Juli</t>
  </si>
  <si>
    <t>September</t>
  </si>
  <si>
    <t>Oktober</t>
  </si>
  <si>
    <t>November</t>
  </si>
  <si>
    <t>Desember</t>
  </si>
  <si>
    <t>INPUT KPI — PRODUKSI</t>
  </si>
  <si>
    <t>Supervisor cukup mengisi sel kuning: periode, cut-off, NIK, kode KPI, realisasi, dan catatan.</t>
  </si>
  <si>
    <t>Cut-off</t>
  </si>
  <si>
    <t>KPI (Satuan)</t>
  </si>
  <si>
    <t>Target Berjalan</t>
  </si>
  <si>
    <t>Realisasi</t>
  </si>
  <si>
    <t>Achievement</t>
  </si>
  <si>
    <t>Nilai</t>
  </si>
  <si>
    <t>Catatan</t>
  </si>
  <si>
    <t>Contoh historis — ganti aktual</t>
  </si>
  <si>
    <t>Contoh ongoing — ganti aktual</t>
  </si>
  <si>
    <t>INPUT KPI — MARKETING</t>
  </si>
  <si>
    <t>INPUT KPI — ADMIN</t>
  </si>
  <si>
    <t>INPUT KPI — DESIGN</t>
  </si>
  <si>
    <t>INPUT KPI — HR</t>
  </si>
  <si>
    <t>INPUT KPI — FINANCE</t>
  </si>
  <si>
    <t>REKAP INDIVIDU</t>
  </si>
  <si>
    <t>Periode mengikuti pilihan pada 01_Dashboard.</t>
  </si>
  <si>
    <t>Score KPI</t>
  </si>
  <si>
    <t>Bonus KPI</t>
  </si>
  <si>
    <t>REKAP DIVISI</t>
  </si>
  <si>
    <t>Score dihitung dari total nilai berbobot dibagi total bobot KPI pada periode terpilih.</t>
  </si>
  <si>
    <t>REKAP PERUSAHAAN</t>
  </si>
  <si>
    <t>Trend Januari–Desember 2026. Bulan tanpa input akan tampil 0%.</t>
  </si>
  <si>
    <t>Overall KPI</t>
  </si>
  <si>
    <t>REWARD &amp; IMPROVEMENT</t>
  </si>
  <si>
    <t>KPI menjadi dasar coaching dan bonus; keputusan akhir tetap membutuhkan validasi kualitas, kedisiplinan, dan pelanggaran.</t>
  </si>
  <si>
    <t>Range</t>
  </si>
  <si>
    <t>Tindakan Manajerial</t>
  </si>
  <si>
    <t>&gt;= 95%</t>
  </si>
  <si>
    <t>100% pool</t>
  </si>
  <si>
    <t>Recognition + kandidat pengembangan</t>
  </si>
  <si>
    <t>Pastikan tidak ada manipulasi output</t>
  </si>
  <si>
    <t>85%–94.9%</t>
  </si>
  <si>
    <t>50%–75% pool</t>
  </si>
  <si>
    <t>Pertahankan + satu target stretch</t>
  </si>
  <si>
    <t>Coaching ringan</t>
  </si>
  <si>
    <t>75%–84.9%</t>
  </si>
  <si>
    <t>0%–25% pool</t>
  </si>
  <si>
    <t>Coaching 30 hari</t>
  </si>
  <si>
    <t>Fokus 1–2 akar masalah</t>
  </si>
  <si>
    <t>60%–74.9%</t>
  </si>
  <si>
    <t>0%</t>
  </si>
  <si>
    <t>Performance improvement plan</t>
  </si>
  <si>
    <t>Target mingguan jelas</t>
  </si>
  <si>
    <t>&lt; 60%</t>
  </si>
  <si>
    <t>Review peran dan disiplin</t>
  </si>
  <si>
    <t>Gunakan bukti, bukan asumsi</t>
  </si>
  <si>
    <t>AP GROUP — CEO SCORECARD</t>
  </si>
  <si>
    <t>Fokus: gap, divisi yang membutuhkan intervensi, dan konsistensi performa.</t>
  </si>
  <si>
    <t>PERIODE TERPILIH</t>
  </si>
  <si>
    <t>DIVISI DI BAWAH TARGET</t>
  </si>
  <si>
    <t>SCORE &amp; GAP PER DIVISI</t>
  </si>
  <si>
    <t>Gap</t>
  </si>
  <si>
    <t>TOP 3 PERFORMER</t>
  </si>
  <si>
    <t>BOTTOM 3 — PRIORITAS COACHING</t>
  </si>
  <si>
    <t>AP GROUP — SETTING KPI</t>
  </si>
  <si>
    <t>Edit hanya nilai pada sel kuning. Seluruh dashboard mengambil aturan dari sheet ini.</t>
  </si>
  <si>
    <t>Nomor</t>
  </si>
  <si>
    <t>Parameter</t>
  </si>
  <si>
    <t>Tidak</t>
  </si>
  <si>
    <t>Target Perusahaan</t>
  </si>
  <si>
    <t>Ya</t>
  </si>
  <si>
    <t>Batas On Track</t>
  </si>
  <si>
    <t>Batas Tercapai</t>
  </si>
  <si>
    <t>Bonus Maksimal</t>
  </si>
  <si>
    <t>Batas Score</t>
  </si>
  <si>
    <t>Makna</t>
  </si>
  <si>
    <t>Kritis</t>
  </si>
  <si>
    <t>Tidak ada</t>
  </si>
  <si>
    <t>Perlu perbaikan</t>
  </si>
  <si>
    <t>25% pool bonus</t>
  </si>
  <si>
    <t>Cukup</t>
  </si>
  <si>
    <t>50% pool bonus</t>
  </si>
  <si>
    <t>Baik</t>
  </si>
  <si>
    <t>75% pool bonus</t>
  </si>
  <si>
    <t>Sangat baik</t>
  </si>
  <si>
    <t>100% pool bonus</t>
  </si>
  <si>
    <t>Warna kuning = input/editable. Target KPI dapat berbeda per bulan melalui sheet 06_Target KPI. Data contoh Januari–Agustus 2026 disediakan agar grafik langsung hidup; ganti dengan data riil sebelum dipakai untuk keputusan bonus.</t>
  </si>
  <si>
    <t>Catatan:
1. KPI ini rencana akan dipisah-pisah per divisi dan juga dashboard rencana akan dipisah, tolong pisahkan Dashboard dan KPI per divisi.
2. rencana pun juga kita tidak akan memasukkan nama, hanya memasukkan daily target list, buatkan agar mirip seperti aplikasi Trello yang dimana orang-orang bisa mengisi daily target list sesuai masing-masing divisi.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</si>
</sst>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0.0"/>
  </numFmts>
  <fonts count="11">
    <font>
      <sz val="11"/>
      <name val="Carlito"/>
    </font>
    <font>
      <sz val="10"/>
      <color rgb="FF172033"/>
      <name val="Aptos"/>
    </font>
    <font>
      <b/>
      <sz val="20"/>
      <color rgb="FFFFFFFF"/>
      <name val="Aptos Display"/>
    </font>
    <font>
      <i/>
      <sz val="9"/>
      <color rgb="FF667085"/>
      <name val="Aptos"/>
    </font>
    <font>
      <b/>
      <sz val="10"/>
      <color rgb="FFFFFFFF"/>
      <name val="Aptos"/>
    </font>
    <font>
      <i/>
      <sz val="10"/>
      <color rgb="FF92400E"/>
      <name val="Aptos"/>
    </font>
    <font>
      <i/>
      <sz val="10"/>
      <color rgb="FF667085"/>
      <name val="Aptos"/>
    </font>
    <font>
      <b/>
      <sz val="10"/>
      <color rgb="FF172033"/>
      <name val="Aptos"/>
    </font>
    <font>
      <b/>
      <sz val="22"/>
      <color rgb="FF101828"/>
      <name val="Aptos"/>
    </font>
    <font>
      <b/>
      <sz val="11"/>
      <color rgb="FF101828"/>
      <name val="Aptos"/>
    </font>
    <font>
      <b/>
      <sz val="18"/>
      <color rgb="FF101828"/>
      <name val="Aptos"/>
    </font>
  </fonts>
  <fills count="14">
    <fill>
      <patternFill patternType="none"/>
    </fill>
    <fill>
      <patternFill patternType="gray125"/>
    </fill>
    <fill>
      <patternFill patternType="solid">
        <fgColor rgb="FF101828"/>
      </patternFill>
    </fill>
    <fill>
      <patternFill patternType="solid">
        <fgColor rgb="FFF4F7FB"/>
      </patternFill>
    </fill>
    <fill>
      <patternFill patternType="solid">
        <fgColor rgb="FF2563EB"/>
      </patternFill>
    </fill>
    <fill>
      <patternFill patternType="solid">
        <fgColor rgb="FFFFF4CC"/>
      </patternFill>
    </fill>
    <fill>
      <patternFill patternType="solid">
        <fgColor rgb="FFFEF3C7"/>
      </patternFill>
    </fill>
    <fill>
      <patternFill patternType="solid">
        <fgColor rgb="FFFFFFFF"/>
      </patternFill>
    </fill>
    <fill>
      <patternFill patternType="solid">
        <fgColor rgb="FF16A34A"/>
      </patternFill>
    </fill>
    <fill>
      <patternFill patternType="solid">
        <fgColor rgb="FFF59E0B"/>
      </patternFill>
    </fill>
    <fill>
      <patternFill patternType="solid">
        <fgColor rgb="FF7C3AED"/>
      </patternFill>
    </fill>
    <fill>
      <patternFill patternType="solid">
        <fgColor rgb="FF06B6D4"/>
      </patternFill>
    </fill>
    <fill>
      <patternFill patternType="solid">
        <fgColor rgb="FFE7EEF9"/>
      </patternFill>
    </fill>
    <fill>
      <patternFill patternType="solid">
        <fgColor rgb="FFDC2626"/>
      </patternFill>
    </fill>
  </fills>
  <borders count="26">
    <border>
      <left/>
      <right/>
      <top/>
      <bottom/>
      <diagonal/>
    </border>
    <border>
      <left style="thin">
        <color rgb="FF2563EB"/>
      </left>
      <right/>
      <top style="thin">
        <color rgb="FF2563EB"/>
      </top>
      <bottom style="thin">
        <color rgb="FF2563EB"/>
      </bottom>
      <diagonal/>
    </border>
    <border>
      <left/>
      <right style="thin">
        <color rgb="FF2563EB"/>
      </right>
      <top style="thin">
        <color rgb="FF2563EB"/>
      </top>
      <bottom style="thin">
        <color rgb="FF2563EB"/>
      </bottom>
      <diagonal/>
    </border>
    <border>
      <left/>
      <right/>
      <top style="thin">
        <color rgb="FF2563EB"/>
      </top>
      <bottom style="thin">
        <color rgb="FF2563EB"/>
      </bottom>
      <diagonal/>
    </border>
    <border>
      <left/>
      <right/>
      <top/>
      <bottom style="thin">
        <color rgb="FFEAECF0"/>
      </bottom>
      <diagonal/>
    </border>
    <border>
      <left/>
      <right/>
      <top style="thin">
        <color rgb="FFEAECF0"/>
      </top>
      <bottom style="thin">
        <color rgb="FFEAECF0"/>
      </bottom>
      <diagonal/>
    </border>
    <border>
      <left/>
      <right/>
      <top style="thin">
        <color rgb="FFEAECF0"/>
      </top>
      <bottom style="thin">
        <color rgb="FFD0D5DD"/>
      </bottom>
      <diagonal/>
    </border>
    <border>
      <left style="thin">
        <color rgb="FFD0D5DD"/>
      </left>
      <right/>
      <top style="thin">
        <color rgb="FFD0D5DD"/>
      </top>
      <bottom style="thin">
        <color rgb="FFD0D5DD"/>
      </bottom>
      <diagonal/>
    </border>
    <border>
      <left/>
      <right style="thin">
        <color rgb="FFD0D5DD"/>
      </right>
      <top style="thin">
        <color rgb="FFD0D5DD"/>
      </top>
      <bottom style="thin">
        <color rgb="FFD0D5DD"/>
      </bottom>
      <diagonal/>
    </border>
    <border>
      <left/>
      <right/>
      <top style="thin">
        <color rgb="FFEAECF0"/>
      </top>
      <bottom/>
      <diagonal/>
    </border>
    <border>
      <left style="thin">
        <color rgb="FF2563EB"/>
      </left>
      <right/>
      <top style="thin">
        <color rgb="FF2563EB"/>
      </top>
      <bottom style="thin">
        <color rgb="FFEAECF0"/>
      </bottom>
      <diagonal/>
    </border>
    <border>
      <left/>
      <right/>
      <top style="thin">
        <color rgb="FF2563EB"/>
      </top>
      <bottom style="thin">
        <color rgb="FFEAECF0"/>
      </bottom>
      <diagonal/>
    </border>
    <border>
      <left style="thin">
        <color rgb="FF2563EB"/>
      </left>
      <right/>
      <top style="thin">
        <color rgb="FFEAECF0"/>
      </top>
      <bottom style="thin">
        <color rgb="FFEAECF0"/>
      </bottom>
      <diagonal/>
    </border>
    <border>
      <left style="thin">
        <color rgb="FF2563EB"/>
      </left>
      <right/>
      <top style="thin">
        <color rgb="FFEAECF0"/>
      </top>
      <bottom style="thin">
        <color rgb="FF2563EB"/>
      </bottom>
      <diagonal/>
    </border>
    <border>
      <left/>
      <right/>
      <top style="thin">
        <color rgb="FFEAECF0"/>
      </top>
      <bottom style="thin">
        <color rgb="FF2563EB"/>
      </bottom>
      <diagonal/>
    </border>
    <border>
      <left/>
      <right/>
      <top/>
      <bottom style="thin">
        <color rgb="FFD0D5DD"/>
      </bottom>
      <diagonal/>
    </border>
    <border>
      <left/>
      <right/>
      <top style="thin">
        <color rgb="FFD0D5DD"/>
      </top>
      <bottom style="thin">
        <color rgb="FFD0D5DD"/>
      </bottom>
      <diagonal/>
    </border>
    <border>
      <left/>
      <right/>
      <top style="thin">
        <color rgb="FFD0D5DD"/>
      </top>
      <bottom/>
      <diagonal/>
    </border>
    <border>
      <left style="thin">
        <color rgb="FFD0D5DD"/>
      </left>
      <right style="thin">
        <color rgb="FFD0D5DD"/>
      </right>
      <top style="thin">
        <color rgb="FFD0D5DD"/>
      </top>
      <bottom/>
      <diagonal/>
    </border>
    <border>
      <left style="thin">
        <color rgb="FFD0D5DD"/>
      </left>
      <right style="thin">
        <color rgb="FFD0D5DD"/>
      </right>
      <top/>
      <bottom style="thin">
        <color rgb="FFD0D5DD"/>
      </bottom>
      <diagonal/>
    </border>
    <border>
      <left style="thin">
        <color rgb="FFD0D5DD"/>
      </left>
      <right/>
      <top style="thin">
        <color rgb="FFD0D5DD"/>
      </top>
      <bottom/>
      <diagonal/>
    </border>
    <border>
      <left/>
      <right style="thin">
        <color rgb="FFD0D5DD"/>
      </right>
      <top style="thin">
        <color rgb="FFD0D5DD"/>
      </top>
      <bottom/>
      <diagonal/>
    </border>
    <border>
      <left style="thin">
        <color rgb="FFD0D5DD"/>
      </left>
      <right/>
      <top/>
      <bottom/>
      <diagonal/>
    </border>
    <border>
      <left/>
      <right style="thin">
        <color rgb="FFD0D5DD"/>
      </right>
      <top/>
      <bottom/>
      <diagonal/>
    </border>
    <border>
      <left style="thin">
        <color rgb="FFD0D5DD"/>
      </left>
      <right/>
      <top/>
      <bottom style="thin">
        <color rgb="FFD0D5DD"/>
      </bottom>
      <diagonal/>
    </border>
    <border>
      <left/>
      <right style="thin">
        <color rgb="FFD0D5DD"/>
      </right>
      <top/>
      <bottom style="thin">
        <color rgb="FFD0D5DD"/>
      </bottom>
      <diagonal/>
    </border>
  </borders>
  <cellStyleXfs count="1">
    <xf numFmtId="0" fontId="0" fillId="0" borderId="0"/>
  </cellStyleXfs>
  <cellXfs count="97">
    <xf numFmtId="0" fontId="0" fillId="0" borderId="0" xfId="0"/>
    <xf numFmtId="0" fontId="1" fillId="0" borderId="0" xfId="0" applyNumberFormat="1" applyFont="1" applyFill="1" applyBorder="1"/>
    <xf numFmtId="0" fontId="4" fillId="4" borderId="1" xfId="0" applyNumberFormat="1" applyFont="1" applyFill="1" applyBorder="1" applyAlignment="1">
      <alignment horizontal="center" vertical="center" wrapText="1"/>
    </xf>
    <xf numFmtId="0" fontId="4" fillId="4" borderId="2" xfId="0" applyNumberFormat="1" applyFont="1" applyFill="1" applyBorder="1" applyAlignment="1">
      <alignment horizontal="center" vertical="center" wrapText="1"/>
    </xf>
    <xf numFmtId="0" fontId="1" fillId="5" borderId="0" xfId="0" applyNumberFormat="1" applyFont="1" applyFill="1" applyBorder="1"/>
    <xf numFmtId="164" fontId="1" fillId="5" borderId="0" xfId="0" applyNumberFormat="1" applyFont="1" applyFill="1" applyBorder="1"/>
    <xf numFmtId="0" fontId="4" fillId="4" borderId="3" xfId="0" applyNumberFormat="1" applyFont="1" applyFill="1" applyBorder="1" applyAlignment="1">
      <alignment horizontal="center" vertical="center" wrapText="1"/>
    </xf>
    <xf numFmtId="9" fontId="1" fillId="0" borderId="0" xfId="0" applyNumberFormat="1" applyFont="1" applyFill="1" applyBorder="1"/>
    <xf numFmtId="0" fontId="1" fillId="0" borderId="4" xfId="0" applyNumberFormat="1" applyFont="1" applyFill="1" applyBorder="1"/>
    <xf numFmtId="0" fontId="1" fillId="0" borderId="5" xfId="0" applyNumberFormat="1" applyFont="1" applyFill="1" applyBorder="1"/>
    <xf numFmtId="0" fontId="1" fillId="0" borderId="4" xfId="0" applyNumberFormat="1" applyFont="1" applyFill="1" applyBorder="1" applyAlignment="1">
      <alignment vertical="center"/>
    </xf>
    <xf numFmtId="0" fontId="1" fillId="0" borderId="5" xfId="0" applyNumberFormat="1" applyFont="1" applyFill="1" applyBorder="1" applyAlignment="1">
      <alignment vertical="center"/>
    </xf>
    <xf numFmtId="0" fontId="1" fillId="0" borderId="6" xfId="0" applyNumberFormat="1" applyFont="1" applyFill="1" applyBorder="1" applyAlignment="1">
      <alignment vertical="center"/>
    </xf>
    <xf numFmtId="0" fontId="7" fillId="5" borderId="7" xfId="0" applyNumberFormat="1" applyFont="1" applyFill="1" applyBorder="1"/>
    <xf numFmtId="0" fontId="7" fillId="5" borderId="8" xfId="0" applyNumberFormat="1" applyFont="1" applyFill="1" applyBorder="1"/>
    <xf numFmtId="164" fontId="1" fillId="0" borderId="0" xfId="0" applyNumberFormat="1" applyFont="1" applyFill="1" applyBorder="1"/>
    <xf numFmtId="0" fontId="1" fillId="5" borderId="4" xfId="0" applyNumberFormat="1" applyFont="1" applyFill="1" applyBorder="1"/>
    <xf numFmtId="165" fontId="1" fillId="5" borderId="4" xfId="0" applyNumberFormat="1" applyFont="1" applyFill="1" applyBorder="1"/>
    <xf numFmtId="164" fontId="1" fillId="0" borderId="4" xfId="0" applyNumberFormat="1" applyFont="1" applyFill="1" applyBorder="1"/>
    <xf numFmtId="166" fontId="1" fillId="0" borderId="4" xfId="0" applyNumberFormat="1" applyFont="1" applyFill="1" applyBorder="1"/>
    <xf numFmtId="0" fontId="1" fillId="5" borderId="5" xfId="0" applyNumberFormat="1" applyFont="1" applyFill="1" applyBorder="1"/>
    <xf numFmtId="165" fontId="1" fillId="5" borderId="5" xfId="0" applyNumberFormat="1" applyFont="1" applyFill="1" applyBorder="1"/>
    <xf numFmtId="164" fontId="1" fillId="0" borderId="5" xfId="0" applyNumberFormat="1" applyFont="1" applyFill="1" applyBorder="1"/>
    <xf numFmtId="166" fontId="1" fillId="0" borderId="5" xfId="0" applyNumberFormat="1" applyFont="1" applyFill="1" applyBorder="1"/>
    <xf numFmtId="0" fontId="0" fillId="5" borderId="5" xfId="0" applyNumberFormat="1" applyFont="1" applyFill="1" applyBorder="1"/>
    <xf numFmtId="165" fontId="0" fillId="5" borderId="5" xfId="0" applyNumberFormat="1" applyFont="1" applyFill="1" applyBorder="1"/>
    <xf numFmtId="0" fontId="0" fillId="0" borderId="5" xfId="0" applyNumberFormat="1" applyFont="1" applyFill="1" applyBorder="1"/>
    <xf numFmtId="164" fontId="0" fillId="0" borderId="5" xfId="0" applyNumberFormat="1" applyFont="1" applyFill="1" applyBorder="1"/>
    <xf numFmtId="166" fontId="0" fillId="0" borderId="5" xfId="0" applyNumberFormat="1" applyFont="1" applyFill="1" applyBorder="1"/>
    <xf numFmtId="0" fontId="0" fillId="5" borderId="9" xfId="0" applyNumberFormat="1" applyFont="1" applyFill="1" applyBorder="1"/>
    <xf numFmtId="165" fontId="0" fillId="5" borderId="9" xfId="0" applyNumberFormat="1" applyFont="1" applyFill="1" applyBorder="1"/>
    <xf numFmtId="0" fontId="0" fillId="0" borderId="9" xfId="0" applyNumberFormat="1" applyFont="1" applyFill="1" applyBorder="1"/>
    <xf numFmtId="164" fontId="0" fillId="0" borderId="9" xfId="0" applyNumberFormat="1" applyFont="1" applyFill="1" applyBorder="1"/>
    <xf numFmtId="166" fontId="0" fillId="0" borderId="9" xfId="0" applyNumberFormat="1" applyFont="1" applyFill="1" applyBorder="1"/>
    <xf numFmtId="0" fontId="4" fillId="4"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vertical="center" wrapText="1"/>
    </xf>
    <xf numFmtId="0" fontId="1" fillId="0" borderId="12" xfId="0" applyNumberFormat="1" applyFont="1" applyFill="1" applyBorder="1"/>
    <xf numFmtId="9" fontId="1" fillId="0" borderId="5" xfId="0" applyNumberFormat="1" applyFont="1" applyFill="1" applyBorder="1"/>
    <xf numFmtId="0" fontId="1" fillId="0" borderId="13" xfId="0" applyNumberFormat="1" applyFont="1" applyFill="1" applyBorder="1"/>
    <xf numFmtId="0" fontId="1" fillId="0" borderId="14" xfId="0" applyNumberFormat="1" applyFont="1" applyFill="1" applyBorder="1"/>
    <xf numFmtId="164" fontId="1" fillId="0" borderId="14" xfId="0" applyNumberFormat="1" applyFont="1" applyFill="1" applyBorder="1"/>
    <xf numFmtId="9" fontId="1" fillId="0" borderId="14" xfId="0" applyNumberFormat="1" applyFont="1" applyFill="1" applyBorder="1"/>
    <xf numFmtId="0" fontId="1" fillId="0" borderId="15" xfId="0" applyNumberFormat="1" applyFont="1" applyFill="1" applyBorder="1"/>
    <xf numFmtId="0" fontId="1" fillId="0" borderId="16" xfId="0" applyNumberFormat="1" applyFont="1" applyFill="1" applyBorder="1"/>
    <xf numFmtId="0" fontId="1" fillId="0" borderId="17" xfId="0" applyNumberFormat="1" applyFont="1" applyFill="1" applyBorder="1"/>
    <xf numFmtId="0" fontId="1" fillId="0" borderId="0" xfId="0" applyNumberFormat="1" applyFont="1" applyFill="1" applyBorder="1" applyAlignment="1">
      <alignment vertical="center"/>
    </xf>
    <xf numFmtId="0" fontId="7" fillId="5" borderId="18" xfId="0" applyNumberFormat="1" applyFont="1" applyFill="1" applyBorder="1" applyAlignment="1">
      <alignment vertical="center"/>
    </xf>
    <xf numFmtId="165" fontId="7" fillId="5" borderId="19" xfId="0" applyNumberFormat="1" applyFont="1" applyFill="1" applyBorder="1" applyAlignment="1">
      <alignment vertical="center"/>
    </xf>
    <xf numFmtId="0" fontId="7" fillId="5" borderId="19" xfId="0" applyNumberFormat="1" applyFont="1" applyFill="1" applyBorder="1" applyAlignment="1">
      <alignment vertical="center"/>
    </xf>
    <xf numFmtId="164" fontId="1" fillId="0" borderId="0" xfId="0" applyNumberFormat="1" applyFont="1" applyFill="1" applyBorder="1" applyAlignment="1">
      <alignment vertical="center"/>
    </xf>
    <xf numFmtId="0" fontId="1" fillId="0" borderId="0" xfId="0" applyNumberFormat="1" applyFont="1" applyFill="1" applyBorder="1" applyAlignment="1">
      <alignment horizontal="center" vertical="center" wrapText="1"/>
    </xf>
    <xf numFmtId="0" fontId="1" fillId="0" borderId="0" xfId="0" applyNumberFormat="1" applyFont="1" applyFill="1" applyBorder="1" applyAlignment="1">
      <alignment horizontal="center" vertical="center"/>
    </xf>
    <xf numFmtId="0" fontId="9" fillId="12" borderId="7" xfId="0" applyNumberFormat="1" applyFont="1" applyFill="1" applyBorder="1" applyAlignment="1">
      <alignment vertical="center"/>
    </xf>
    <xf numFmtId="0" fontId="9" fillId="12" borderId="16" xfId="0" applyNumberFormat="1" applyFont="1" applyFill="1" applyBorder="1" applyAlignment="1">
      <alignment vertical="center"/>
    </xf>
    <xf numFmtId="0" fontId="9" fillId="12" borderId="8" xfId="0" applyNumberFormat="1" applyFont="1" applyFill="1" applyBorder="1" applyAlignment="1">
      <alignment vertical="center"/>
    </xf>
    <xf numFmtId="0" fontId="2" fillId="2" borderId="0" xfId="0" applyNumberFormat="1" applyFont="1" applyFill="1" applyBorder="1" applyAlignment="1">
      <alignment horizontal="left" vertical="center"/>
    </xf>
    <xf numFmtId="0" fontId="3" fillId="3" borderId="0" xfId="0" applyNumberFormat="1" applyFont="1" applyFill="1" applyBorder="1" applyAlignment="1">
      <alignment vertical="center"/>
    </xf>
    <xf numFmtId="0" fontId="4" fillId="4" borderId="0" xfId="0" applyNumberFormat="1" applyFont="1" applyFill="1" applyBorder="1" applyAlignment="1">
      <alignment horizontal="center" vertical="center"/>
    </xf>
    <xf numFmtId="164" fontId="8" fillId="7" borderId="20" xfId="0" applyNumberFormat="1" applyFont="1" applyFill="1" applyBorder="1" applyAlignment="1">
      <alignment horizontal="center" vertical="center"/>
    </xf>
    <xf numFmtId="164" fontId="8" fillId="7" borderId="17" xfId="0" applyNumberFormat="1" applyFont="1" applyFill="1" applyBorder="1" applyAlignment="1">
      <alignment horizontal="center" vertical="center"/>
    </xf>
    <xf numFmtId="164" fontId="8" fillId="7" borderId="21" xfId="0" applyNumberFormat="1" applyFont="1" applyFill="1" applyBorder="1" applyAlignment="1">
      <alignment horizontal="center" vertical="center"/>
    </xf>
    <xf numFmtId="164" fontId="8" fillId="7" borderId="22" xfId="0" applyNumberFormat="1" applyFont="1" applyFill="1" applyBorder="1" applyAlignment="1">
      <alignment horizontal="center" vertical="center"/>
    </xf>
    <xf numFmtId="164" fontId="8" fillId="7" borderId="0" xfId="0" applyNumberFormat="1" applyFont="1" applyFill="1" applyBorder="1" applyAlignment="1">
      <alignment horizontal="center" vertical="center"/>
    </xf>
    <xf numFmtId="164" fontId="8" fillId="7" borderId="23" xfId="0" applyNumberFormat="1" applyFont="1" applyFill="1" applyBorder="1" applyAlignment="1">
      <alignment horizontal="center" vertical="center"/>
    </xf>
    <xf numFmtId="164" fontId="8" fillId="7" borderId="24" xfId="0" applyNumberFormat="1" applyFont="1" applyFill="1" applyBorder="1" applyAlignment="1">
      <alignment horizontal="center" vertical="center"/>
    </xf>
    <xf numFmtId="164" fontId="8" fillId="7" borderId="15" xfId="0" applyNumberFormat="1" applyFont="1" applyFill="1" applyBorder="1" applyAlignment="1">
      <alignment horizontal="center" vertical="center"/>
    </xf>
    <xf numFmtId="164" fontId="8" fillId="7" borderId="25" xfId="0" applyNumberFormat="1" applyFont="1" applyFill="1" applyBorder="1" applyAlignment="1">
      <alignment horizontal="center" vertical="center"/>
    </xf>
    <xf numFmtId="0" fontId="4" fillId="8" borderId="0" xfId="0" applyNumberFormat="1" applyFont="1" applyFill="1" applyBorder="1" applyAlignment="1">
      <alignment horizontal="center" vertical="center"/>
    </xf>
    <xf numFmtId="0" fontId="4" fillId="9" borderId="0" xfId="0" applyNumberFormat="1" applyFont="1" applyFill="1" applyBorder="1" applyAlignment="1">
      <alignment horizontal="center" vertical="center"/>
    </xf>
    <xf numFmtId="0" fontId="4" fillId="10" borderId="0" xfId="0" applyNumberFormat="1" applyFont="1" applyFill="1" applyBorder="1" applyAlignment="1">
      <alignment horizontal="center" vertical="center"/>
    </xf>
    <xf numFmtId="1" fontId="8" fillId="7" borderId="20" xfId="0" applyNumberFormat="1" applyFont="1" applyFill="1" applyBorder="1" applyAlignment="1">
      <alignment horizontal="center" vertical="center"/>
    </xf>
    <xf numFmtId="1" fontId="8" fillId="7" borderId="17" xfId="0" applyNumberFormat="1" applyFont="1" applyFill="1" applyBorder="1" applyAlignment="1">
      <alignment horizontal="center" vertical="center"/>
    </xf>
    <xf numFmtId="1" fontId="8" fillId="7" borderId="21" xfId="0" applyNumberFormat="1" applyFont="1" applyFill="1" applyBorder="1" applyAlignment="1">
      <alignment horizontal="center" vertical="center"/>
    </xf>
    <xf numFmtId="1" fontId="8" fillId="7" borderId="22" xfId="0" applyNumberFormat="1" applyFont="1" applyFill="1" applyBorder="1" applyAlignment="1">
      <alignment horizontal="center" vertical="center"/>
    </xf>
    <xf numFmtId="1" fontId="8" fillId="7" borderId="0" xfId="0" applyNumberFormat="1" applyFont="1" applyFill="1" applyBorder="1" applyAlignment="1">
      <alignment horizontal="center" vertical="center"/>
    </xf>
    <xf numFmtId="1" fontId="8" fillId="7" borderId="23" xfId="0" applyNumberFormat="1" applyFont="1" applyFill="1" applyBorder="1" applyAlignment="1">
      <alignment horizontal="center" vertical="center"/>
    </xf>
    <xf numFmtId="1" fontId="8" fillId="7" borderId="24" xfId="0" applyNumberFormat="1" applyFont="1" applyFill="1" applyBorder="1" applyAlignment="1">
      <alignment horizontal="center" vertical="center"/>
    </xf>
    <xf numFmtId="1" fontId="8" fillId="7" borderId="15" xfId="0" applyNumberFormat="1" applyFont="1" applyFill="1" applyBorder="1" applyAlignment="1">
      <alignment horizontal="center" vertical="center"/>
    </xf>
    <xf numFmtId="1" fontId="8" fillId="7" borderId="25" xfId="0" applyNumberFormat="1" applyFont="1" applyFill="1" applyBorder="1" applyAlignment="1">
      <alignment horizontal="center" vertical="center"/>
    </xf>
    <xf numFmtId="0" fontId="4" fillId="11" borderId="0" xfId="0" applyNumberFormat="1" applyFont="1" applyFill="1" applyBorder="1" applyAlignment="1">
      <alignment horizontal="center" vertical="center"/>
    </xf>
    <xf numFmtId="0" fontId="6" fillId="3" borderId="0" xfId="0" applyNumberFormat="1" applyFont="1" applyFill="1" applyBorder="1" applyAlignment="1">
      <alignment vertical="center" wrapText="1"/>
    </xf>
    <xf numFmtId="0" fontId="4" fillId="4" borderId="0" xfId="0" applyNumberFormat="1" applyFont="1" applyFill="1" applyBorder="1" applyAlignment="1">
      <alignment horizontal="center"/>
    </xf>
    <xf numFmtId="0" fontId="10" fillId="7" borderId="20" xfId="0" applyNumberFormat="1" applyFont="1" applyFill="1" applyBorder="1" applyAlignment="1">
      <alignment horizontal="center" vertical="center"/>
    </xf>
    <xf numFmtId="0" fontId="10" fillId="7" borderId="17" xfId="0" applyNumberFormat="1" applyFont="1" applyFill="1" applyBorder="1" applyAlignment="1">
      <alignment horizontal="center" vertical="center"/>
    </xf>
    <xf numFmtId="0" fontId="10" fillId="7" borderId="21" xfId="0" applyNumberFormat="1" applyFont="1" applyFill="1" applyBorder="1" applyAlignment="1">
      <alignment horizontal="center" vertical="center"/>
    </xf>
    <xf numFmtId="0" fontId="10" fillId="7" borderId="24" xfId="0" applyNumberFormat="1" applyFont="1" applyFill="1" applyBorder="1" applyAlignment="1">
      <alignment horizontal="center" vertical="center"/>
    </xf>
    <xf numFmtId="0" fontId="10" fillId="7" borderId="15" xfId="0" applyNumberFormat="1" applyFont="1" applyFill="1" applyBorder="1" applyAlignment="1">
      <alignment horizontal="center" vertical="center"/>
    </xf>
    <xf numFmtId="0" fontId="10" fillId="7" borderId="25" xfId="0" applyNumberFormat="1" applyFont="1" applyFill="1" applyBorder="1" applyAlignment="1">
      <alignment horizontal="center" vertical="center"/>
    </xf>
    <xf numFmtId="0" fontId="4" fillId="8" borderId="0" xfId="0" applyNumberFormat="1" applyFont="1" applyFill="1" applyBorder="1" applyAlignment="1">
      <alignment horizontal="center"/>
    </xf>
    <xf numFmtId="0" fontId="4" fillId="13" borderId="0" xfId="0" applyNumberFormat="1" applyFont="1" applyFill="1" applyBorder="1" applyAlignment="1">
      <alignment horizontal="center"/>
    </xf>
    <xf numFmtId="0" fontId="8" fillId="7" borderId="20" xfId="0" applyNumberFormat="1" applyFont="1" applyFill="1" applyBorder="1" applyAlignment="1">
      <alignment horizontal="center" vertical="center"/>
    </xf>
    <xf numFmtId="0" fontId="8" fillId="7" borderId="17" xfId="0" applyNumberFormat="1" applyFont="1" applyFill="1" applyBorder="1" applyAlignment="1">
      <alignment horizontal="center" vertical="center"/>
    </xf>
    <xf numFmtId="0" fontId="8" fillId="7" borderId="21" xfId="0" applyNumberFormat="1" applyFont="1" applyFill="1" applyBorder="1" applyAlignment="1">
      <alignment horizontal="center" vertical="center"/>
    </xf>
    <xf numFmtId="0" fontId="8" fillId="7" borderId="24" xfId="0" applyNumberFormat="1" applyFont="1" applyFill="1" applyBorder="1" applyAlignment="1">
      <alignment horizontal="center" vertical="center"/>
    </xf>
    <xf numFmtId="0" fontId="8" fillId="7" borderId="15" xfId="0" applyNumberFormat="1" applyFont="1" applyFill="1" applyBorder="1" applyAlignment="1">
      <alignment horizontal="center" vertical="center"/>
    </xf>
    <xf numFmtId="0" fontId="8" fillId="7" borderId="25" xfId="0" applyNumberFormat="1" applyFont="1" applyFill="1" applyBorder="1" applyAlignment="1">
      <alignment horizontal="center" vertical="center"/>
    </xf>
    <xf numFmtId="0" fontId="5" fillId="6" borderId="0" xfId="0" applyNumberFormat="1" applyFont="1" applyFill="1" applyBorder="1" applyAlignment="1">
      <alignment vertical="center" wrapText="1"/>
    </xf>
  </cellXfs>
  <cellStyles count="1">
    <cellStyle name="Normal" xfId="0" builtinId="0"/>
  </cellStyles>
  <dxfs count="20">
    <dxf>
      <font>
        <b/>
        <color rgb="FFDC2626"/>
      </font>
      <fill>
        <patternFill patternType="solid">
          <bgColor rgb="FFFEE2E2"/>
        </patternFill>
      </fill>
    </dxf>
    <dxf>
      <font>
        <b/>
        <color rgb="FFDC2626"/>
      </font>
      <fill>
        <patternFill patternType="solid">
          <bgColor rgb="FFFEE2E2"/>
        </patternFill>
      </fill>
    </dxf>
    <dxf>
      <font>
        <b/>
        <color rgb="FF92400E"/>
      </font>
      <fill>
        <patternFill patternType="solid">
          <bgColor rgb="FFFEF3C7"/>
        </patternFill>
      </fill>
    </dxf>
    <dxf>
      <font>
        <b/>
        <color rgb="FF16A34A"/>
      </font>
      <fill>
        <patternFill patternType="solid">
          <bgColor rgb="FFDCFCE7"/>
        </patternFill>
      </fill>
    </dxf>
    <dxf>
      <font>
        <b/>
        <color rgb="FFDC2626"/>
      </font>
      <fill>
        <patternFill patternType="solid">
          <bgColor rgb="FFFEE2E2"/>
        </patternFill>
      </fill>
    </dxf>
    <dxf>
      <font>
        <b/>
        <color rgb="FF92400E"/>
      </font>
      <fill>
        <patternFill patternType="solid">
          <bgColor rgb="FFFEF3C7"/>
        </patternFill>
      </fill>
    </dxf>
    <dxf>
      <font>
        <b/>
        <color rgb="FF16A34A"/>
      </font>
      <fill>
        <patternFill patternType="solid">
          <bgColor rgb="FFDCFCE7"/>
        </patternFill>
      </fill>
    </dxf>
    <dxf>
      <font>
        <b/>
        <color rgb="FFDC2626"/>
      </font>
      <fill>
        <patternFill patternType="solid">
          <bgColor rgb="FFFEE2E2"/>
        </patternFill>
      </fill>
    </dxf>
    <dxf>
      <font>
        <b/>
        <color rgb="FF92400E"/>
      </font>
      <fill>
        <patternFill patternType="solid">
          <bgColor rgb="FFFEF3C7"/>
        </patternFill>
      </fill>
    </dxf>
    <dxf>
      <font>
        <b/>
        <color rgb="FF16A34A"/>
      </font>
      <fill>
        <patternFill patternType="solid">
          <bgColor rgb="FFDCFCE7"/>
        </patternFill>
      </fill>
    </dxf>
    <dxf>
      <font>
        <b/>
        <color rgb="FFDC2626"/>
      </font>
      <fill>
        <patternFill patternType="solid">
          <bgColor rgb="FFFEE2E2"/>
        </patternFill>
      </fill>
    </dxf>
    <dxf>
      <font>
        <b/>
        <color rgb="FF92400E"/>
      </font>
      <fill>
        <patternFill patternType="solid">
          <bgColor rgb="FFFEF3C7"/>
        </patternFill>
      </fill>
    </dxf>
    <dxf>
      <font>
        <b/>
        <color rgb="FF16A34A"/>
      </font>
      <fill>
        <patternFill patternType="solid">
          <bgColor rgb="FFDCFCE7"/>
        </patternFill>
      </fill>
    </dxf>
    <dxf>
      <font>
        <b/>
        <color rgb="FFDC2626"/>
      </font>
      <fill>
        <patternFill patternType="solid">
          <bgColor rgb="FFFEE2E2"/>
        </patternFill>
      </fill>
    </dxf>
    <dxf>
      <font>
        <b/>
        <color rgb="FF92400E"/>
      </font>
      <fill>
        <patternFill patternType="solid">
          <bgColor rgb="FFFEF3C7"/>
        </patternFill>
      </fill>
    </dxf>
    <dxf>
      <font>
        <b/>
        <color rgb="FF16A34A"/>
      </font>
      <fill>
        <patternFill patternType="solid">
          <bgColor rgb="FFDCFCE7"/>
        </patternFill>
      </fill>
    </dxf>
    <dxf>
      <font>
        <b/>
        <color rgb="FFDC2626"/>
      </font>
      <fill>
        <patternFill patternType="solid">
          <bgColor rgb="FFFEE2E2"/>
        </patternFill>
      </fill>
    </dxf>
    <dxf>
      <font>
        <b/>
        <color rgb="FF92400E"/>
      </font>
      <fill>
        <patternFill patternType="solid">
          <bgColor rgb="FFFEF3C7"/>
        </patternFill>
      </fill>
    </dxf>
    <dxf>
      <font>
        <b/>
        <color rgb="FF16A34A"/>
      </font>
      <fill>
        <patternFill patternType="solid">
          <bgColor rgb="FFDCFCE7"/>
        </patternFill>
      </fill>
    </dxf>
    <dxf>
      <font>
        <b/>
        <color rgb="FFDC2626"/>
      </font>
      <fill>
        <patternFill patternType="solid">
          <bgColor rgb="FFFEE2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ID"/>
              <a:t>Target vs Aktual per Divisi</a:t>
            </a:r>
          </a:p>
        </c:rich>
      </c:tx>
      <c:overlay val="1"/>
    </c:title>
    <c:autoTitleDeleted val="0"/>
    <c:plotArea>
      <c:layout/>
      <c:barChart>
        <c:barDir val="col"/>
        <c:grouping val="clustered"/>
        <c:varyColors val="0"/>
        <c:ser>
          <c:idx val="0"/>
          <c:order val="0"/>
          <c:tx>
            <c:v>Target</c:v>
          </c:tx>
          <c:invertIfNegative val="1"/>
          <c:cat>
            <c:strRef>
              <c:f>'01_Dashboard'!$A$14:$A$19</c:f>
              <c:strCache>
                <c:ptCount val="6"/>
                <c:pt idx="0">
                  <c:v>Produksi</c:v>
                </c:pt>
                <c:pt idx="1">
                  <c:v>Marketing</c:v>
                </c:pt>
                <c:pt idx="2">
                  <c:v>Admin</c:v>
                </c:pt>
                <c:pt idx="3">
                  <c:v>Design</c:v>
                </c:pt>
                <c:pt idx="4">
                  <c:v>HR</c:v>
                </c:pt>
                <c:pt idx="5">
                  <c:v>Finance</c:v>
                </c:pt>
              </c:strCache>
            </c:strRef>
          </c:cat>
          <c:val>
            <c:numRef>
              <c:f>'01_Dashboard'!$B$14:$B$19</c:f>
              <c:numCache>
                <c:formatCode>0.0%</c:formatCode>
                <c:ptCount val="6"/>
                <c:pt idx="0">
                  <c:v>0.85</c:v>
                </c:pt>
                <c:pt idx="1">
                  <c:v>0.85</c:v>
                </c:pt>
                <c:pt idx="2">
                  <c:v>0.85</c:v>
                </c:pt>
                <c:pt idx="3">
                  <c:v>0.85</c:v>
                </c:pt>
                <c:pt idx="4">
                  <c:v>0.85</c:v>
                </c:pt>
                <c:pt idx="5">
                  <c:v>0.85</c:v>
                </c:pt>
              </c:numCache>
            </c:numRef>
          </c:val>
          <c:extLst>
            <c:ext xmlns:c16="http://schemas.microsoft.com/office/drawing/2014/chart" uri="{C3380CC4-5D6E-409C-BE32-E72D297353CC}">
              <c16:uniqueId val="{00000000-7598-42F2-BDFC-1D44FFDD885A}"/>
            </c:ext>
          </c:extLst>
        </c:ser>
        <c:ser>
          <c:idx val="1"/>
          <c:order val="1"/>
          <c:tx>
            <c:v>Aktual</c:v>
          </c:tx>
          <c:invertIfNegative val="1"/>
          <c:cat>
            <c:strRef>
              <c:f>'01_Dashboard'!$A$14:$A$19</c:f>
              <c:strCache>
                <c:ptCount val="6"/>
                <c:pt idx="0">
                  <c:v>Produksi</c:v>
                </c:pt>
                <c:pt idx="1">
                  <c:v>Marketing</c:v>
                </c:pt>
                <c:pt idx="2">
                  <c:v>Admin</c:v>
                </c:pt>
                <c:pt idx="3">
                  <c:v>Design</c:v>
                </c:pt>
                <c:pt idx="4">
                  <c:v>HR</c:v>
                </c:pt>
                <c:pt idx="5">
                  <c:v>Finance</c:v>
                </c:pt>
              </c:strCache>
            </c:strRef>
          </c:cat>
          <c:val>
            <c:numRef>
              <c:f>'01_Dashboard'!$C$14:$C$19</c:f>
              <c:numCache>
                <c:formatCode>0.0%</c:formatCode>
                <c:ptCount val="6"/>
                <c:pt idx="0">
                  <c:v>0.88661917293233072</c:v>
                </c:pt>
                <c:pt idx="1">
                  <c:v>0.87285000000000013</c:v>
                </c:pt>
                <c:pt idx="2">
                  <c:v>0.86655967295459135</c:v>
                </c:pt>
                <c:pt idx="3">
                  <c:v>0.84052982456140357</c:v>
                </c:pt>
                <c:pt idx="4">
                  <c:v>0.91795555555555541</c:v>
                </c:pt>
                <c:pt idx="5">
                  <c:v>0.84374678317519525</c:v>
                </c:pt>
              </c:numCache>
            </c:numRef>
          </c:val>
          <c:extLst>
            <c:ext xmlns:c16="http://schemas.microsoft.com/office/drawing/2014/chart" uri="{C3380CC4-5D6E-409C-BE32-E72D297353CC}">
              <c16:uniqueId val="{00000001-7598-42F2-BDFC-1D44FFDD885A}"/>
            </c:ext>
          </c:extLst>
        </c:ser>
        <c:dLbls>
          <c:showLegendKey val="0"/>
          <c:showVal val="0"/>
          <c:showCatName val="0"/>
          <c:showSerName val="0"/>
          <c:showPercent val="0"/>
          <c:showBubbleSize val="0"/>
        </c:dLbls>
        <c:gapWidth val="150"/>
        <c:axId val="48650112"/>
        <c:axId val="48672768"/>
      </c:barChart>
      <c:catAx>
        <c:axId val="48650112"/>
        <c:scaling>
          <c:orientation val="minMax"/>
        </c:scaling>
        <c:delete val="0"/>
        <c:axPos val="b"/>
        <c:majorGridlines>
          <c:spPr>
            <a:ln w="9525">
              <a:solidFill>
                <a:srgbClr val="CCCCCC"/>
              </a:solidFill>
              <a:prstDash val="dash"/>
            </a:ln>
          </c:spPr>
        </c:majorGridlines>
        <c:numFmt formatCode="General" sourceLinked="1"/>
        <c:majorTickMark val="none"/>
        <c:minorTickMark val="none"/>
        <c:tickLblPos val="nextTo"/>
        <c:crossAx val="48672768"/>
        <c:crosses val="autoZero"/>
        <c:auto val="1"/>
        <c:lblAlgn val="ctr"/>
        <c:lblOffset val="100"/>
        <c:noMultiLvlLbl val="0"/>
      </c:catAx>
      <c:valAx>
        <c:axId val="48672768"/>
        <c:scaling>
          <c:orientation val="minMax"/>
          <c:max val="1"/>
          <c:min val="0"/>
        </c:scaling>
        <c:delete val="0"/>
        <c:axPos val="l"/>
        <c:majorGridlines>
          <c:spPr>
            <a:ln w="9525">
              <a:solidFill>
                <a:srgbClr val="CCCCCC"/>
              </a:solidFill>
              <a:prstDash val="dash"/>
            </a:ln>
          </c:spPr>
        </c:majorGridlines>
        <c:numFmt formatCode="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ID"/>
              <a:t>Komposisi Grade</a:t>
            </a:r>
          </a:p>
        </c:rich>
      </c:tx>
      <c:overlay val="1"/>
    </c:title>
    <c:autoTitleDeleted val="0"/>
    <c:plotArea>
      <c:layout/>
      <c:doughnutChart>
        <c:varyColors val="1"/>
        <c:ser>
          <c:idx val="0"/>
          <c:order val="0"/>
          <c:tx>
            <c:v>Jumlah</c:v>
          </c:tx>
          <c:cat>
            <c:strRef>
              <c:f>'01_Dashboard'!$I$14:$I$18</c:f>
              <c:strCache>
                <c:ptCount val="5"/>
                <c:pt idx="0">
                  <c:v>A</c:v>
                </c:pt>
                <c:pt idx="1">
                  <c:v>B</c:v>
                </c:pt>
                <c:pt idx="2">
                  <c:v>C</c:v>
                </c:pt>
                <c:pt idx="3">
                  <c:v>D</c:v>
                </c:pt>
                <c:pt idx="4">
                  <c:v>E</c:v>
                </c:pt>
              </c:strCache>
            </c:strRef>
          </c:cat>
          <c:val>
            <c:numRef>
              <c:f>'01_Dashboard'!$J$14:$J$18</c:f>
              <c:numCache>
                <c:formatCode>General</c:formatCode>
                <c:ptCount val="5"/>
                <c:pt idx="0">
                  <c:v>0</c:v>
                </c:pt>
                <c:pt idx="1">
                  <c:v>6</c:v>
                </c:pt>
                <c:pt idx="2">
                  <c:v>3</c:v>
                </c:pt>
                <c:pt idx="3">
                  <c:v>0</c:v>
                </c:pt>
                <c:pt idx="4">
                  <c:v>0</c:v>
                </c:pt>
              </c:numCache>
            </c:numRef>
          </c:val>
          <c:extLst>
            <c:ext xmlns:c16="http://schemas.microsoft.com/office/drawing/2014/chart" uri="{C3380CC4-5D6E-409C-BE32-E72D297353CC}">
              <c16:uniqueId val="{00000000-84E6-4A56-9F00-45B91AAC4435}"/>
            </c:ext>
          </c:extLst>
        </c:ser>
        <c:dLbls>
          <c:showLegendKey val="0"/>
          <c:showVal val="0"/>
          <c:showCatName val="0"/>
          <c:showSerName val="0"/>
          <c:showPercent val="0"/>
          <c:showBubbleSize val="0"/>
          <c:showLeaderLines val="1"/>
        </c:dLbls>
        <c:firstSliceAng val="0"/>
        <c:holeSize val="0"/>
      </c:doughnutChart>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rPr lang="en-ID"/>
              <a:t>Trend Overall KPI</a:t>
            </a:r>
          </a:p>
        </c:rich>
      </c:tx>
      <c:overlay val="1"/>
    </c:title>
    <c:autoTitleDeleted val="0"/>
    <c:plotArea>
      <c:layout/>
      <c:lineChart>
        <c:grouping val="standard"/>
        <c:varyColors val="1"/>
        <c:ser>
          <c:idx val="0"/>
          <c:order val="0"/>
          <c:tx>
            <c:v>Target</c:v>
          </c:tx>
          <c:marker>
            <c:symbol val="none"/>
          </c:marker>
          <c:cat>
            <c:strRef>
              <c:f>'01_Dashboard'!$A$25:$A$36</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'01_Dashboard'!$B$25:$B$36</c:f>
              <c:numCache>
                <c:formatCode>0.0%</c:formatCode>
                <c:ptCount val="12"/>
                <c:pt idx="0">
                  <c:v>0.85</c:v>
                </c:pt>
                <c:pt idx="1">
                  <c:v>0.85</c:v>
                </c:pt>
                <c:pt idx="2">
                  <c:v>0.85</c:v>
                </c:pt>
                <c:pt idx="3">
                  <c:v>0.85</c:v>
                </c:pt>
                <c:pt idx="4">
                  <c:v>0.85</c:v>
                </c:pt>
                <c:pt idx="5">
                  <c:v>0.85</c:v>
                </c:pt>
                <c:pt idx="6">
                  <c:v>0.85</c:v>
                </c:pt>
                <c:pt idx="7">
                  <c:v>0.85</c:v>
                </c:pt>
                <c:pt idx="8">
                  <c:v>0.85</c:v>
                </c:pt>
                <c:pt idx="9">
                  <c:v>0.85</c:v>
                </c:pt>
                <c:pt idx="10">
                  <c:v>0.85</c:v>
                </c:pt>
                <c:pt idx="11">
                  <c:v>0.85</c:v>
                </c:pt>
              </c:numCache>
            </c:numRef>
          </c:val>
          <c:smooth val="1"/>
          <c:extLst>
            <c:ext xmlns:c16="http://schemas.microsoft.com/office/drawing/2014/chart" uri="{C3380CC4-5D6E-409C-BE32-E72D297353CC}">
              <c16:uniqueId val="{00000000-1284-4E9A-ACFE-1FBC45267A83}"/>
            </c:ext>
          </c:extLst>
        </c:ser>
        <c:ser>
          <c:idx val="1"/>
          <c:order val="1"/>
          <c:tx>
            <c:v>Aktual</c:v>
          </c:tx>
          <c:marker>
            <c:symbol val="none"/>
          </c:marker>
          <c:cat>
            <c:strRef>
              <c:f>'01_Dashboard'!$A$25:$A$36</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'01_Dashboard'!$C$25:$C$36</c:f>
              <c:numCache>
                <c:formatCode>0.0%</c:formatCode>
                <c:ptCount val="12"/>
                <c:pt idx="0">
                  <c:v>0.77623640097807856</c:v>
                </c:pt>
                <c:pt idx="1">
                  <c:v>0.81527369826475959</c:v>
                </c:pt>
                <c:pt idx="2">
                  <c:v>0.83609859596974556</c:v>
                </c:pt>
                <c:pt idx="3">
                  <c:v>0.86582809428158147</c:v>
                </c:pt>
                <c:pt idx="4">
                  <c:v>0.85593202145661673</c:v>
                </c:pt>
                <c:pt idx="5">
                  <c:v>0.88623345703462897</c:v>
                </c:pt>
                <c:pt idx="6">
                  <c:v>0.90576910651369624</c:v>
                </c:pt>
                <c:pt idx="7">
                  <c:v>0.87186788990878639</c:v>
                </c:pt>
                <c:pt idx="8">
                  <c:v>0</c:v>
                </c:pt>
                <c:pt idx="9">
                  <c:v>0</c:v>
                </c:pt>
                <c:pt idx="10">
                  <c:v>0</c:v>
                </c:pt>
                <c:pt idx="11">
                  <c:v>0</c:v>
                </c:pt>
              </c:numCache>
            </c:numRef>
          </c:val>
          <c:smooth val="1"/>
          <c:extLst>
            <c:ext xmlns:c16="http://schemas.microsoft.com/office/drawing/2014/chart" uri="{C3380CC4-5D6E-409C-BE32-E72D297353CC}">
              <c16:uniqueId val="{00000001-1284-4E9A-ACFE-1FBC45267A83}"/>
            </c:ext>
          </c:extLst>
        </c:ser>
        <c:dLbls>
          <c:showLegendKey val="0"/>
          <c:showVal val="0"/>
          <c:showCatName val="0"/>
          <c:showSerName val="0"/>
          <c:showPercent val="0"/>
          <c:showBubbleSize val="0"/>
        </c:dLbls>
        <c:smooth val="0"/>
        <c:axId val="48650112"/>
        <c:axId val="48672768"/>
      </c:lineChart>
      <c:catAx>
        <c:axId val="48650112"/>
        <c:scaling>
          <c:orientation val="minMax"/>
        </c:scaling>
        <c:delete val="0"/>
        <c:axPos val="b"/>
        <c:majorGridlines>
          <c:spPr>
            <a:ln w="9525">
              <a:solidFill>
                <a:srgbClr val="CCCCCC"/>
              </a:solidFill>
              <a:prstDash val="dash"/>
            </a:ln>
          </c:spPr>
        </c:majorGridlines>
        <c:numFmt formatCode="General" sourceLinked="1"/>
        <c:majorTickMark val="none"/>
        <c:minorTickMark val="none"/>
        <c:tickLblPos val="nextTo"/>
        <c:crossAx val="48672768"/>
        <c:crosses val="autoZero"/>
        <c:auto val="1"/>
        <c:lblAlgn val="ctr"/>
        <c:lblOffset val="100"/>
        <c:noMultiLvlLbl val="0"/>
      </c:catAx>
      <c:valAx>
        <c:axId val="48672768"/>
        <c:scaling>
          <c:orientation val="minMax"/>
          <c:max val="1"/>
          <c:min val="0"/>
        </c:scaling>
        <c:delete val="0"/>
        <c:axPos val="l"/>
        <c:majorGridlines>
          <c:spPr>
            <a:ln w="9525">
              <a:solidFill>
                <a:srgbClr val="CCCCCC"/>
              </a:solidFill>
              <a:prstDash val="dash"/>
            </a:ln>
          </c:spPr>
        </c:majorGridlines>
        <c:numFmt formatCode="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a:lstStyle/>
          <a:p>
            <a:r>
              <a:t>Divisi: Aktual vs Target</a:t>
            </a:r>
          </a:p>
        </c:rich>
      </c:tx>
      <c:overlay val="1"/>
    </c:title>
    <c:autoTitleDeleted val="0"/>
    <c:plotArea>
      <c:layout/>
      <c:barChart>
        <c:barDir val="col"/>
        <c:grouping val="clustered"/>
        <c:varyColors val="0"/>
        <c:ser>
          <c:idx val="0"/>
          <c:order val="0"/>
          <c:tx>
            <c:v>Aktual</c:v>
          </c:tx>
          <c:invertIfNegative val="1"/>
          <c:cat>
            <c:strRef>
              <c:f>'12_Dashboard CEO'!$A$10:$A$15</c:f>
              <c:strCache>
                <c:ptCount val="6"/>
                <c:pt idx="0">
                  <c:v>Produksi</c:v>
                </c:pt>
                <c:pt idx="1">
                  <c:v>Marketing</c:v>
                </c:pt>
                <c:pt idx="2">
                  <c:v>Admin</c:v>
                </c:pt>
                <c:pt idx="3">
                  <c:v>Design</c:v>
                </c:pt>
                <c:pt idx="4">
                  <c:v>HR</c:v>
                </c:pt>
                <c:pt idx="5">
                  <c:v>Finance</c:v>
                </c:pt>
              </c:strCache>
            </c:strRef>
          </c:cat>
          <c:val>
            <c:numRef>
              <c:f>'12_Dashboard CEO'!$B$10:$B$15</c:f>
              <c:numCache>
                <c:formatCode>0.0%</c:formatCode>
                <c:ptCount val="6"/>
                <c:pt idx="0">
                  <c:v>0.88661917293233072</c:v>
                </c:pt>
                <c:pt idx="1">
                  <c:v>0.87285000000000013</c:v>
                </c:pt>
                <c:pt idx="2">
                  <c:v>0.86655967295459135</c:v>
                </c:pt>
                <c:pt idx="3">
                  <c:v>0.84052982456140357</c:v>
                </c:pt>
                <c:pt idx="4">
                  <c:v>0.91795555555555541</c:v>
                </c:pt>
                <c:pt idx="5">
                  <c:v>0.84374678317519525</c:v>
                </c:pt>
              </c:numCache>
            </c:numRef>
          </c:val>
          <c:extLst>
            <c:ext xmlns:c16="http://schemas.microsoft.com/office/drawing/2014/chart" uri="{C3380CC4-5D6E-409C-BE32-E72D297353CC}">
              <c16:uniqueId val="{00000000-1243-4F9C-9A33-A67BEF852F86}"/>
            </c:ext>
          </c:extLst>
        </c:ser>
        <c:ser>
          <c:idx val="1"/>
          <c:order val="1"/>
          <c:tx>
            <c:v>Target</c:v>
          </c:tx>
          <c:invertIfNegative val="1"/>
          <c:cat>
            <c:strRef>
              <c:f>'12_Dashboard CEO'!$A$10:$A$15</c:f>
              <c:strCache>
                <c:ptCount val="6"/>
                <c:pt idx="0">
                  <c:v>Produksi</c:v>
                </c:pt>
                <c:pt idx="1">
                  <c:v>Marketing</c:v>
                </c:pt>
                <c:pt idx="2">
                  <c:v>Admin</c:v>
                </c:pt>
                <c:pt idx="3">
                  <c:v>Design</c:v>
                </c:pt>
                <c:pt idx="4">
                  <c:v>HR</c:v>
                </c:pt>
                <c:pt idx="5">
                  <c:v>Finance</c:v>
                </c:pt>
              </c:strCache>
            </c:strRef>
          </c:cat>
          <c:val>
            <c:numRef>
              <c:f>'12_Dashboard CEO'!$C$10:$C$15</c:f>
              <c:numCache>
                <c:formatCode>0.0%</c:formatCode>
                <c:ptCount val="6"/>
                <c:pt idx="0">
                  <c:v>0.85</c:v>
                </c:pt>
                <c:pt idx="1">
                  <c:v>0.85</c:v>
                </c:pt>
                <c:pt idx="2">
                  <c:v>0.85</c:v>
                </c:pt>
                <c:pt idx="3">
                  <c:v>0.85</c:v>
                </c:pt>
                <c:pt idx="4">
                  <c:v>0.85</c:v>
                </c:pt>
                <c:pt idx="5">
                  <c:v>0.85</c:v>
                </c:pt>
              </c:numCache>
            </c:numRef>
          </c:val>
          <c:extLst>
            <c:ext xmlns:c16="http://schemas.microsoft.com/office/drawing/2014/chart" uri="{C3380CC4-5D6E-409C-BE32-E72D297353CC}">
              <c16:uniqueId val="{00000001-1243-4F9C-9A33-A67BEF852F86}"/>
            </c:ext>
          </c:extLst>
        </c:ser>
        <c:dLbls>
          <c:showLegendKey val="0"/>
          <c:showVal val="0"/>
          <c:showCatName val="0"/>
          <c:showSerName val="0"/>
          <c:showPercent val="0"/>
          <c:showBubbleSize val="0"/>
        </c:dLbls>
        <c:gapWidth val="150"/>
        <c:axId val="48650112"/>
        <c:axId val="48672768"/>
      </c:barChart>
      <c:catAx>
        <c:axId val="48650112"/>
        <c:scaling>
          <c:orientation val="minMax"/>
        </c:scaling>
        <c:delete val="0"/>
        <c:axPos val="b"/>
        <c:majorGridlines>
          <c:spPr>
            <a:ln w="9525">
              <a:solidFill>
                <a:srgbClr val="CCCCCC"/>
              </a:solidFill>
              <a:prstDash val="dash"/>
            </a:ln>
          </c:spPr>
        </c:majorGridlines>
        <c:numFmt formatCode="General" sourceLinked="1"/>
        <c:majorTickMark val="none"/>
        <c:minorTickMark val="none"/>
        <c:tickLblPos val="nextTo"/>
        <c:crossAx val="48672768"/>
        <c:crosses val="autoZero"/>
        <c:auto val="1"/>
        <c:lblAlgn val="ctr"/>
        <c:lblOffset val="100"/>
        <c:noMultiLvlLbl val="0"/>
      </c:catAx>
      <c:valAx>
        <c:axId val="48672768"/>
        <c:scaling>
          <c:orientation val="minMax"/>
          <c:max val="1"/>
          <c:min val="0"/>
        </c:scaling>
        <c:delete val="0"/>
        <c:axPos val="l"/>
        <c:majorGridlines>
          <c:spPr>
            <a:ln w="9525">
              <a:solidFill>
                <a:srgbClr val="CCCCCC"/>
              </a:solidFill>
              <a:prstDash val="dash"/>
            </a:ln>
          </c:spPr>
        </c:majorGridlines>
        <c:numFmt formatCode="0.0%" sourceLinked="1"/>
        <c:majorTickMark val="none"/>
        <c:minorTickMark val="none"/>
        <c:tickLblPos val="nextTo"/>
        <c:crossAx val="48650112"/>
        <c:crosses val="autoZero"/>
        <c:crossBetween val="between"/>
      </c:valAx>
    </c:plotArea>
    <c:legend>
      <c:legendPos val="b"/>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8</xdr:col>
      <xdr:colOff>0</xdr:colOff>
      <xdr:row>21</xdr:row>
      <xdr:rowOff>0</xdr:rowOff>
    </xdr:to>
    <xdr:graphicFrame macro="">
      <xdr:nvGraphicFramePr>
        <xdr:cNvPr id="2" nam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11</xdr:row>
      <xdr:rowOff>0</xdr:rowOff>
    </xdr:from>
    <xdr:to>
      <xdr:col>17</xdr:col>
      <xdr:colOff>0</xdr:colOff>
      <xdr:row>21</xdr:row>
      <xdr:rowOff>0</xdr:rowOff>
    </xdr:to>
    <xdr:graphicFrame macro="">
      <xdr:nvGraphicFramePr>
        <xdr:cNvPr id="3" name="Chart">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23</xdr:row>
      <xdr:rowOff>0</xdr:rowOff>
    </xdr:from>
    <xdr:to>
      <xdr:col>8</xdr:col>
      <xdr:colOff>0</xdr:colOff>
      <xdr:row>38</xdr:row>
      <xdr:rowOff>0</xdr:rowOff>
    </xdr:to>
    <xdr:graphicFrame macro="">
      <xdr:nvGraphicFramePr>
        <xdr:cNvPr id="4" name="Chart">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8</xdr:row>
      <xdr:rowOff>0</xdr:rowOff>
    </xdr:from>
    <xdr:to>
      <xdr:col>14</xdr:col>
      <xdr:colOff>0</xdr:colOff>
      <xdr:row>18</xdr:row>
      <xdr:rowOff>0</xdr:rowOff>
    </xdr:to>
    <xdr:graphicFrame macro="">
      <xdr:nvGraphicFramePr>
        <xdr:cNvPr id="2" name="Chart">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Divisi" displayName="TblDivisi" ref="A4:B10" totalsRowShown="0">
  <tableColumns count="2">
    <tableColumn id="1" xr3:uid="{00000000-0010-0000-0000-000001000000}" name="ID Divisi"/>
    <tableColumn id="2" xr3:uid="{00000000-0010-0000-0000-000002000000}" name="Divisi"/>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Jabatan" displayName="TblJabatan" ref="A4:C14" totalsRowShown="0">
  <tableColumns count="3">
    <tableColumn id="1" xr3:uid="{00000000-0010-0000-0100-000001000000}" name="ID Jabatan"/>
    <tableColumn id="2" xr3:uid="{00000000-0010-0000-0100-000002000000}" name="Jabatan"/>
    <tableColumn id="3" xr3:uid="{00000000-0010-0000-0100-000003000000}" name="Divisi"/>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Karyawan" displayName="TblKaryawan" ref="A4:F13" totalsRowShown="0">
  <tableColumns count="6">
    <tableColumn id="1" xr3:uid="{00000000-0010-0000-0200-000001000000}" name="NIK"/>
    <tableColumn id="2" xr3:uid="{00000000-0010-0000-0200-000002000000}" name="Nama"/>
    <tableColumn id="3" xr3:uid="{00000000-0010-0000-0200-000003000000}" name="Divisi"/>
    <tableColumn id="4" xr3:uid="{00000000-0010-0000-0200-000004000000}" name="Jabatan"/>
    <tableColumn id="5" xr3:uid="{00000000-0010-0000-0200-000005000000}" name="Atasan"/>
    <tableColumn id="6" xr3:uid="{00000000-0010-0000-0200-000006000000}" name="Stat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MasterKPI" displayName="TblMasterKPI" ref="A4:G35" totalsRowShown="0">
  <tableColumns count="7">
    <tableColumn id="1" xr3:uid="{00000000-0010-0000-0300-000001000000}" name="Divisi"/>
    <tableColumn id="2" xr3:uid="{00000000-0010-0000-0300-000002000000}" name="Kode KPI"/>
    <tableColumn id="3" xr3:uid="{00000000-0010-0000-0300-000003000000}" name="Nama KPI"/>
    <tableColumn id="4" xr3:uid="{00000000-0010-0000-0300-000004000000}" name="Satuan"/>
    <tableColumn id="5" xr3:uid="{00000000-0010-0000-0300-000005000000}" name="Bobot"/>
    <tableColumn id="6" xr3:uid="{00000000-0010-0000-0300-000006000000}" name="Arah Nilai"/>
    <tableColumn id="7" xr3:uid="{00000000-0010-0000-0300-000007000000}" name="Jenis Targe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TargetMatrix" displayName="TblTargetMatrix" ref="A4:P35" totalsRowShown="0">
  <tableColumns count="16">
    <tableColumn id="1" xr3:uid="{00000000-0010-0000-0400-000001000000}" name="Divisi"/>
    <tableColumn id="2" xr3:uid="{00000000-0010-0000-0400-000002000000}" name="Kode KPI"/>
    <tableColumn id="3" xr3:uid="{00000000-0010-0000-0400-000003000000}" name="Nama KPI"/>
    <tableColumn id="4" xr3:uid="{00000000-0010-0000-0400-000004000000}" name="Satuan"/>
    <tableColumn id="5" xr3:uid="{00000000-0010-0000-0400-000005000000}" name="Januari"/>
    <tableColumn id="6" xr3:uid="{00000000-0010-0000-0400-000006000000}" name="Februari"/>
    <tableColumn id="7" xr3:uid="{00000000-0010-0000-0400-000007000000}" name="Maret"/>
    <tableColumn id="8" xr3:uid="{00000000-0010-0000-0400-000008000000}" name="April"/>
    <tableColumn id="9" xr3:uid="{00000000-0010-0000-0400-000009000000}" name="Mei"/>
    <tableColumn id="10" xr3:uid="{00000000-0010-0000-0400-00000A000000}" name="Juni"/>
    <tableColumn id="11" xr3:uid="{00000000-0010-0000-0400-00000B000000}" name="Juli"/>
    <tableColumn id="12" xr3:uid="{00000000-0010-0000-0400-00000C000000}" name="Agustus"/>
    <tableColumn id="13" xr3:uid="{00000000-0010-0000-0400-00000D000000}" name="September"/>
    <tableColumn id="14" xr3:uid="{00000000-0010-0000-0400-00000E000000}" name="Oktober"/>
    <tableColumn id="15" xr3:uid="{00000000-0010-0000-0400-00000F000000}" name="November"/>
    <tableColumn id="16" xr3:uid="{00000000-0010-0000-0400-000010000000}" name="Desember"/>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80"/>
  <sheetViews>
    <sheetView showGridLines="0" workbookViewId="0">
      <selection activeCell="G49" sqref="G49"/>
    </sheetView>
  </sheetViews>
  <sheetFormatPr defaultRowHeight="13.8"/>
  <cols>
    <col min="1" max="1" width="15" customWidth="1"/>
    <col min="2" max="8" width="13" customWidth="1"/>
    <col min="9" max="9" width="10" customWidth="1"/>
    <col min="10" max="10" width="28" customWidth="1"/>
    <col min="11" max="17" width="14" customWidth="1"/>
  </cols>
  <sheetData>
    <row r="1" spans="1:26" ht="34.049999999999997" customHeight="1">
      <c r="A1" s="55" t="s">
        <v>0</v>
      </c>
      <c r="B1" s="55" t="s">
        <v>0</v>
      </c>
      <c r="C1" s="55" t="s">
        <v>0</v>
      </c>
      <c r="D1" s="55" t="s">
        <v>0</v>
      </c>
      <c r="E1" s="55" t="s">
        <v>0</v>
      </c>
      <c r="F1" s="55" t="s">
        <v>0</v>
      </c>
      <c r="G1" s="55" t="s">
        <v>0</v>
      </c>
      <c r="H1" s="55" t="s">
        <v>0</v>
      </c>
      <c r="I1" s="55" t="s">
        <v>0</v>
      </c>
      <c r="J1" s="55" t="s">
        <v>0</v>
      </c>
      <c r="K1" s="55" t="s">
        <v>0</v>
      </c>
      <c r="L1" s="55" t="s">
        <v>0</v>
      </c>
      <c r="M1" s="55" t="s">
        <v>0</v>
      </c>
      <c r="N1" s="55" t="s">
        <v>0</v>
      </c>
      <c r="O1" s="55" t="s">
        <v>0</v>
      </c>
      <c r="P1" s="55" t="s">
        <v>0</v>
      </c>
      <c r="Q1" s="55" t="s">
        <v>0</v>
      </c>
      <c r="R1" s="1"/>
      <c r="S1" s="1"/>
      <c r="T1" s="1"/>
      <c r="U1" s="1"/>
      <c r="V1" s="1"/>
      <c r="W1" s="1"/>
      <c r="X1" s="1"/>
      <c r="Y1" s="1"/>
      <c r="Z1" s="1"/>
    </row>
    <row r="2" spans="1:26" ht="24" customHeight="1">
      <c r="A2" s="56" t="s">
        <v>1</v>
      </c>
      <c r="B2" s="56" t="s">
        <v>1</v>
      </c>
      <c r="C2" s="56" t="s">
        <v>1</v>
      </c>
      <c r="D2" s="56" t="s">
        <v>1</v>
      </c>
      <c r="E2" s="56" t="s">
        <v>1</v>
      </c>
      <c r="F2" s="56" t="s">
        <v>1</v>
      </c>
      <c r="G2" s="56" t="s">
        <v>1</v>
      </c>
      <c r="H2" s="56" t="s">
        <v>1</v>
      </c>
      <c r="I2" s="56" t="s">
        <v>1</v>
      </c>
      <c r="J2" s="56" t="s">
        <v>1</v>
      </c>
      <c r="K2" s="56" t="s">
        <v>1</v>
      </c>
      <c r="L2" s="56" t="s">
        <v>1</v>
      </c>
      <c r="M2" s="56" t="s">
        <v>1</v>
      </c>
      <c r="N2" s="56" t="s">
        <v>1</v>
      </c>
      <c r="O2" s="56" t="s">
        <v>1</v>
      </c>
      <c r="P2" s="56" t="s">
        <v>1</v>
      </c>
      <c r="Q2" s="56" t="s">
        <v>1</v>
      </c>
      <c r="R2" s="1"/>
      <c r="S2" s="1"/>
      <c r="T2" s="1"/>
      <c r="U2" s="1"/>
      <c r="V2" s="1"/>
      <c r="W2" s="1"/>
      <c r="X2" s="1"/>
      <c r="Y2" s="1"/>
      <c r="Z2" s="1"/>
    </row>
    <row r="3" spans="1:26">
      <c r="A3" s="45" t="s">
        <v>2</v>
      </c>
      <c r="B3" s="46" t="s">
        <v>3</v>
      </c>
      <c r="C3" s="45" t="s">
        <v>4</v>
      </c>
      <c r="D3" s="46">
        <v>2026</v>
      </c>
      <c r="E3" s="45"/>
      <c r="F3" s="45"/>
      <c r="G3" s="45"/>
      <c r="H3" s="45"/>
      <c r="I3" s="45"/>
      <c r="J3" s="45"/>
      <c r="K3" s="45"/>
      <c r="L3" s="45"/>
      <c r="M3" s="45"/>
      <c r="N3" s="45"/>
      <c r="O3" s="45"/>
      <c r="P3" s="45"/>
      <c r="Q3" s="45"/>
      <c r="R3" s="1"/>
      <c r="S3" s="1"/>
      <c r="T3" s="1"/>
      <c r="U3" s="1"/>
      <c r="V3" s="1"/>
      <c r="W3" s="1"/>
      <c r="X3" s="1"/>
      <c r="Y3" s="1"/>
      <c r="Z3" s="1"/>
    </row>
    <row r="4" spans="1:26">
      <c r="A4" s="45" t="s">
        <v>5</v>
      </c>
      <c r="B4" s="47">
        <v>46239</v>
      </c>
      <c r="C4" s="45" t="s">
        <v>6</v>
      </c>
      <c r="D4" s="48" t="s">
        <v>7</v>
      </c>
      <c r="E4" s="45"/>
      <c r="F4" s="45"/>
      <c r="G4" s="45"/>
      <c r="H4" s="45"/>
      <c r="I4" s="45"/>
      <c r="J4" s="45"/>
      <c r="K4" s="45"/>
      <c r="L4" s="45"/>
      <c r="M4" s="45"/>
      <c r="N4" s="45"/>
      <c r="O4" s="45"/>
      <c r="P4" s="45"/>
      <c r="Q4" s="45"/>
      <c r="R4" s="1"/>
      <c r="S4" s="1"/>
      <c r="T4" s="1"/>
      <c r="U4" s="1"/>
      <c r="V4" s="1"/>
      <c r="W4" s="1"/>
      <c r="X4" s="1"/>
      <c r="Y4" s="1"/>
      <c r="Z4" s="1"/>
    </row>
    <row r="5" spans="1:26">
      <c r="A5" s="45"/>
      <c r="B5" s="45"/>
      <c r="C5" s="45"/>
      <c r="D5" s="45"/>
      <c r="E5" s="45"/>
      <c r="F5" s="45"/>
      <c r="G5" s="45"/>
      <c r="H5" s="45"/>
      <c r="I5" s="45"/>
      <c r="J5" s="45"/>
      <c r="K5" s="45"/>
      <c r="L5" s="45"/>
      <c r="M5" s="45"/>
      <c r="N5" s="45"/>
      <c r="O5" s="45"/>
      <c r="P5" s="45"/>
      <c r="Q5" s="45"/>
      <c r="R5" s="1"/>
      <c r="S5" s="1"/>
      <c r="T5" s="1"/>
      <c r="U5" s="1"/>
      <c r="V5" s="1"/>
      <c r="W5" s="1"/>
      <c r="X5" s="1"/>
      <c r="Y5" s="1"/>
      <c r="Z5" s="1"/>
    </row>
    <row r="6" spans="1:26">
      <c r="A6" s="57" t="s">
        <v>8</v>
      </c>
      <c r="B6" s="57" t="s">
        <v>8</v>
      </c>
      <c r="C6" s="57" t="s">
        <v>8</v>
      </c>
      <c r="D6" s="67" t="s">
        <v>9</v>
      </c>
      <c r="E6" s="67" t="s">
        <v>9</v>
      </c>
      <c r="F6" s="67" t="s">
        <v>9</v>
      </c>
      <c r="G6" s="68" t="s">
        <v>10</v>
      </c>
      <c r="H6" s="68" t="s">
        <v>10</v>
      </c>
      <c r="I6" s="68" t="s">
        <v>10</v>
      </c>
      <c r="J6" s="69" t="s">
        <v>11</v>
      </c>
      <c r="K6" s="69" t="s">
        <v>11</v>
      </c>
      <c r="L6" s="69" t="s">
        <v>11</v>
      </c>
      <c r="M6" s="79" t="s">
        <v>12</v>
      </c>
      <c r="N6" s="79" t="s">
        <v>12</v>
      </c>
      <c r="O6" s="79" t="s">
        <v>12</v>
      </c>
      <c r="P6" s="45"/>
      <c r="Q6" s="45"/>
      <c r="R6" s="1"/>
      <c r="S6" s="1"/>
      <c r="T6" s="1"/>
      <c r="U6" s="1"/>
      <c r="V6" s="1"/>
      <c r="W6" s="1"/>
      <c r="X6" s="1"/>
      <c r="Y6" s="1"/>
      <c r="Z6" s="1"/>
    </row>
    <row r="7" spans="1:26">
      <c r="A7" s="58">
        <f>IFERROR((SUMIFS('07A_KPI Produksi'!$L$5:$L$304,'07A_KPI Produksi'!$A$5:$A$304,$B$3,'07A_KPI Produksi'!$B$5:$B$304,$D$3)+SUMIFS('07B_KPI Marketing'!$L$5:$L$304,'07B_KPI Marketing'!$A$5:$A$304,$B$3,'07B_KPI Marketing'!$B$5:$B$304,$D$3)+SUMIFS('07C_KPI Admin'!$L$5:$L$304,'07C_KPI Admin'!$A$5:$A$304,$B$3,'07C_KPI Admin'!$B$5:$B$304,$D$3)+SUMIFS('07D_KPI Design'!$L$5:$L$304,'07D_KPI Design'!$A$5:$A$304,$B$3,'07D_KPI Design'!$B$5:$B$304,$D$3)+SUMIFS('07E_KPI HR'!$L$5:$L$304,'07E_KPI HR'!$A$5:$A$304,$B$3,'07E_KPI HR'!$B$5:$B$304,$D$3)+SUMIFS('07F_KPI Finance'!$L$5:$L$304,'07F_KPI Finance'!$A$5:$A$304,$B$3,'07F_KPI Finance'!$B$5:$B$304,$D$3))/(SUMIFS('07A_KPI Produksi'!$K$5:$K$304,'07A_KPI Produksi'!$A$5:$A$304,$B$3,'07A_KPI Produksi'!$B$5:$B$304,$D$3)+SUMIFS('07B_KPI Marketing'!$K$5:$K$304,'07B_KPI Marketing'!$A$5:$A$304,$B$3,'07B_KPI Marketing'!$B$5:$B$304,$D$3)+SUMIFS('07C_KPI Admin'!$K$5:$K$304,'07C_KPI Admin'!$A$5:$A$304,$B$3,'07C_KPI Admin'!$B$5:$B$304,$D$3)+SUMIFS('07D_KPI Design'!$K$5:$K$304,'07D_KPI Design'!$A$5:$A$304,$B$3,'07D_KPI Design'!$B$5:$B$304,$D$3)+SUMIFS('07E_KPI HR'!$K$5:$K$304,'07E_KPI HR'!$A$5:$A$304,$B$3,'07E_KPI HR'!$B$5:$B$304,$D$3)+SUMIFS('07F_KPI Finance'!$K$5:$K$304,'07F_KPI Finance'!$A$5:$A$304,$B$3,'07F_KPI Finance'!$B$5:$B$304,$D$3)),0)</f>
        <v>0.87186788990878639</v>
      </c>
      <c r="B7" s="59"/>
      <c r="C7" s="60"/>
      <c r="D7" s="58">
        <f>'13_Setting'!$H$5</f>
        <v>0.85</v>
      </c>
      <c r="E7" s="59"/>
      <c r="F7" s="60"/>
      <c r="G7" s="58">
        <f>A7-D7</f>
        <v>2.1867889908786409E-2</v>
      </c>
      <c r="H7" s="59"/>
      <c r="I7" s="60"/>
      <c r="J7" s="70">
        <f>COUNTIF('08_Rekap Individu'!$D$5:$D$30,"&gt;0")</f>
        <v>9</v>
      </c>
      <c r="K7" s="71"/>
      <c r="L7" s="72"/>
      <c r="M7" s="70">
        <f>COUNTIF('08_Rekap Individu'!$F$5:$F$30,"On Track")+COUNTIF('08_Rekap Individu'!$F$5:$F$30,"Tercapai")</f>
        <v>6</v>
      </c>
      <c r="N7" s="71"/>
      <c r="O7" s="72"/>
      <c r="P7" s="45"/>
      <c r="Q7" s="45"/>
      <c r="R7" s="1"/>
      <c r="S7" s="1"/>
      <c r="T7" s="1"/>
      <c r="U7" s="1"/>
      <c r="V7" s="1"/>
      <c r="W7" s="1"/>
      <c r="X7" s="1"/>
      <c r="Y7" s="1"/>
      <c r="Z7" s="1"/>
    </row>
    <row r="8" spans="1:26">
      <c r="A8" s="61"/>
      <c r="B8" s="62"/>
      <c r="C8" s="63"/>
      <c r="D8" s="61"/>
      <c r="E8" s="62"/>
      <c r="F8" s="63"/>
      <c r="G8" s="61"/>
      <c r="H8" s="62"/>
      <c r="I8" s="63"/>
      <c r="J8" s="73"/>
      <c r="K8" s="74"/>
      <c r="L8" s="75"/>
      <c r="M8" s="73"/>
      <c r="N8" s="74"/>
      <c r="O8" s="75"/>
      <c r="P8" s="45"/>
      <c r="Q8" s="45"/>
      <c r="R8" s="1"/>
      <c r="S8" s="1"/>
      <c r="T8" s="1"/>
      <c r="U8" s="1"/>
      <c r="V8" s="1"/>
      <c r="W8" s="1"/>
      <c r="X8" s="1"/>
      <c r="Y8" s="1"/>
      <c r="Z8" s="1"/>
    </row>
    <row r="9" spans="1:26">
      <c r="A9" s="64"/>
      <c r="B9" s="65"/>
      <c r="C9" s="66"/>
      <c r="D9" s="64"/>
      <c r="E9" s="65"/>
      <c r="F9" s="66"/>
      <c r="G9" s="64"/>
      <c r="H9" s="65"/>
      <c r="I9" s="66"/>
      <c r="J9" s="76"/>
      <c r="K9" s="77"/>
      <c r="L9" s="78"/>
      <c r="M9" s="76"/>
      <c r="N9" s="77"/>
      <c r="O9" s="78"/>
      <c r="P9" s="45"/>
      <c r="Q9" s="45"/>
      <c r="R9" s="1"/>
      <c r="S9" s="1"/>
      <c r="T9" s="1"/>
      <c r="U9" s="1"/>
      <c r="V9" s="1"/>
      <c r="W9" s="1"/>
      <c r="X9" s="1"/>
      <c r="Y9" s="1"/>
      <c r="Z9" s="1"/>
    </row>
    <row r="10" spans="1:26">
      <c r="A10" s="45"/>
      <c r="B10" s="45"/>
      <c r="C10" s="45"/>
      <c r="D10" s="45"/>
      <c r="E10" s="45"/>
      <c r="F10" s="45"/>
      <c r="G10" s="45"/>
      <c r="H10" s="45"/>
      <c r="I10" s="45"/>
      <c r="J10" s="45"/>
      <c r="K10" s="45"/>
      <c r="L10" s="45"/>
      <c r="M10" s="45"/>
      <c r="N10" s="45"/>
      <c r="O10" s="45"/>
      <c r="P10" s="45"/>
      <c r="Q10" s="45"/>
      <c r="R10" s="1"/>
      <c r="S10" s="1"/>
      <c r="T10" s="1"/>
      <c r="U10" s="1"/>
      <c r="V10" s="1"/>
      <c r="W10" s="1"/>
      <c r="X10" s="1"/>
      <c r="Y10" s="1"/>
      <c r="Z10" s="1"/>
    </row>
    <row r="11" spans="1:26">
      <c r="A11" s="45"/>
      <c r="B11" s="45"/>
      <c r="C11" s="45"/>
      <c r="D11" s="45"/>
      <c r="E11" s="45"/>
      <c r="F11" s="45"/>
      <c r="G11" s="45"/>
      <c r="H11" s="45"/>
      <c r="I11" s="45"/>
      <c r="J11" s="45"/>
      <c r="K11" s="45"/>
      <c r="L11" s="45"/>
      <c r="M11" s="45"/>
      <c r="N11" s="45"/>
      <c r="O11" s="45"/>
      <c r="P11" s="45"/>
      <c r="Q11" s="45"/>
      <c r="R11" s="1"/>
      <c r="S11" s="1"/>
      <c r="T11" s="1"/>
      <c r="U11" s="1"/>
      <c r="V11" s="1"/>
      <c r="W11" s="1"/>
      <c r="X11" s="1"/>
      <c r="Y11" s="1"/>
      <c r="Z11" s="1"/>
    </row>
    <row r="12" spans="1:26" ht="25.05" customHeight="1">
      <c r="A12" s="52" t="s">
        <v>13</v>
      </c>
      <c r="B12" s="53" t="s">
        <v>13</v>
      </c>
      <c r="C12" s="53" t="s">
        <v>13</v>
      </c>
      <c r="D12" s="53" t="s">
        <v>13</v>
      </c>
      <c r="E12" s="53" t="s">
        <v>13</v>
      </c>
      <c r="F12" s="53" t="s">
        <v>13</v>
      </c>
      <c r="G12" s="54" t="s">
        <v>13</v>
      </c>
      <c r="H12" s="45"/>
      <c r="I12" s="52" t="s">
        <v>14</v>
      </c>
      <c r="J12" s="53" t="s">
        <v>14</v>
      </c>
      <c r="K12" s="54" t="s">
        <v>14</v>
      </c>
      <c r="L12" s="45"/>
      <c r="M12" s="45"/>
      <c r="N12" s="45"/>
      <c r="O12" s="45"/>
      <c r="P12" s="45"/>
      <c r="Q12" s="45"/>
      <c r="R12" s="1"/>
      <c r="S12" s="1"/>
      <c r="T12" s="1"/>
      <c r="U12" s="1"/>
      <c r="V12" s="1"/>
      <c r="W12" s="1"/>
      <c r="X12" s="1"/>
      <c r="Y12" s="1"/>
      <c r="Z12" s="1"/>
    </row>
    <row r="13" spans="1:26" ht="28.05" customHeight="1">
      <c r="A13" s="2" t="s">
        <v>15</v>
      </c>
      <c r="B13" s="6" t="s">
        <v>16</v>
      </c>
      <c r="C13" s="3" t="s">
        <v>17</v>
      </c>
      <c r="D13" s="45"/>
      <c r="E13" s="45"/>
      <c r="F13" s="45"/>
      <c r="G13" s="45"/>
      <c r="H13" s="45"/>
      <c r="I13" s="2" t="s">
        <v>18</v>
      </c>
      <c r="J13" s="3" t="s">
        <v>19</v>
      </c>
      <c r="K13" s="45"/>
      <c r="L13" s="45"/>
      <c r="M13" s="45"/>
      <c r="N13" s="45"/>
      <c r="O13" s="45"/>
      <c r="P13" s="45"/>
      <c r="Q13" s="45"/>
      <c r="R13" s="1"/>
      <c r="S13" s="1"/>
      <c r="T13" s="1"/>
      <c r="U13" s="1"/>
      <c r="V13" s="1"/>
      <c r="W13" s="1"/>
      <c r="X13" s="1"/>
      <c r="Y13" s="1"/>
      <c r="Z13" s="1"/>
    </row>
    <row r="14" spans="1:26">
      <c r="A14" s="45" t="s">
        <v>20</v>
      </c>
      <c r="B14" s="49">
        <f>'09_Rekap Divisi'!C5</f>
        <v>0.85</v>
      </c>
      <c r="C14" s="49">
        <f>'09_Rekap Divisi'!B5</f>
        <v>0.88661917293233072</v>
      </c>
      <c r="D14" s="45"/>
      <c r="E14" s="45"/>
      <c r="F14" s="45"/>
      <c r="G14" s="45"/>
      <c r="H14" s="45"/>
      <c r="I14" s="45" t="s">
        <v>21</v>
      </c>
      <c r="J14" s="45">
        <f>COUNTIF('08_Rekap Individu'!$E$5:$E$30,I14)</f>
        <v>0</v>
      </c>
      <c r="K14" s="45"/>
      <c r="L14" s="45"/>
      <c r="M14" s="45"/>
      <c r="N14" s="45"/>
      <c r="O14" s="45"/>
      <c r="P14" s="45"/>
      <c r="Q14" s="45"/>
      <c r="R14" s="1"/>
      <c r="S14" s="1"/>
      <c r="T14" s="1"/>
      <c r="U14" s="1"/>
      <c r="V14" s="1"/>
      <c r="W14" s="1"/>
      <c r="X14" s="1"/>
      <c r="Y14" s="1"/>
      <c r="Z14" s="1"/>
    </row>
    <row r="15" spans="1:26">
      <c r="A15" s="45" t="s">
        <v>22</v>
      </c>
      <c r="B15" s="49">
        <f>'09_Rekap Divisi'!C6</f>
        <v>0.85</v>
      </c>
      <c r="C15" s="49">
        <f>'09_Rekap Divisi'!B6</f>
        <v>0.87285000000000013</v>
      </c>
      <c r="D15" s="45"/>
      <c r="E15" s="45"/>
      <c r="F15" s="45"/>
      <c r="G15" s="45"/>
      <c r="H15" s="45"/>
      <c r="I15" s="45" t="s">
        <v>23</v>
      </c>
      <c r="J15" s="45">
        <f>COUNTIF('08_Rekap Individu'!$E$5:$E$30,I15)</f>
        <v>6</v>
      </c>
      <c r="K15" s="45"/>
      <c r="L15" s="45"/>
      <c r="M15" s="45"/>
      <c r="N15" s="45"/>
      <c r="O15" s="45"/>
      <c r="P15" s="45"/>
      <c r="Q15" s="45"/>
      <c r="R15" s="1"/>
      <c r="S15" s="1"/>
      <c r="T15" s="1"/>
      <c r="U15" s="1"/>
      <c r="V15" s="1"/>
      <c r="W15" s="1"/>
      <c r="X15" s="1"/>
      <c r="Y15" s="1"/>
      <c r="Z15" s="1"/>
    </row>
    <row r="16" spans="1:26">
      <c r="A16" s="45" t="s">
        <v>24</v>
      </c>
      <c r="B16" s="49">
        <f>'09_Rekap Divisi'!C7</f>
        <v>0.85</v>
      </c>
      <c r="C16" s="49">
        <f>'09_Rekap Divisi'!B7</f>
        <v>0.86655967295459135</v>
      </c>
      <c r="D16" s="45"/>
      <c r="E16" s="45"/>
      <c r="F16" s="45"/>
      <c r="G16" s="45"/>
      <c r="H16" s="45"/>
      <c r="I16" s="45" t="s">
        <v>25</v>
      </c>
      <c r="J16" s="45">
        <f>COUNTIF('08_Rekap Individu'!$E$5:$E$30,I16)</f>
        <v>3</v>
      </c>
      <c r="K16" s="45"/>
      <c r="L16" s="45"/>
      <c r="M16" s="45"/>
      <c r="N16" s="45"/>
      <c r="O16" s="45"/>
      <c r="P16" s="45"/>
      <c r="Q16" s="45"/>
      <c r="R16" s="1"/>
      <c r="S16" s="1"/>
      <c r="T16" s="1"/>
      <c r="U16" s="1"/>
      <c r="V16" s="1"/>
      <c r="W16" s="1"/>
      <c r="X16" s="1"/>
      <c r="Y16" s="1"/>
      <c r="Z16" s="1"/>
    </row>
    <row r="17" spans="1:26">
      <c r="A17" s="45" t="s">
        <v>26</v>
      </c>
      <c r="B17" s="49">
        <f>'09_Rekap Divisi'!C8</f>
        <v>0.85</v>
      </c>
      <c r="C17" s="49">
        <f>'09_Rekap Divisi'!B8</f>
        <v>0.84052982456140357</v>
      </c>
      <c r="D17" s="45"/>
      <c r="E17" s="45"/>
      <c r="F17" s="45"/>
      <c r="G17" s="45"/>
      <c r="H17" s="45"/>
      <c r="I17" s="45" t="s">
        <v>27</v>
      </c>
      <c r="J17" s="45">
        <f>COUNTIF('08_Rekap Individu'!$E$5:$E$30,I17)</f>
        <v>0</v>
      </c>
      <c r="K17" s="45"/>
      <c r="L17" s="45"/>
      <c r="M17" s="45"/>
      <c r="N17" s="45"/>
      <c r="O17" s="45"/>
      <c r="P17" s="45"/>
      <c r="Q17" s="45"/>
      <c r="R17" s="1"/>
      <c r="S17" s="1"/>
      <c r="T17" s="1"/>
      <c r="U17" s="1"/>
      <c r="V17" s="1"/>
      <c r="W17" s="1"/>
      <c r="X17" s="1"/>
      <c r="Y17" s="1"/>
      <c r="Z17" s="1"/>
    </row>
    <row r="18" spans="1:26">
      <c r="A18" s="45" t="s">
        <v>28</v>
      </c>
      <c r="B18" s="49">
        <f>'09_Rekap Divisi'!C9</f>
        <v>0.85</v>
      </c>
      <c r="C18" s="49">
        <f>'09_Rekap Divisi'!B9</f>
        <v>0.91795555555555541</v>
      </c>
      <c r="D18" s="45"/>
      <c r="E18" s="45"/>
      <c r="F18" s="45"/>
      <c r="G18" s="45"/>
      <c r="H18" s="45"/>
      <c r="I18" s="45" t="s">
        <v>29</v>
      </c>
      <c r="J18" s="45">
        <f>COUNTIF('08_Rekap Individu'!$E$5:$E$30,I18)</f>
        <v>0</v>
      </c>
      <c r="K18" s="45"/>
      <c r="L18" s="45"/>
      <c r="M18" s="45"/>
      <c r="N18" s="45"/>
      <c r="O18" s="45"/>
      <c r="P18" s="45"/>
      <c r="Q18" s="45"/>
      <c r="R18" s="1"/>
      <c r="S18" s="1"/>
      <c r="T18" s="1"/>
      <c r="U18" s="1"/>
      <c r="V18" s="1"/>
      <c r="W18" s="1"/>
      <c r="X18" s="1"/>
      <c r="Y18" s="1"/>
      <c r="Z18" s="1"/>
    </row>
    <row r="19" spans="1:26">
      <c r="A19" s="45" t="s">
        <v>30</v>
      </c>
      <c r="B19" s="49">
        <f>'09_Rekap Divisi'!C10</f>
        <v>0.85</v>
      </c>
      <c r="C19" s="49">
        <f>'09_Rekap Divisi'!B10</f>
        <v>0.84374678317519525</v>
      </c>
      <c r="D19" s="45"/>
      <c r="E19" s="45"/>
      <c r="F19" s="45"/>
      <c r="G19" s="45"/>
      <c r="H19" s="45"/>
      <c r="I19" s="45"/>
      <c r="J19" s="45"/>
      <c r="K19" s="45"/>
      <c r="L19" s="45"/>
      <c r="M19" s="45"/>
      <c r="N19" s="45"/>
      <c r="O19" s="45"/>
      <c r="P19" s="45"/>
      <c r="Q19" s="45"/>
      <c r="R19" s="1"/>
      <c r="S19" s="1"/>
      <c r="T19" s="1"/>
      <c r="U19" s="1"/>
      <c r="V19" s="1"/>
      <c r="W19" s="1"/>
      <c r="X19" s="1"/>
      <c r="Y19" s="1"/>
      <c r="Z19" s="1"/>
    </row>
    <row r="20" spans="1:26">
      <c r="A20" s="45"/>
      <c r="B20" s="45"/>
      <c r="C20" s="45"/>
      <c r="D20" s="45"/>
      <c r="E20" s="45"/>
      <c r="F20" s="45"/>
      <c r="G20" s="45"/>
      <c r="H20" s="45"/>
      <c r="I20" s="45"/>
      <c r="J20" s="45"/>
      <c r="K20" s="45"/>
      <c r="L20" s="45"/>
      <c r="M20" s="45"/>
      <c r="N20" s="45"/>
      <c r="O20" s="45"/>
      <c r="P20" s="45"/>
      <c r="Q20" s="45"/>
      <c r="R20" s="1"/>
      <c r="S20" s="1"/>
      <c r="T20" s="1"/>
      <c r="U20" s="1"/>
      <c r="V20" s="1"/>
      <c r="W20" s="1"/>
      <c r="X20" s="1"/>
      <c r="Y20" s="1"/>
      <c r="Z20" s="1"/>
    </row>
    <row r="21" spans="1:26">
      <c r="A21" s="45"/>
      <c r="B21" s="45"/>
      <c r="C21" s="45"/>
      <c r="D21" s="45"/>
      <c r="E21" s="45"/>
      <c r="F21" s="45"/>
      <c r="G21" s="45"/>
      <c r="H21" s="45"/>
      <c r="I21" s="45"/>
      <c r="J21" s="45"/>
      <c r="K21" s="45"/>
      <c r="L21" s="45"/>
      <c r="M21" s="45"/>
      <c r="N21" s="45"/>
      <c r="O21" s="45"/>
      <c r="P21" s="45"/>
      <c r="Q21" s="45"/>
      <c r="R21" s="1"/>
      <c r="S21" s="1"/>
      <c r="T21" s="1"/>
      <c r="U21" s="1"/>
      <c r="V21" s="1"/>
      <c r="W21" s="1"/>
      <c r="X21" s="1"/>
      <c r="Y21" s="1"/>
      <c r="Z21" s="1"/>
    </row>
    <row r="22" spans="1:26">
      <c r="A22" s="45"/>
      <c r="B22" s="45"/>
      <c r="C22" s="45"/>
      <c r="D22" s="45"/>
      <c r="E22" s="45"/>
      <c r="F22" s="45"/>
      <c r="G22" s="45"/>
      <c r="H22" s="45"/>
      <c r="I22" s="45"/>
      <c r="J22" s="45"/>
      <c r="K22" s="45"/>
      <c r="L22" s="45"/>
      <c r="M22" s="45"/>
      <c r="N22" s="45"/>
      <c r="O22" s="45"/>
      <c r="P22" s="45"/>
      <c r="Q22" s="45"/>
      <c r="R22" s="1"/>
      <c r="S22" s="1"/>
      <c r="T22" s="1"/>
      <c r="U22" s="1"/>
      <c r="V22" s="1"/>
      <c r="W22" s="1"/>
      <c r="X22" s="1"/>
      <c r="Y22" s="1"/>
      <c r="Z22" s="1"/>
    </row>
    <row r="23" spans="1:26" ht="25.05" customHeight="1">
      <c r="A23" s="52" t="s">
        <v>31</v>
      </c>
      <c r="B23" s="53" t="s">
        <v>31</v>
      </c>
      <c r="C23" s="53" t="s">
        <v>31</v>
      </c>
      <c r="D23" s="53" t="s">
        <v>31</v>
      </c>
      <c r="E23" s="53" t="s">
        <v>31</v>
      </c>
      <c r="F23" s="53" t="s">
        <v>31</v>
      </c>
      <c r="G23" s="54" t="s">
        <v>31</v>
      </c>
      <c r="H23" s="45"/>
      <c r="I23" s="52" t="s">
        <v>32</v>
      </c>
      <c r="J23" s="53" t="s">
        <v>32</v>
      </c>
      <c r="K23" s="53" t="s">
        <v>32</v>
      </c>
      <c r="L23" s="53" t="s">
        <v>32</v>
      </c>
      <c r="M23" s="53" t="s">
        <v>32</v>
      </c>
      <c r="N23" s="53" t="s">
        <v>32</v>
      </c>
      <c r="O23" s="53" t="s">
        <v>32</v>
      </c>
      <c r="P23" s="53" t="s">
        <v>32</v>
      </c>
      <c r="Q23" s="54" t="s">
        <v>32</v>
      </c>
      <c r="R23" s="1"/>
      <c r="S23" s="1"/>
      <c r="T23" s="1"/>
      <c r="U23" s="1"/>
      <c r="V23" s="1"/>
      <c r="W23" s="1"/>
      <c r="X23" s="1"/>
      <c r="Y23" s="1"/>
      <c r="Z23" s="1"/>
    </row>
    <row r="24" spans="1:26" ht="28.05" customHeight="1">
      <c r="A24" s="2" t="s">
        <v>2</v>
      </c>
      <c r="B24" s="6" t="s">
        <v>16</v>
      </c>
      <c r="C24" s="3" t="s">
        <v>17</v>
      </c>
      <c r="D24" s="45"/>
      <c r="E24" s="45"/>
      <c r="F24" s="45"/>
      <c r="G24" s="45"/>
      <c r="H24" s="45"/>
      <c r="I24" s="2" t="s">
        <v>33</v>
      </c>
      <c r="J24" s="6" t="s">
        <v>34</v>
      </c>
      <c r="K24" s="6" t="s">
        <v>15</v>
      </c>
      <c r="L24" s="3" t="s">
        <v>35</v>
      </c>
      <c r="M24" s="45"/>
      <c r="N24" s="45"/>
      <c r="O24" s="45"/>
      <c r="P24" s="45"/>
      <c r="Q24" s="45"/>
      <c r="R24" s="1"/>
      <c r="S24" s="1"/>
      <c r="T24" s="1"/>
      <c r="U24" s="1"/>
      <c r="V24" s="1"/>
      <c r="W24" s="1"/>
      <c r="X24" s="1"/>
      <c r="Y24" s="1"/>
      <c r="Z24" s="1"/>
    </row>
    <row r="25" spans="1:26">
      <c r="A25" s="45" t="s">
        <v>36</v>
      </c>
      <c r="B25" s="49">
        <f>'10_Rekap Perusahaan'!D5</f>
        <v>0.85</v>
      </c>
      <c r="C25" s="49">
        <f>'10_Rekap Perusahaan'!C5</f>
        <v>0.77623640097807856</v>
      </c>
      <c r="D25" s="45"/>
      <c r="E25" s="45"/>
      <c r="F25" s="45"/>
      <c r="G25" s="45"/>
      <c r="H25" s="45"/>
      <c r="I25" s="45">
        <v>1</v>
      </c>
      <c r="J25" s="45" t="str">
        <f>INDEX('08_Rekap Individu'!$B$5:$B$13,MATCH(L25,'08_Rekap Individu'!$D$5:$D$13,0))</f>
        <v>HR Staff (Ganti Nama)</v>
      </c>
      <c r="K25" s="45" t="str">
        <f>INDEX('08_Rekap Individu'!$C$5:$C$13,MATCH(L25,'08_Rekap Individu'!$D$5:$D$13,0))</f>
        <v>HR</v>
      </c>
      <c r="L25" s="49">
        <f>LARGE('08_Rekap Individu'!$D$5:$D$13,I25)</f>
        <v>0.91795555555555541</v>
      </c>
      <c r="M25" s="45"/>
      <c r="N25" s="45"/>
      <c r="O25" s="45"/>
      <c r="P25" s="45"/>
      <c r="Q25" s="45"/>
      <c r="R25" s="1"/>
      <c r="S25" s="1"/>
      <c r="T25" s="1"/>
      <c r="U25" s="1"/>
      <c r="V25" s="1"/>
      <c r="W25" s="1"/>
      <c r="X25" s="1"/>
      <c r="Y25" s="1"/>
      <c r="Z25" s="1"/>
    </row>
    <row r="26" spans="1:26">
      <c r="A26" s="45" t="s">
        <v>37</v>
      </c>
      <c r="B26" s="49">
        <f>'10_Rekap Perusahaan'!D6</f>
        <v>0.85</v>
      </c>
      <c r="C26" s="49">
        <f>'10_Rekap Perusahaan'!C6</f>
        <v>0.81527369826475959</v>
      </c>
      <c r="D26" s="45"/>
      <c r="E26" s="45"/>
      <c r="F26" s="45"/>
      <c r="G26" s="45"/>
      <c r="H26" s="45"/>
      <c r="I26" s="45">
        <v>2</v>
      </c>
      <c r="J26" s="45" t="str">
        <f>INDEX('08_Rekap Individu'!$B$5:$B$13,MATCH(L26,'08_Rekap Individu'!$D$5:$D$13,0))</f>
        <v>Kia</v>
      </c>
      <c r="K26" s="45" t="str">
        <f>INDEX('08_Rekap Individu'!$C$5:$C$13,MATCH(L26,'08_Rekap Individu'!$D$5:$D$13,0))</f>
        <v>Marketing</v>
      </c>
      <c r="L26" s="49">
        <f>LARGE('08_Rekap Individu'!$D$5:$D$13,I26)</f>
        <v>0.9074000000000001</v>
      </c>
      <c r="M26" s="45"/>
      <c r="N26" s="45"/>
      <c r="O26" s="45"/>
      <c r="P26" s="45"/>
      <c r="Q26" s="45"/>
      <c r="R26" s="1"/>
      <c r="S26" s="1"/>
      <c r="T26" s="1"/>
      <c r="U26" s="1"/>
      <c r="V26" s="1"/>
      <c r="W26" s="1"/>
      <c r="X26" s="1"/>
      <c r="Y26" s="1"/>
      <c r="Z26" s="1"/>
    </row>
    <row r="27" spans="1:26">
      <c r="A27" s="45" t="s">
        <v>38</v>
      </c>
      <c r="B27" s="49">
        <f>'10_Rekap Perusahaan'!D7</f>
        <v>0.85</v>
      </c>
      <c r="C27" s="49">
        <f>'10_Rekap Perusahaan'!C7</f>
        <v>0.83609859596974556</v>
      </c>
      <c r="D27" s="45"/>
      <c r="E27" s="45"/>
      <c r="F27" s="45"/>
      <c r="G27" s="45"/>
      <c r="H27" s="45"/>
      <c r="I27" s="45">
        <v>3</v>
      </c>
      <c r="J27" s="45" t="str">
        <f>INDEX('08_Rekap Individu'!$B$5:$B$13,MATCH(L27,'08_Rekap Individu'!$D$5:$D$13,0))</f>
        <v>Supervisor Produksi (Ganti Nama)</v>
      </c>
      <c r="K27" s="45" t="str">
        <f>INDEX('08_Rekap Individu'!$C$5:$C$13,MATCH(L27,'08_Rekap Individu'!$D$5:$D$13,0))</f>
        <v>Produksi</v>
      </c>
      <c r="L27" s="49">
        <f>LARGE('08_Rekap Individu'!$D$5:$D$13,I27)</f>
        <v>0.88661917293233072</v>
      </c>
      <c r="M27" s="45"/>
      <c r="N27" s="45"/>
      <c r="O27" s="45"/>
      <c r="P27" s="45"/>
      <c r="Q27" s="45"/>
      <c r="R27" s="1"/>
      <c r="S27" s="1"/>
      <c r="T27" s="1"/>
      <c r="U27" s="1"/>
      <c r="V27" s="1"/>
      <c r="W27" s="1"/>
      <c r="X27" s="1"/>
      <c r="Y27" s="1"/>
      <c r="Z27" s="1"/>
    </row>
    <row r="28" spans="1:26">
      <c r="A28" s="45" t="s">
        <v>39</v>
      </c>
      <c r="B28" s="49">
        <f>'10_Rekap Perusahaan'!D8</f>
        <v>0.85</v>
      </c>
      <c r="C28" s="49">
        <f>'10_Rekap Perusahaan'!C8</f>
        <v>0.86582809428158147</v>
      </c>
      <c r="D28" s="45"/>
      <c r="E28" s="45"/>
      <c r="F28" s="45"/>
      <c r="G28" s="45"/>
      <c r="H28" s="45"/>
      <c r="I28" s="45">
        <v>4</v>
      </c>
      <c r="J28" s="45" t="str">
        <f>INDEX('08_Rekap Individu'!$B$5:$B$13,MATCH(L28,'08_Rekap Individu'!$D$5:$D$13,0))</f>
        <v>Jessie</v>
      </c>
      <c r="K28" s="45" t="str">
        <f>INDEX('08_Rekap Individu'!$C$5:$C$13,MATCH(L28,'08_Rekap Individu'!$D$5:$D$13,0))</f>
        <v>Marketing</v>
      </c>
      <c r="L28" s="49">
        <f>LARGE('08_Rekap Individu'!$D$5:$D$13,I28)</f>
        <v>0.87849999999999995</v>
      </c>
      <c r="M28" s="45"/>
      <c r="N28" s="45"/>
      <c r="O28" s="45"/>
      <c r="P28" s="45"/>
      <c r="Q28" s="45"/>
      <c r="R28" s="1"/>
      <c r="S28" s="1"/>
      <c r="T28" s="1"/>
      <c r="U28" s="1"/>
      <c r="V28" s="1"/>
      <c r="W28" s="1"/>
      <c r="X28" s="1"/>
      <c r="Y28" s="1"/>
      <c r="Z28" s="1"/>
    </row>
    <row r="29" spans="1:26">
      <c r="A29" s="45" t="s">
        <v>40</v>
      </c>
      <c r="B29" s="49">
        <f>'10_Rekap Perusahaan'!D9</f>
        <v>0.85</v>
      </c>
      <c r="C29" s="49">
        <f>'10_Rekap Perusahaan'!C9</f>
        <v>0.85593202145661673</v>
      </c>
      <c r="D29" s="45"/>
      <c r="E29" s="45"/>
      <c r="F29" s="45"/>
      <c r="G29" s="45"/>
      <c r="H29" s="45"/>
      <c r="I29" s="45">
        <v>5</v>
      </c>
      <c r="J29" s="45" t="str">
        <f>INDEX('08_Rekap Individu'!$B$5:$B$13,MATCH(L29,'08_Rekap Individu'!$D$5:$D$13,0))</f>
        <v>Admin AP (Ganti Nama)</v>
      </c>
      <c r="K29" s="45" t="str">
        <f>INDEX('08_Rekap Individu'!$C$5:$C$13,MATCH(L29,'08_Rekap Individu'!$D$5:$D$13,0))</f>
        <v>Admin</v>
      </c>
      <c r="L29" s="49">
        <f>LARGE('08_Rekap Individu'!$D$5:$D$13,I29)</f>
        <v>0.86655967295459135</v>
      </c>
      <c r="M29" s="45"/>
      <c r="N29" s="45"/>
      <c r="O29" s="45"/>
      <c r="P29" s="45"/>
      <c r="Q29" s="45"/>
      <c r="R29" s="1"/>
      <c r="S29" s="1"/>
      <c r="T29" s="1"/>
      <c r="U29" s="1"/>
      <c r="V29" s="1"/>
      <c r="W29" s="1"/>
      <c r="X29" s="1"/>
      <c r="Y29" s="1"/>
      <c r="Z29" s="1"/>
    </row>
    <row r="30" spans="1:26">
      <c r="A30" s="45" t="s">
        <v>41</v>
      </c>
      <c r="B30" s="49">
        <f>'10_Rekap Perusahaan'!D10</f>
        <v>0.85</v>
      </c>
      <c r="C30" s="49">
        <f>'10_Rekap Perusahaan'!C10</f>
        <v>0.88623345703462897</v>
      </c>
      <c r="D30" s="45"/>
      <c r="E30" s="45"/>
      <c r="F30" s="45"/>
      <c r="G30" s="45"/>
      <c r="H30" s="45"/>
      <c r="I30" s="45"/>
      <c r="J30" s="45"/>
      <c r="K30" s="45"/>
      <c r="L30" s="45"/>
      <c r="M30" s="45"/>
      <c r="N30" s="45"/>
      <c r="O30" s="45"/>
      <c r="P30" s="45"/>
      <c r="Q30" s="45"/>
      <c r="R30" s="1"/>
      <c r="S30" s="1"/>
      <c r="T30" s="1"/>
      <c r="U30" s="1"/>
      <c r="V30" s="1"/>
      <c r="W30" s="1"/>
      <c r="X30" s="1"/>
      <c r="Y30" s="1"/>
      <c r="Z30" s="1"/>
    </row>
    <row r="31" spans="1:26">
      <c r="A31" s="45" t="s">
        <v>42</v>
      </c>
      <c r="B31" s="49">
        <f>'10_Rekap Perusahaan'!D11</f>
        <v>0.85</v>
      </c>
      <c r="C31" s="49">
        <f>'10_Rekap Perusahaan'!C11</f>
        <v>0.90576910651369624</v>
      </c>
      <c r="D31" s="45"/>
      <c r="E31" s="45"/>
      <c r="F31" s="45"/>
      <c r="G31" s="45"/>
      <c r="H31" s="45"/>
      <c r="I31" s="45"/>
      <c r="J31" s="45"/>
      <c r="K31" s="45"/>
      <c r="L31" s="45"/>
      <c r="M31" s="45"/>
      <c r="N31" s="45"/>
      <c r="O31" s="45"/>
      <c r="P31" s="45"/>
      <c r="Q31" s="45"/>
      <c r="R31" s="1"/>
      <c r="S31" s="1"/>
      <c r="T31" s="1"/>
      <c r="U31" s="1"/>
      <c r="V31" s="1"/>
      <c r="W31" s="1"/>
      <c r="X31" s="1"/>
      <c r="Y31" s="1"/>
      <c r="Z31" s="1"/>
    </row>
    <row r="32" spans="1:26">
      <c r="A32" s="45" t="s">
        <v>43</v>
      </c>
      <c r="B32" s="49">
        <f>'10_Rekap Perusahaan'!D12</f>
        <v>0.85</v>
      </c>
      <c r="C32" s="49">
        <f>'10_Rekap Perusahaan'!C12</f>
        <v>0.87186788990878639</v>
      </c>
      <c r="D32" s="45"/>
      <c r="E32" s="45"/>
      <c r="F32" s="45"/>
      <c r="G32" s="45"/>
      <c r="H32" s="45"/>
      <c r="I32" s="45"/>
      <c r="J32" s="45"/>
      <c r="K32" s="45"/>
      <c r="L32" s="45"/>
      <c r="M32" s="45"/>
      <c r="N32" s="45"/>
      <c r="O32" s="45"/>
      <c r="P32" s="45"/>
      <c r="Q32" s="45"/>
      <c r="R32" s="1"/>
      <c r="S32" s="1"/>
      <c r="T32" s="1"/>
      <c r="U32" s="1"/>
      <c r="V32" s="1"/>
      <c r="W32" s="1"/>
      <c r="X32" s="1"/>
      <c r="Y32" s="1"/>
      <c r="Z32" s="1"/>
    </row>
    <row r="33" spans="1:26">
      <c r="A33" s="45" t="s">
        <v>44</v>
      </c>
      <c r="B33" s="49">
        <f>'10_Rekap Perusahaan'!D13</f>
        <v>0.85</v>
      </c>
      <c r="C33" s="49">
        <f>'10_Rekap Perusahaan'!C13</f>
        <v>0</v>
      </c>
      <c r="D33" s="45"/>
      <c r="E33" s="45"/>
      <c r="F33" s="45"/>
      <c r="G33" s="45"/>
      <c r="H33" s="45"/>
      <c r="I33" s="45"/>
      <c r="J33" s="45"/>
      <c r="K33" s="45"/>
      <c r="L33" s="45"/>
      <c r="M33" s="45"/>
      <c r="N33" s="45"/>
      <c r="O33" s="45"/>
      <c r="P33" s="45"/>
      <c r="Q33" s="45"/>
      <c r="R33" s="1"/>
      <c r="S33" s="1"/>
      <c r="T33" s="1"/>
      <c r="U33" s="1"/>
      <c r="V33" s="1"/>
      <c r="W33" s="1"/>
      <c r="X33" s="1"/>
      <c r="Y33" s="1"/>
      <c r="Z33" s="1"/>
    </row>
    <row r="34" spans="1:26">
      <c r="A34" s="45" t="s">
        <v>45</v>
      </c>
      <c r="B34" s="49">
        <f>'10_Rekap Perusahaan'!D14</f>
        <v>0.85</v>
      </c>
      <c r="C34" s="49">
        <f>'10_Rekap Perusahaan'!C14</f>
        <v>0</v>
      </c>
      <c r="D34" s="45"/>
      <c r="E34" s="45"/>
      <c r="F34" s="45"/>
      <c r="G34" s="45"/>
      <c r="H34" s="45"/>
      <c r="I34" s="45"/>
      <c r="J34" s="45"/>
      <c r="K34" s="45"/>
      <c r="L34" s="45"/>
      <c r="M34" s="45"/>
      <c r="N34" s="45"/>
      <c r="O34" s="45"/>
      <c r="P34" s="45"/>
      <c r="Q34" s="45"/>
      <c r="R34" s="1"/>
      <c r="S34" s="1"/>
      <c r="T34" s="1"/>
      <c r="U34" s="1"/>
      <c r="V34" s="1"/>
      <c r="W34" s="1"/>
      <c r="X34" s="1"/>
      <c r="Y34" s="1"/>
      <c r="Z34" s="1"/>
    </row>
    <row r="35" spans="1:26">
      <c r="A35" s="45" t="s">
        <v>46</v>
      </c>
      <c r="B35" s="49">
        <f>'10_Rekap Perusahaan'!D15</f>
        <v>0.85</v>
      </c>
      <c r="C35" s="49">
        <f>'10_Rekap Perusahaan'!C15</f>
        <v>0</v>
      </c>
      <c r="D35" s="45"/>
      <c r="E35" s="45"/>
      <c r="F35" s="45"/>
      <c r="G35" s="45"/>
      <c r="H35" s="45"/>
      <c r="I35" s="45"/>
      <c r="J35" s="45"/>
      <c r="K35" s="45"/>
      <c r="L35" s="45"/>
      <c r="M35" s="45"/>
      <c r="N35" s="45"/>
      <c r="O35" s="45"/>
      <c r="P35" s="45"/>
      <c r="Q35" s="45"/>
      <c r="R35" s="1"/>
      <c r="S35" s="1"/>
      <c r="T35" s="1"/>
      <c r="U35" s="1"/>
      <c r="V35" s="1"/>
      <c r="W35" s="1"/>
      <c r="X35" s="1"/>
      <c r="Y35" s="1"/>
      <c r="Z35" s="1"/>
    </row>
    <row r="36" spans="1:26">
      <c r="A36" s="45" t="s">
        <v>47</v>
      </c>
      <c r="B36" s="49">
        <f>'10_Rekap Perusahaan'!D16</f>
        <v>0.85</v>
      </c>
      <c r="C36" s="49">
        <f>'10_Rekap Perusahaan'!C16</f>
        <v>0</v>
      </c>
      <c r="D36" s="45"/>
      <c r="E36" s="45"/>
      <c r="F36" s="45"/>
      <c r="G36" s="45"/>
      <c r="H36" s="45"/>
      <c r="I36" s="45"/>
      <c r="J36" s="45"/>
      <c r="K36" s="45"/>
      <c r="L36" s="45"/>
      <c r="M36" s="45"/>
      <c r="N36" s="45"/>
      <c r="O36" s="45"/>
      <c r="P36" s="45"/>
      <c r="Q36" s="45"/>
      <c r="R36" s="1"/>
      <c r="S36" s="1"/>
      <c r="T36" s="1"/>
      <c r="U36" s="1"/>
      <c r="V36" s="1"/>
      <c r="W36" s="1"/>
      <c r="X36" s="1"/>
      <c r="Y36" s="1"/>
      <c r="Z36" s="1"/>
    </row>
    <row r="37" spans="1:26">
      <c r="A37" s="45"/>
      <c r="B37" s="45"/>
      <c r="C37" s="45"/>
      <c r="D37" s="45"/>
      <c r="E37" s="45"/>
      <c r="F37" s="45"/>
      <c r="G37" s="45"/>
      <c r="H37" s="45"/>
      <c r="I37" s="45"/>
      <c r="J37" s="45"/>
      <c r="K37" s="45"/>
      <c r="L37" s="45"/>
      <c r="M37" s="45"/>
      <c r="N37" s="45"/>
      <c r="O37" s="45"/>
      <c r="P37" s="45"/>
      <c r="Q37" s="45"/>
      <c r="R37" s="1"/>
      <c r="S37" s="1"/>
      <c r="T37" s="1"/>
      <c r="U37" s="1"/>
      <c r="V37" s="1"/>
      <c r="W37" s="1"/>
      <c r="X37" s="1"/>
      <c r="Y37" s="1"/>
      <c r="Z37" s="1"/>
    </row>
    <row r="38" spans="1:26">
      <c r="A38" s="45"/>
      <c r="B38" s="45"/>
      <c r="C38" s="45"/>
      <c r="D38" s="45"/>
      <c r="E38" s="45"/>
      <c r="F38" s="45"/>
      <c r="G38" s="45"/>
      <c r="H38" s="45"/>
      <c r="I38" s="45"/>
      <c r="J38" s="45"/>
      <c r="K38" s="45"/>
      <c r="L38" s="45"/>
      <c r="M38" s="45"/>
      <c r="N38" s="45"/>
      <c r="O38" s="45"/>
      <c r="P38" s="45"/>
      <c r="Q38" s="45"/>
      <c r="R38" s="1"/>
      <c r="S38" s="1"/>
      <c r="T38" s="1"/>
      <c r="U38" s="1"/>
      <c r="V38" s="1"/>
      <c r="W38" s="1"/>
      <c r="X38" s="1"/>
      <c r="Y38" s="1"/>
      <c r="Z38" s="1"/>
    </row>
    <row r="39" spans="1:26">
      <c r="A39" s="45"/>
      <c r="B39" s="45"/>
      <c r="C39" s="45"/>
      <c r="D39" s="45"/>
      <c r="E39" s="45"/>
      <c r="F39" s="45"/>
      <c r="G39" s="45"/>
      <c r="H39" s="45"/>
      <c r="I39" s="45"/>
      <c r="J39" s="45"/>
      <c r="K39" s="45"/>
      <c r="L39" s="45"/>
      <c r="M39" s="45"/>
      <c r="N39" s="45"/>
      <c r="O39" s="45"/>
      <c r="P39" s="45"/>
      <c r="Q39" s="45"/>
      <c r="R39" s="1"/>
      <c r="S39" s="1"/>
      <c r="T39" s="1"/>
      <c r="U39" s="1"/>
      <c r="V39" s="1"/>
      <c r="W39" s="1"/>
      <c r="X39" s="1"/>
      <c r="Y39" s="1"/>
      <c r="Z39" s="1"/>
    </row>
    <row r="40" spans="1:26">
      <c r="A40" s="45"/>
      <c r="B40" s="45"/>
      <c r="C40" s="45"/>
      <c r="D40" s="45"/>
      <c r="E40" s="45"/>
      <c r="F40" s="45"/>
      <c r="G40" s="45"/>
      <c r="H40" s="45"/>
      <c r="I40" s="45"/>
      <c r="J40" s="45"/>
      <c r="K40" s="45"/>
      <c r="L40" s="45"/>
      <c r="M40" s="45"/>
      <c r="N40" s="45"/>
      <c r="O40" s="45"/>
      <c r="P40" s="45"/>
      <c r="Q40" s="45"/>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50" t="s">
        <v>281</v>
      </c>
      <c r="B43" s="51"/>
      <c r="C43" s="51"/>
      <c r="D43" s="51"/>
      <c r="E43" s="51"/>
      <c r="F43" s="1"/>
      <c r="G43" s="1"/>
      <c r="H43" s="1"/>
      <c r="I43" s="1"/>
      <c r="J43" s="1"/>
      <c r="K43" s="1"/>
      <c r="L43" s="1"/>
      <c r="M43" s="1"/>
      <c r="N43" s="1"/>
      <c r="O43" s="1"/>
      <c r="P43" s="1"/>
      <c r="Q43" s="1"/>
      <c r="R43" s="1"/>
      <c r="S43" s="1"/>
      <c r="T43" s="1"/>
      <c r="U43" s="1"/>
      <c r="V43" s="1"/>
      <c r="W43" s="1"/>
      <c r="X43" s="1"/>
      <c r="Y43" s="1"/>
      <c r="Z43" s="1"/>
    </row>
    <row r="44" spans="1:26">
      <c r="A44" s="51"/>
      <c r="B44" s="51"/>
      <c r="C44" s="51"/>
      <c r="D44" s="51"/>
      <c r="E44" s="51"/>
      <c r="F44" s="1"/>
      <c r="G44" s="1"/>
      <c r="H44" s="1"/>
      <c r="I44" s="1"/>
      <c r="J44" s="1"/>
      <c r="K44" s="1"/>
      <c r="L44" s="1"/>
      <c r="M44" s="1"/>
      <c r="N44" s="1"/>
      <c r="O44" s="1"/>
      <c r="P44" s="1"/>
      <c r="Q44" s="1"/>
      <c r="R44" s="1"/>
      <c r="S44" s="1"/>
      <c r="T44" s="1"/>
      <c r="U44" s="1"/>
      <c r="V44" s="1"/>
      <c r="W44" s="1"/>
      <c r="X44" s="1"/>
      <c r="Y44" s="1"/>
      <c r="Z44" s="1"/>
    </row>
    <row r="45" spans="1:26">
      <c r="A45" s="51"/>
      <c r="B45" s="51"/>
      <c r="C45" s="51"/>
      <c r="D45" s="51"/>
      <c r="E45" s="51"/>
      <c r="F45" s="1"/>
      <c r="G45" s="1"/>
      <c r="H45" s="1"/>
      <c r="I45" s="1"/>
      <c r="J45" s="1"/>
      <c r="K45" s="1"/>
      <c r="L45" s="1"/>
      <c r="M45" s="1"/>
      <c r="N45" s="1"/>
      <c r="O45" s="1"/>
      <c r="P45" s="1"/>
      <c r="Q45" s="1"/>
      <c r="R45" s="1"/>
      <c r="S45" s="1"/>
      <c r="T45" s="1"/>
      <c r="U45" s="1"/>
      <c r="V45" s="1"/>
      <c r="W45" s="1"/>
      <c r="X45" s="1"/>
      <c r="Y45" s="1"/>
      <c r="Z45" s="1"/>
    </row>
    <row r="46" spans="1:26">
      <c r="A46" s="51"/>
      <c r="B46" s="51"/>
      <c r="C46" s="51"/>
      <c r="D46" s="51"/>
      <c r="E46" s="51"/>
      <c r="F46" s="1"/>
      <c r="G46" s="1"/>
      <c r="H46" s="1"/>
      <c r="I46" s="1"/>
      <c r="J46" s="1"/>
      <c r="K46" s="1"/>
      <c r="L46" s="1"/>
      <c r="M46" s="1"/>
      <c r="N46" s="1"/>
      <c r="O46" s="1"/>
      <c r="P46" s="1"/>
      <c r="Q46" s="1"/>
      <c r="R46" s="1"/>
      <c r="S46" s="1"/>
      <c r="T46" s="1"/>
      <c r="U46" s="1"/>
      <c r="V46" s="1"/>
      <c r="W46" s="1"/>
      <c r="X46" s="1"/>
      <c r="Y46" s="1"/>
      <c r="Z46" s="1"/>
    </row>
    <row r="47" spans="1:26">
      <c r="A47" s="51"/>
      <c r="B47" s="51"/>
      <c r="C47" s="51"/>
      <c r="D47" s="51"/>
      <c r="E47" s="51"/>
      <c r="F47" s="1"/>
      <c r="G47" s="1"/>
      <c r="H47" s="1"/>
      <c r="I47" s="1"/>
      <c r="J47" s="1"/>
      <c r="K47" s="1"/>
      <c r="L47" s="1"/>
      <c r="M47" s="1"/>
      <c r="N47" s="1"/>
      <c r="O47" s="1"/>
      <c r="P47" s="1"/>
      <c r="Q47" s="1"/>
      <c r="R47" s="1"/>
      <c r="S47" s="1"/>
      <c r="T47" s="1"/>
      <c r="U47" s="1"/>
      <c r="V47" s="1"/>
      <c r="W47" s="1"/>
      <c r="X47" s="1"/>
      <c r="Y47" s="1"/>
      <c r="Z47" s="1"/>
    </row>
    <row r="48" spans="1:26">
      <c r="A48" s="51"/>
      <c r="B48" s="51"/>
      <c r="C48" s="51"/>
      <c r="D48" s="51"/>
      <c r="E48" s="51"/>
      <c r="F48" s="1"/>
      <c r="G48" s="1"/>
      <c r="H48" s="1"/>
      <c r="I48" s="1"/>
      <c r="J48" s="1"/>
      <c r="K48" s="1"/>
      <c r="L48" s="1"/>
      <c r="M48" s="1"/>
      <c r="N48" s="1"/>
      <c r="O48" s="1"/>
      <c r="P48" s="1"/>
      <c r="Q48" s="1"/>
      <c r="R48" s="1"/>
      <c r="S48" s="1"/>
      <c r="T48" s="1"/>
      <c r="U48" s="1"/>
      <c r="V48" s="1"/>
      <c r="W48" s="1"/>
      <c r="X48" s="1"/>
      <c r="Y48" s="1"/>
      <c r="Z48" s="1"/>
    </row>
    <row r="49" spans="1:26">
      <c r="A49" s="51"/>
      <c r="B49" s="51"/>
      <c r="C49" s="51"/>
      <c r="D49" s="51"/>
      <c r="E49" s="51"/>
      <c r="F49" s="1"/>
      <c r="G49" s="1"/>
      <c r="H49" s="1"/>
      <c r="I49" s="1"/>
      <c r="J49" s="1"/>
      <c r="K49" s="1"/>
      <c r="L49" s="1"/>
      <c r="M49" s="1"/>
      <c r="N49" s="1"/>
      <c r="O49" s="1"/>
      <c r="P49" s="1"/>
      <c r="Q49" s="1"/>
      <c r="R49" s="1"/>
      <c r="S49" s="1"/>
      <c r="T49" s="1"/>
      <c r="U49" s="1"/>
      <c r="V49" s="1"/>
      <c r="W49" s="1"/>
      <c r="X49" s="1"/>
      <c r="Y49" s="1"/>
      <c r="Z49" s="1"/>
    </row>
    <row r="50" spans="1:26">
      <c r="A50" s="51"/>
      <c r="B50" s="51"/>
      <c r="C50" s="51"/>
      <c r="D50" s="51"/>
      <c r="E50" s="5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17">
    <mergeCell ref="A1:Q1"/>
    <mergeCell ref="A2:Q2"/>
    <mergeCell ref="A6:C6"/>
    <mergeCell ref="A7:C9"/>
    <mergeCell ref="D6:F6"/>
    <mergeCell ref="D7:F9"/>
    <mergeCell ref="G6:I6"/>
    <mergeCell ref="G7:I9"/>
    <mergeCell ref="J6:L6"/>
    <mergeCell ref="J7:L9"/>
    <mergeCell ref="M6:O6"/>
    <mergeCell ref="M7:O9"/>
    <mergeCell ref="A43:E50"/>
    <mergeCell ref="A12:G12"/>
    <mergeCell ref="A23:G23"/>
    <mergeCell ref="I12:K12"/>
    <mergeCell ref="I23:Q23"/>
  </mergeCell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xr:uid="{00000000-0002-0000-0000-000000000000}">
          <x14:formula1>
            <xm:f>'13_Setting'!$A$5:$A$16</xm:f>
          </x14:formula1>
          <xm:sqref>B3</xm:sqref>
        </x14:dataValidation>
        <x14:dataValidation type="list" xr:uid="{00000000-0002-0000-0000-000001000000}">
          <x14:formula1>
            <xm:f>'13_Setting'!$D$5:$D$9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80"/>
  <sheetViews>
    <sheetView showGridLines="0" workbookViewId="0"/>
  </sheetViews>
  <sheetFormatPr defaultRowHeight="13.8"/>
  <cols>
    <col min="1" max="1" width="16" customWidth="1"/>
    <col min="2" max="2" width="24" customWidth="1"/>
  </cols>
  <sheetData>
    <row r="1" spans="1:26" ht="34.049999999999997" customHeight="1">
      <c r="A1" s="55" t="s">
        <v>48</v>
      </c>
      <c r="B1" s="55" t="s">
        <v>48</v>
      </c>
      <c r="C1" s="55" t="s">
        <v>48</v>
      </c>
      <c r="D1" s="55" t="s">
        <v>48</v>
      </c>
      <c r="E1" s="1"/>
      <c r="F1" s="1"/>
      <c r="G1" s="1"/>
      <c r="H1" s="1"/>
      <c r="I1" s="1"/>
      <c r="J1" s="1"/>
      <c r="K1" s="1"/>
      <c r="L1" s="1"/>
      <c r="M1" s="1"/>
      <c r="N1" s="1"/>
      <c r="O1" s="1"/>
      <c r="P1" s="1"/>
      <c r="Q1" s="1"/>
      <c r="R1" s="1"/>
      <c r="S1" s="1"/>
      <c r="T1" s="1"/>
      <c r="U1" s="1"/>
      <c r="V1" s="1"/>
      <c r="W1" s="1"/>
      <c r="X1" s="1"/>
      <c r="Y1" s="1"/>
      <c r="Z1" s="1"/>
    </row>
    <row r="2" spans="1:26" ht="24" customHeight="1">
      <c r="A2" s="56" t="s">
        <v>49</v>
      </c>
      <c r="B2" s="56" t="s">
        <v>49</v>
      </c>
      <c r="C2" s="56" t="s">
        <v>49</v>
      </c>
      <c r="D2" s="56" t="s">
        <v>49</v>
      </c>
      <c r="E2" s="1"/>
      <c r="F2" s="1"/>
      <c r="G2" s="1"/>
      <c r="H2" s="1"/>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50</v>
      </c>
      <c r="B4" s="3" t="s">
        <v>15</v>
      </c>
      <c r="C4" s="1"/>
      <c r="D4" s="1"/>
      <c r="E4" s="1"/>
      <c r="F4" s="1"/>
      <c r="G4" s="1"/>
      <c r="H4" s="1"/>
      <c r="I4" s="1"/>
      <c r="J4" s="1"/>
      <c r="K4" s="1"/>
      <c r="L4" s="1"/>
      <c r="M4" s="1"/>
      <c r="N4" s="1"/>
      <c r="O4" s="1"/>
      <c r="P4" s="1"/>
      <c r="Q4" s="1"/>
      <c r="R4" s="1"/>
      <c r="S4" s="1"/>
      <c r="T4" s="1"/>
      <c r="U4" s="1"/>
      <c r="V4" s="1"/>
      <c r="W4" s="1"/>
      <c r="X4" s="1"/>
      <c r="Y4" s="1"/>
      <c r="Z4" s="1"/>
    </row>
    <row r="5" spans="1:26">
      <c r="A5" s="10" t="s">
        <v>51</v>
      </c>
      <c r="B5" s="10" t="s">
        <v>20</v>
      </c>
      <c r="C5" s="1"/>
      <c r="D5" s="1"/>
      <c r="E5" s="1"/>
      <c r="F5" s="1"/>
      <c r="G5" s="1"/>
      <c r="H5" s="1"/>
      <c r="I5" s="1"/>
      <c r="J5" s="1"/>
      <c r="K5" s="1"/>
      <c r="L5" s="1"/>
      <c r="M5" s="1"/>
      <c r="N5" s="1"/>
      <c r="O5" s="1"/>
      <c r="P5" s="1"/>
      <c r="Q5" s="1"/>
      <c r="R5" s="1"/>
      <c r="S5" s="1"/>
      <c r="T5" s="1"/>
      <c r="U5" s="1"/>
      <c r="V5" s="1"/>
      <c r="W5" s="1"/>
      <c r="X5" s="1"/>
      <c r="Y5" s="1"/>
      <c r="Z5" s="1"/>
    </row>
    <row r="6" spans="1:26">
      <c r="A6" s="11" t="s">
        <v>52</v>
      </c>
      <c r="B6" s="11" t="s">
        <v>22</v>
      </c>
      <c r="C6" s="1"/>
      <c r="D6" s="1"/>
      <c r="E6" s="1"/>
      <c r="F6" s="1"/>
      <c r="G6" s="1"/>
      <c r="H6" s="1"/>
      <c r="I6" s="1"/>
      <c r="J6" s="1"/>
      <c r="K6" s="1"/>
      <c r="L6" s="1"/>
      <c r="M6" s="1"/>
      <c r="N6" s="1"/>
      <c r="O6" s="1"/>
      <c r="P6" s="1"/>
      <c r="Q6" s="1"/>
      <c r="R6" s="1"/>
      <c r="S6" s="1"/>
      <c r="T6" s="1"/>
      <c r="U6" s="1"/>
      <c r="V6" s="1"/>
      <c r="W6" s="1"/>
      <c r="X6" s="1"/>
      <c r="Y6" s="1"/>
      <c r="Z6" s="1"/>
    </row>
    <row r="7" spans="1:26">
      <c r="A7" s="11" t="s">
        <v>53</v>
      </c>
      <c r="B7" s="11" t="s">
        <v>24</v>
      </c>
      <c r="C7" s="1"/>
      <c r="D7" s="1"/>
      <c r="E7" s="1"/>
      <c r="F7" s="1"/>
      <c r="G7" s="1"/>
      <c r="H7" s="1"/>
      <c r="I7" s="1"/>
      <c r="J7" s="1"/>
      <c r="K7" s="1"/>
      <c r="L7" s="1"/>
      <c r="M7" s="1"/>
      <c r="N7" s="1"/>
      <c r="O7" s="1"/>
      <c r="P7" s="1"/>
      <c r="Q7" s="1"/>
      <c r="R7" s="1"/>
      <c r="S7" s="1"/>
      <c r="T7" s="1"/>
      <c r="U7" s="1"/>
      <c r="V7" s="1"/>
      <c r="W7" s="1"/>
      <c r="X7" s="1"/>
      <c r="Y7" s="1"/>
      <c r="Z7" s="1"/>
    </row>
    <row r="8" spans="1:26">
      <c r="A8" s="11" t="s">
        <v>54</v>
      </c>
      <c r="B8" s="11" t="s">
        <v>26</v>
      </c>
      <c r="C8" s="1"/>
      <c r="D8" s="1"/>
      <c r="E8" s="1"/>
      <c r="F8" s="1"/>
      <c r="G8" s="1"/>
      <c r="H8" s="1"/>
      <c r="I8" s="1"/>
      <c r="J8" s="1"/>
      <c r="K8" s="1"/>
      <c r="L8" s="1"/>
      <c r="M8" s="1"/>
      <c r="N8" s="1"/>
      <c r="O8" s="1"/>
      <c r="P8" s="1"/>
      <c r="Q8" s="1"/>
      <c r="R8" s="1"/>
      <c r="S8" s="1"/>
      <c r="T8" s="1"/>
      <c r="U8" s="1"/>
      <c r="V8" s="1"/>
      <c r="W8" s="1"/>
      <c r="X8" s="1"/>
      <c r="Y8" s="1"/>
      <c r="Z8" s="1"/>
    </row>
    <row r="9" spans="1:26">
      <c r="A9" s="11" t="s">
        <v>55</v>
      </c>
      <c r="B9" s="11" t="s">
        <v>28</v>
      </c>
      <c r="C9" s="1"/>
      <c r="D9" s="1"/>
      <c r="E9" s="1"/>
      <c r="F9" s="1"/>
      <c r="G9" s="1"/>
      <c r="H9" s="1"/>
      <c r="I9" s="1"/>
      <c r="J9" s="1"/>
      <c r="K9" s="1"/>
      <c r="L9" s="1"/>
      <c r="M9" s="1"/>
      <c r="N9" s="1"/>
      <c r="O9" s="1"/>
      <c r="P9" s="1"/>
      <c r="Q9" s="1"/>
      <c r="R9" s="1"/>
      <c r="S9" s="1"/>
      <c r="T9" s="1"/>
      <c r="U9" s="1"/>
      <c r="V9" s="1"/>
      <c r="W9" s="1"/>
      <c r="X9" s="1"/>
      <c r="Y9" s="1"/>
      <c r="Z9" s="1"/>
    </row>
    <row r="10" spans="1:26">
      <c r="A10" s="12" t="s">
        <v>56</v>
      </c>
      <c r="B10" s="12" t="s">
        <v>30</v>
      </c>
      <c r="C10" s="1"/>
      <c r="D10" s="1"/>
      <c r="E10" s="1"/>
      <c r="F10" s="1"/>
      <c r="G10" s="1"/>
      <c r="H10" s="1"/>
      <c r="I10" s="1"/>
      <c r="J10" s="1"/>
      <c r="K10" s="1"/>
      <c r="L10" s="1"/>
      <c r="M10" s="1"/>
      <c r="N10" s="1"/>
      <c r="O10" s="1"/>
      <c r="P10" s="1"/>
      <c r="Q10" s="1"/>
      <c r="R10" s="1"/>
      <c r="S10" s="1"/>
      <c r="T10" s="1"/>
      <c r="U10" s="1"/>
      <c r="V10" s="1"/>
      <c r="W10" s="1"/>
      <c r="X10" s="1"/>
      <c r="Y10" s="1"/>
      <c r="Z10" s="1"/>
    </row>
    <row r="11" spans="1:26">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D1"/>
    <mergeCell ref="A2:D2"/>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80"/>
  <sheetViews>
    <sheetView showGridLines="0" tabSelected="1" workbookViewId="0">
      <selection sqref="A1:E1"/>
    </sheetView>
  </sheetViews>
  <sheetFormatPr defaultRowHeight="13.8"/>
  <cols>
    <col min="1" max="1" width="15" customWidth="1"/>
    <col min="2" max="2" width="28" customWidth="1"/>
    <col min="3" max="3" width="18" customWidth="1"/>
  </cols>
  <sheetData>
    <row r="1" spans="1:26" ht="34.049999999999997" customHeight="1">
      <c r="A1" s="55" t="s">
        <v>57</v>
      </c>
      <c r="B1" s="55" t="s">
        <v>57</v>
      </c>
      <c r="C1" s="55" t="s">
        <v>57</v>
      </c>
      <c r="D1" s="55" t="s">
        <v>57</v>
      </c>
      <c r="E1" s="55" t="s">
        <v>57</v>
      </c>
      <c r="F1" s="1"/>
      <c r="G1" s="1"/>
      <c r="H1" s="1"/>
      <c r="I1" s="1"/>
      <c r="J1" s="1"/>
      <c r="K1" s="1"/>
      <c r="L1" s="1"/>
      <c r="M1" s="1"/>
      <c r="N1" s="1"/>
      <c r="O1" s="1"/>
      <c r="P1" s="1"/>
      <c r="Q1" s="1"/>
      <c r="R1" s="1"/>
      <c r="S1" s="1"/>
      <c r="T1" s="1"/>
      <c r="U1" s="1"/>
      <c r="V1" s="1"/>
      <c r="W1" s="1"/>
      <c r="X1" s="1"/>
      <c r="Y1" s="1"/>
      <c r="Z1" s="1"/>
    </row>
    <row r="2" spans="1:26" ht="24" customHeight="1">
      <c r="A2" s="56" t="s">
        <v>58</v>
      </c>
      <c r="B2" s="56" t="s">
        <v>58</v>
      </c>
      <c r="C2" s="56" t="s">
        <v>58</v>
      </c>
      <c r="D2" s="56" t="s">
        <v>58</v>
      </c>
      <c r="E2" s="56" t="s">
        <v>58</v>
      </c>
      <c r="F2" s="1"/>
      <c r="G2" s="1"/>
      <c r="H2" s="1"/>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59</v>
      </c>
      <c r="B4" s="6" t="s">
        <v>60</v>
      </c>
      <c r="C4" s="3" t="s">
        <v>15</v>
      </c>
      <c r="D4" s="1"/>
      <c r="E4" s="1"/>
      <c r="F4" s="1"/>
      <c r="G4" s="1"/>
      <c r="H4" s="1"/>
      <c r="I4" s="1"/>
      <c r="J4" s="1"/>
      <c r="K4" s="1"/>
      <c r="L4" s="1"/>
      <c r="M4" s="1"/>
      <c r="N4" s="1"/>
      <c r="O4" s="1"/>
      <c r="P4" s="1"/>
      <c r="Q4" s="1"/>
      <c r="R4" s="1"/>
      <c r="S4" s="1"/>
      <c r="T4" s="1"/>
      <c r="U4" s="1"/>
      <c r="V4" s="1"/>
      <c r="W4" s="1"/>
      <c r="X4" s="1"/>
      <c r="Y4" s="1"/>
      <c r="Z4" s="1"/>
    </row>
    <row r="5" spans="1:26">
      <c r="A5" s="1" t="s">
        <v>61</v>
      </c>
      <c r="B5" s="1" t="s">
        <v>62</v>
      </c>
      <c r="C5" s="1" t="s">
        <v>20</v>
      </c>
      <c r="D5" s="1"/>
      <c r="E5" s="1"/>
      <c r="F5" s="1"/>
      <c r="G5" s="1"/>
      <c r="H5" s="1"/>
      <c r="I5" s="1"/>
      <c r="J5" s="1"/>
      <c r="K5" s="1"/>
      <c r="L5" s="1"/>
      <c r="M5" s="1"/>
      <c r="N5" s="1"/>
      <c r="O5" s="1"/>
      <c r="P5" s="1"/>
      <c r="Q5" s="1"/>
      <c r="R5" s="1"/>
      <c r="S5" s="1"/>
      <c r="T5" s="1"/>
      <c r="U5" s="1"/>
      <c r="V5" s="1"/>
      <c r="W5" s="1"/>
      <c r="X5" s="1"/>
      <c r="Y5" s="1"/>
      <c r="Z5" s="1"/>
    </row>
    <row r="6" spans="1:26">
      <c r="A6" s="1" t="s">
        <v>63</v>
      </c>
      <c r="B6" s="1" t="s">
        <v>64</v>
      </c>
      <c r="C6" s="1" t="s">
        <v>20</v>
      </c>
      <c r="D6" s="1"/>
      <c r="E6" s="1"/>
      <c r="F6" s="1"/>
      <c r="G6" s="1"/>
      <c r="H6" s="1"/>
      <c r="I6" s="1"/>
      <c r="J6" s="1"/>
      <c r="K6" s="1"/>
      <c r="L6" s="1"/>
      <c r="M6" s="1"/>
      <c r="N6" s="1"/>
      <c r="O6" s="1"/>
      <c r="P6" s="1"/>
      <c r="Q6" s="1"/>
      <c r="R6" s="1"/>
      <c r="S6" s="1"/>
      <c r="T6" s="1"/>
      <c r="U6" s="1"/>
      <c r="V6" s="1"/>
      <c r="W6" s="1"/>
      <c r="X6" s="1"/>
      <c r="Y6" s="1"/>
      <c r="Z6" s="1"/>
    </row>
    <row r="7" spans="1:26">
      <c r="A7" s="1" t="s">
        <v>65</v>
      </c>
      <c r="B7" s="1" t="s">
        <v>66</v>
      </c>
      <c r="C7" s="1" t="s">
        <v>22</v>
      </c>
      <c r="D7" s="1"/>
      <c r="E7" s="1"/>
      <c r="F7" s="1"/>
      <c r="G7" s="1"/>
      <c r="H7" s="1"/>
      <c r="I7" s="1"/>
      <c r="J7" s="1"/>
      <c r="K7" s="1"/>
      <c r="L7" s="1"/>
      <c r="M7" s="1"/>
      <c r="N7" s="1"/>
      <c r="O7" s="1"/>
      <c r="P7" s="1"/>
      <c r="Q7" s="1"/>
      <c r="R7" s="1"/>
      <c r="S7" s="1"/>
      <c r="T7" s="1"/>
      <c r="U7" s="1"/>
      <c r="V7" s="1"/>
      <c r="W7" s="1"/>
      <c r="X7" s="1"/>
      <c r="Y7" s="1"/>
      <c r="Z7" s="1"/>
    </row>
    <row r="8" spans="1:26">
      <c r="A8" s="1" t="s">
        <v>67</v>
      </c>
      <c r="B8" s="1" t="s">
        <v>68</v>
      </c>
      <c r="C8" s="1" t="s">
        <v>22</v>
      </c>
      <c r="D8" s="1"/>
      <c r="E8" s="1"/>
      <c r="F8" s="1"/>
      <c r="G8" s="1"/>
      <c r="H8" s="1"/>
      <c r="I8" s="1"/>
      <c r="J8" s="1"/>
      <c r="K8" s="1"/>
      <c r="L8" s="1"/>
      <c r="M8" s="1"/>
      <c r="N8" s="1"/>
      <c r="O8" s="1"/>
      <c r="P8" s="1"/>
      <c r="Q8" s="1"/>
      <c r="R8" s="1"/>
      <c r="S8" s="1"/>
      <c r="T8" s="1"/>
      <c r="U8" s="1"/>
      <c r="V8" s="1"/>
      <c r="W8" s="1"/>
      <c r="X8" s="1"/>
      <c r="Y8" s="1"/>
      <c r="Z8" s="1"/>
    </row>
    <row r="9" spans="1:26">
      <c r="A9" s="1" t="s">
        <v>69</v>
      </c>
      <c r="B9" s="1" t="s">
        <v>70</v>
      </c>
      <c r="C9" s="1" t="s">
        <v>22</v>
      </c>
      <c r="D9" s="1"/>
      <c r="E9" s="1"/>
      <c r="F9" s="1"/>
      <c r="G9" s="1"/>
      <c r="H9" s="1"/>
      <c r="I9" s="1"/>
      <c r="J9" s="1"/>
      <c r="K9" s="1"/>
      <c r="L9" s="1"/>
      <c r="M9" s="1"/>
      <c r="N9" s="1"/>
      <c r="O9" s="1"/>
      <c r="P9" s="1"/>
      <c r="Q9" s="1"/>
      <c r="R9" s="1"/>
      <c r="S9" s="1"/>
      <c r="T9" s="1"/>
      <c r="U9" s="1"/>
      <c r="V9" s="1"/>
      <c r="W9" s="1"/>
      <c r="X9" s="1"/>
      <c r="Y9" s="1"/>
      <c r="Z9" s="1"/>
    </row>
    <row r="10" spans="1:26">
      <c r="A10" s="1" t="s">
        <v>71</v>
      </c>
      <c r="B10" s="1" t="s">
        <v>72</v>
      </c>
      <c r="C10" s="1" t="s">
        <v>22</v>
      </c>
      <c r="D10" s="1"/>
      <c r="E10" s="1"/>
      <c r="F10" s="1"/>
      <c r="G10" s="1"/>
      <c r="H10" s="1"/>
      <c r="I10" s="1"/>
      <c r="J10" s="1"/>
      <c r="K10" s="1"/>
      <c r="L10" s="1"/>
      <c r="M10" s="1"/>
      <c r="N10" s="1"/>
      <c r="O10" s="1"/>
      <c r="P10" s="1"/>
      <c r="Q10" s="1"/>
      <c r="R10" s="1"/>
      <c r="S10" s="1"/>
      <c r="T10" s="1"/>
      <c r="U10" s="1"/>
      <c r="V10" s="1"/>
      <c r="W10" s="1"/>
      <c r="X10" s="1"/>
      <c r="Y10" s="1"/>
      <c r="Z10" s="1"/>
    </row>
    <row r="11" spans="1:26">
      <c r="A11" s="1" t="s">
        <v>73</v>
      </c>
      <c r="B11" s="1" t="s">
        <v>74</v>
      </c>
      <c r="C11" s="1" t="s">
        <v>24</v>
      </c>
      <c r="D11" s="1"/>
      <c r="E11" s="1"/>
      <c r="F11" s="1"/>
      <c r="G11" s="1"/>
      <c r="H11" s="1"/>
      <c r="I11" s="1"/>
      <c r="J11" s="1"/>
      <c r="K11" s="1"/>
      <c r="L11" s="1"/>
      <c r="M11" s="1"/>
      <c r="N11" s="1"/>
      <c r="O11" s="1"/>
      <c r="P11" s="1"/>
      <c r="Q11" s="1"/>
      <c r="R11" s="1"/>
      <c r="S11" s="1"/>
      <c r="T11" s="1"/>
      <c r="U11" s="1"/>
      <c r="V11" s="1"/>
      <c r="W11" s="1"/>
      <c r="X11" s="1"/>
      <c r="Y11" s="1"/>
      <c r="Z11" s="1"/>
    </row>
    <row r="12" spans="1:26">
      <c r="A12" s="1" t="s">
        <v>75</v>
      </c>
      <c r="B12" s="1" t="s">
        <v>76</v>
      </c>
      <c r="C12" s="1" t="s">
        <v>26</v>
      </c>
      <c r="D12" s="1"/>
      <c r="E12" s="1"/>
      <c r="F12" s="1"/>
      <c r="G12" s="1"/>
      <c r="H12" s="1"/>
      <c r="I12" s="1"/>
      <c r="J12" s="1"/>
      <c r="K12" s="1"/>
      <c r="L12" s="1"/>
      <c r="M12" s="1"/>
      <c r="N12" s="1"/>
      <c r="O12" s="1"/>
      <c r="P12" s="1"/>
      <c r="Q12" s="1"/>
      <c r="R12" s="1"/>
      <c r="S12" s="1"/>
      <c r="T12" s="1"/>
      <c r="U12" s="1"/>
      <c r="V12" s="1"/>
      <c r="W12" s="1"/>
      <c r="X12" s="1"/>
      <c r="Y12" s="1"/>
      <c r="Z12" s="1"/>
    </row>
    <row r="13" spans="1:26">
      <c r="A13" s="1" t="s">
        <v>77</v>
      </c>
      <c r="B13" s="1" t="s">
        <v>78</v>
      </c>
      <c r="C13" s="1" t="s">
        <v>28</v>
      </c>
      <c r="D13" s="1"/>
      <c r="E13" s="1"/>
      <c r="F13" s="1"/>
      <c r="G13" s="1"/>
      <c r="H13" s="1"/>
      <c r="I13" s="1"/>
      <c r="J13" s="1"/>
      <c r="K13" s="1"/>
      <c r="L13" s="1"/>
      <c r="M13" s="1"/>
      <c r="N13" s="1"/>
      <c r="O13" s="1"/>
      <c r="P13" s="1"/>
      <c r="Q13" s="1"/>
      <c r="R13" s="1"/>
      <c r="S13" s="1"/>
      <c r="T13" s="1"/>
      <c r="U13" s="1"/>
      <c r="V13" s="1"/>
      <c r="W13" s="1"/>
      <c r="X13" s="1"/>
      <c r="Y13" s="1"/>
      <c r="Z13" s="1"/>
    </row>
    <row r="14" spans="1:26">
      <c r="A14" s="1" t="s">
        <v>79</v>
      </c>
      <c r="B14" s="1" t="s">
        <v>80</v>
      </c>
      <c r="C14" s="1" t="s">
        <v>30</v>
      </c>
      <c r="D14" s="1"/>
      <c r="E14" s="1"/>
      <c r="F14" s="1"/>
      <c r="G14" s="1"/>
      <c r="H14" s="1"/>
      <c r="I14" s="1"/>
      <c r="J14" s="1"/>
      <c r="K14" s="1"/>
      <c r="L14" s="1"/>
      <c r="M14" s="1"/>
      <c r="N14" s="1"/>
      <c r="O14" s="1"/>
      <c r="P14" s="1"/>
      <c r="Q14" s="1"/>
      <c r="R14" s="1"/>
      <c r="S14" s="1"/>
      <c r="T14" s="1"/>
      <c r="U14" s="1"/>
      <c r="V14" s="1"/>
      <c r="W14" s="1"/>
      <c r="X14" s="1"/>
      <c r="Y14" s="1"/>
      <c r="Z14" s="1"/>
    </row>
    <row r="15" spans="1:26">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E1"/>
    <mergeCell ref="A2:E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80"/>
  <sheetViews>
    <sheetView showGridLines="0" workbookViewId="0">
      <selection sqref="A1:H1"/>
    </sheetView>
  </sheetViews>
  <sheetFormatPr defaultRowHeight="13.8"/>
  <cols>
    <col min="1" max="1" width="14" customWidth="1"/>
    <col min="2" max="2" width="34" customWidth="1"/>
    <col min="3" max="3" width="16" customWidth="1"/>
    <col min="4" max="4" width="28" customWidth="1"/>
    <col min="5" max="6" width="16" customWidth="1"/>
  </cols>
  <sheetData>
    <row r="1" spans="1:26" ht="34.049999999999997" customHeight="1">
      <c r="A1" s="55" t="s">
        <v>81</v>
      </c>
      <c r="B1" s="55" t="s">
        <v>81</v>
      </c>
      <c r="C1" s="55" t="s">
        <v>81</v>
      </c>
      <c r="D1" s="55" t="s">
        <v>81</v>
      </c>
      <c r="E1" s="55" t="s">
        <v>81</v>
      </c>
      <c r="F1" s="55" t="s">
        <v>81</v>
      </c>
      <c r="G1" s="55" t="s">
        <v>81</v>
      </c>
      <c r="H1" s="55" t="s">
        <v>81</v>
      </c>
      <c r="I1" s="1"/>
      <c r="J1" s="1"/>
      <c r="K1" s="1"/>
      <c r="L1" s="1"/>
      <c r="M1" s="1"/>
      <c r="N1" s="1"/>
      <c r="O1" s="1"/>
      <c r="P1" s="1"/>
      <c r="Q1" s="1"/>
      <c r="R1" s="1"/>
      <c r="S1" s="1"/>
      <c r="T1" s="1"/>
      <c r="U1" s="1"/>
      <c r="V1" s="1"/>
      <c r="W1" s="1"/>
      <c r="X1" s="1"/>
      <c r="Y1" s="1"/>
      <c r="Z1" s="1"/>
    </row>
    <row r="2" spans="1:26" ht="24" customHeight="1">
      <c r="A2" s="56" t="s">
        <v>82</v>
      </c>
      <c r="B2" s="56" t="s">
        <v>82</v>
      </c>
      <c r="C2" s="56" t="s">
        <v>82</v>
      </c>
      <c r="D2" s="56" t="s">
        <v>82</v>
      </c>
      <c r="E2" s="56" t="s">
        <v>82</v>
      </c>
      <c r="F2" s="56" t="s">
        <v>82</v>
      </c>
      <c r="G2" s="56" t="s">
        <v>82</v>
      </c>
      <c r="H2" s="56" t="s">
        <v>82</v>
      </c>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83</v>
      </c>
      <c r="B4" s="6" t="s">
        <v>34</v>
      </c>
      <c r="C4" s="6" t="s">
        <v>15</v>
      </c>
      <c r="D4" s="6" t="s">
        <v>60</v>
      </c>
      <c r="E4" s="6" t="s">
        <v>84</v>
      </c>
      <c r="F4" s="3" t="s">
        <v>85</v>
      </c>
      <c r="G4" s="1"/>
      <c r="H4" s="1"/>
      <c r="I4" s="1"/>
      <c r="J4" s="1"/>
      <c r="K4" s="1"/>
      <c r="L4" s="1"/>
      <c r="M4" s="1"/>
      <c r="N4" s="1"/>
      <c r="O4" s="1"/>
      <c r="P4" s="1"/>
      <c r="Q4" s="1"/>
      <c r="R4" s="1"/>
      <c r="S4" s="1"/>
      <c r="T4" s="1"/>
      <c r="U4" s="1"/>
      <c r="V4" s="1"/>
      <c r="W4" s="1"/>
      <c r="X4" s="1"/>
      <c r="Y4" s="1"/>
      <c r="Z4" s="1"/>
    </row>
    <row r="5" spans="1:26">
      <c r="A5" s="1" t="s">
        <v>86</v>
      </c>
      <c r="B5" s="1" t="s">
        <v>87</v>
      </c>
      <c r="C5" s="1" t="s">
        <v>22</v>
      </c>
      <c r="D5" s="1" t="s">
        <v>66</v>
      </c>
      <c r="E5" s="1" t="s">
        <v>88</v>
      </c>
      <c r="F5" s="1" t="s">
        <v>89</v>
      </c>
      <c r="G5" s="1"/>
      <c r="H5" s="1"/>
      <c r="I5" s="1"/>
      <c r="J5" s="1"/>
      <c r="K5" s="1"/>
      <c r="L5" s="1"/>
      <c r="M5" s="1"/>
      <c r="N5" s="1"/>
      <c r="O5" s="1"/>
      <c r="P5" s="1"/>
      <c r="Q5" s="1"/>
      <c r="R5" s="1"/>
      <c r="S5" s="1"/>
      <c r="T5" s="1"/>
      <c r="U5" s="1"/>
      <c r="V5" s="1"/>
      <c r="W5" s="1"/>
      <c r="X5" s="1"/>
      <c r="Y5" s="1"/>
      <c r="Z5" s="1"/>
    </row>
    <row r="6" spans="1:26">
      <c r="A6" s="1" t="s">
        <v>90</v>
      </c>
      <c r="B6" s="1" t="s">
        <v>91</v>
      </c>
      <c r="C6" s="1" t="s">
        <v>22</v>
      </c>
      <c r="D6" s="1" t="s">
        <v>68</v>
      </c>
      <c r="E6" s="1" t="s">
        <v>87</v>
      </c>
      <c r="F6" s="1" t="s">
        <v>89</v>
      </c>
      <c r="G6" s="1"/>
      <c r="H6" s="1"/>
      <c r="I6" s="1"/>
      <c r="J6" s="1"/>
      <c r="K6" s="1"/>
      <c r="L6" s="1"/>
      <c r="M6" s="1"/>
      <c r="N6" s="1"/>
      <c r="O6" s="1"/>
      <c r="P6" s="1"/>
      <c r="Q6" s="1"/>
      <c r="R6" s="1"/>
      <c r="S6" s="1"/>
      <c r="T6" s="1"/>
      <c r="U6" s="1"/>
      <c r="V6" s="1"/>
      <c r="W6" s="1"/>
      <c r="X6" s="1"/>
      <c r="Y6" s="1"/>
      <c r="Z6" s="1"/>
    </row>
    <row r="7" spans="1:26">
      <c r="A7" s="1" t="s">
        <v>92</v>
      </c>
      <c r="B7" s="1" t="s">
        <v>93</v>
      </c>
      <c r="C7" s="1" t="s">
        <v>22</v>
      </c>
      <c r="D7" s="1" t="s">
        <v>70</v>
      </c>
      <c r="E7" s="1" t="s">
        <v>87</v>
      </c>
      <c r="F7" s="1" t="s">
        <v>89</v>
      </c>
      <c r="G7" s="1"/>
      <c r="H7" s="1"/>
      <c r="I7" s="1"/>
      <c r="J7" s="1"/>
      <c r="K7" s="1"/>
      <c r="L7" s="1"/>
      <c r="M7" s="1"/>
      <c r="N7" s="1"/>
      <c r="O7" s="1"/>
      <c r="P7" s="1"/>
      <c r="Q7" s="1"/>
      <c r="R7" s="1"/>
      <c r="S7" s="1"/>
      <c r="T7" s="1"/>
      <c r="U7" s="1"/>
      <c r="V7" s="1"/>
      <c r="W7" s="1"/>
      <c r="X7" s="1"/>
      <c r="Y7" s="1"/>
      <c r="Z7" s="1"/>
    </row>
    <row r="8" spans="1:26">
      <c r="A8" s="1" t="s">
        <v>94</v>
      </c>
      <c r="B8" s="1" t="s">
        <v>95</v>
      </c>
      <c r="C8" s="1" t="s">
        <v>22</v>
      </c>
      <c r="D8" s="1" t="s">
        <v>72</v>
      </c>
      <c r="E8" s="1" t="s">
        <v>87</v>
      </c>
      <c r="F8" s="1" t="s">
        <v>89</v>
      </c>
      <c r="G8" s="1"/>
      <c r="H8" s="1"/>
      <c r="I8" s="1"/>
      <c r="J8" s="1"/>
      <c r="K8" s="1"/>
      <c r="L8" s="1"/>
      <c r="M8" s="1"/>
      <c r="N8" s="1"/>
      <c r="O8" s="1"/>
      <c r="P8" s="1"/>
      <c r="Q8" s="1"/>
      <c r="R8" s="1"/>
      <c r="S8" s="1"/>
      <c r="T8" s="1"/>
      <c r="U8" s="1"/>
      <c r="V8" s="1"/>
      <c r="W8" s="1"/>
      <c r="X8" s="1"/>
      <c r="Y8" s="1"/>
      <c r="Z8" s="1"/>
    </row>
    <row r="9" spans="1:26">
      <c r="A9" s="1" t="s">
        <v>96</v>
      </c>
      <c r="B9" s="1" t="s">
        <v>97</v>
      </c>
      <c r="C9" s="1" t="s">
        <v>26</v>
      </c>
      <c r="D9" s="1" t="s">
        <v>76</v>
      </c>
      <c r="E9" s="1" t="s">
        <v>88</v>
      </c>
      <c r="F9" s="1" t="s">
        <v>89</v>
      </c>
      <c r="G9" s="1"/>
      <c r="H9" s="1"/>
      <c r="I9" s="1"/>
      <c r="J9" s="1"/>
      <c r="K9" s="1"/>
      <c r="L9" s="1"/>
      <c r="M9" s="1"/>
      <c r="N9" s="1"/>
      <c r="O9" s="1"/>
      <c r="P9" s="1"/>
      <c r="Q9" s="1"/>
      <c r="R9" s="1"/>
      <c r="S9" s="1"/>
      <c r="T9" s="1"/>
      <c r="U9" s="1"/>
      <c r="V9" s="1"/>
      <c r="W9" s="1"/>
      <c r="X9" s="1"/>
      <c r="Y9" s="1"/>
      <c r="Z9" s="1"/>
    </row>
    <row r="10" spans="1:26">
      <c r="A10" s="1" t="s">
        <v>98</v>
      </c>
      <c r="B10" s="1" t="s">
        <v>99</v>
      </c>
      <c r="C10" s="1" t="s">
        <v>24</v>
      </c>
      <c r="D10" s="1" t="s">
        <v>74</v>
      </c>
      <c r="E10" s="1" t="s">
        <v>88</v>
      </c>
      <c r="F10" s="1" t="s">
        <v>89</v>
      </c>
      <c r="G10" s="1"/>
      <c r="H10" s="1"/>
      <c r="I10" s="1"/>
      <c r="J10" s="1"/>
      <c r="K10" s="1"/>
      <c r="L10" s="1"/>
      <c r="M10" s="1"/>
      <c r="N10" s="1"/>
      <c r="O10" s="1"/>
      <c r="P10" s="1"/>
      <c r="Q10" s="1"/>
      <c r="R10" s="1"/>
      <c r="S10" s="1"/>
      <c r="T10" s="1"/>
      <c r="U10" s="1"/>
      <c r="V10" s="1"/>
      <c r="W10" s="1"/>
      <c r="X10" s="1"/>
      <c r="Y10" s="1"/>
      <c r="Z10" s="1"/>
    </row>
    <row r="11" spans="1:26">
      <c r="A11" s="1" t="s">
        <v>100</v>
      </c>
      <c r="B11" s="1" t="s">
        <v>101</v>
      </c>
      <c r="C11" s="1" t="s">
        <v>20</v>
      </c>
      <c r="D11" s="1" t="s">
        <v>62</v>
      </c>
      <c r="E11" s="1" t="s">
        <v>88</v>
      </c>
      <c r="F11" s="1" t="s">
        <v>89</v>
      </c>
      <c r="G11" s="1"/>
      <c r="H11" s="1"/>
      <c r="I11" s="1"/>
      <c r="J11" s="1"/>
      <c r="K11" s="1"/>
      <c r="L11" s="1"/>
      <c r="M11" s="1"/>
      <c r="N11" s="1"/>
      <c r="O11" s="1"/>
      <c r="P11" s="1"/>
      <c r="Q11" s="1"/>
      <c r="R11" s="1"/>
      <c r="S11" s="1"/>
      <c r="T11" s="1"/>
      <c r="U11" s="1"/>
      <c r="V11" s="1"/>
      <c r="W11" s="1"/>
      <c r="X11" s="1"/>
      <c r="Y11" s="1"/>
      <c r="Z11" s="1"/>
    </row>
    <row r="12" spans="1:26">
      <c r="A12" s="1" t="s">
        <v>102</v>
      </c>
      <c r="B12" s="1" t="s">
        <v>103</v>
      </c>
      <c r="C12" s="1" t="s">
        <v>28</v>
      </c>
      <c r="D12" s="1" t="s">
        <v>78</v>
      </c>
      <c r="E12" s="1" t="s">
        <v>88</v>
      </c>
      <c r="F12" s="1" t="s">
        <v>89</v>
      </c>
      <c r="G12" s="1"/>
      <c r="H12" s="1"/>
      <c r="I12" s="1"/>
      <c r="J12" s="1"/>
      <c r="K12" s="1"/>
      <c r="L12" s="1"/>
      <c r="M12" s="1"/>
      <c r="N12" s="1"/>
      <c r="O12" s="1"/>
      <c r="P12" s="1"/>
      <c r="Q12" s="1"/>
      <c r="R12" s="1"/>
      <c r="S12" s="1"/>
      <c r="T12" s="1"/>
      <c r="U12" s="1"/>
      <c r="V12" s="1"/>
      <c r="W12" s="1"/>
      <c r="X12" s="1"/>
      <c r="Y12" s="1"/>
      <c r="Z12" s="1"/>
    </row>
    <row r="13" spans="1:26">
      <c r="A13" s="1" t="s">
        <v>104</v>
      </c>
      <c r="B13" s="1" t="s">
        <v>105</v>
      </c>
      <c r="C13" s="1" t="s">
        <v>30</v>
      </c>
      <c r="D13" s="1" t="s">
        <v>80</v>
      </c>
      <c r="E13" s="1" t="s">
        <v>88</v>
      </c>
      <c r="F13" s="1" t="s">
        <v>89</v>
      </c>
      <c r="G13" s="1"/>
      <c r="H13" s="1"/>
      <c r="I13" s="1"/>
      <c r="J13" s="1"/>
      <c r="K13" s="1"/>
      <c r="L13" s="1"/>
      <c r="M13" s="1"/>
      <c r="N13" s="1"/>
      <c r="O13" s="1"/>
      <c r="P13" s="1"/>
      <c r="Q13" s="1"/>
      <c r="R13" s="1"/>
      <c r="S13" s="1"/>
      <c r="T13" s="1"/>
      <c r="U13" s="1"/>
      <c r="V13" s="1"/>
      <c r="W13" s="1"/>
      <c r="X13" s="1"/>
      <c r="Y13" s="1"/>
      <c r="Z13" s="1"/>
    </row>
    <row r="14" spans="1:26">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H1"/>
    <mergeCell ref="A2:H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80"/>
  <sheetViews>
    <sheetView showGridLines="0" workbookViewId="0"/>
  </sheetViews>
  <sheetFormatPr defaultRowHeight="13.8"/>
  <cols>
    <col min="1" max="1" width="18" customWidth="1"/>
    <col min="2" max="2" width="14" customWidth="1"/>
    <col min="3" max="3" width="32" customWidth="1"/>
    <col min="4" max="7" width="16" customWidth="1"/>
  </cols>
  <sheetData>
    <row r="1" spans="1:26" ht="34.049999999999997" customHeight="1">
      <c r="A1" s="55" t="s">
        <v>106</v>
      </c>
      <c r="B1" s="55" t="s">
        <v>106</v>
      </c>
      <c r="C1" s="55" t="s">
        <v>106</v>
      </c>
      <c r="D1" s="55" t="s">
        <v>106</v>
      </c>
      <c r="E1" s="55" t="s">
        <v>106</v>
      </c>
      <c r="F1" s="55" t="s">
        <v>106</v>
      </c>
      <c r="G1" s="55" t="s">
        <v>106</v>
      </c>
      <c r="H1" s="55" t="s">
        <v>106</v>
      </c>
      <c r="I1" s="55" t="s">
        <v>106</v>
      </c>
      <c r="J1" s="55" t="s">
        <v>106</v>
      </c>
      <c r="K1" s="1"/>
      <c r="L1" s="1"/>
      <c r="M1" s="1"/>
      <c r="N1" s="1"/>
      <c r="O1" s="1"/>
      <c r="P1" s="1"/>
      <c r="Q1" s="1"/>
      <c r="R1" s="1"/>
      <c r="S1" s="1"/>
      <c r="T1" s="1"/>
      <c r="U1" s="1"/>
      <c r="V1" s="1"/>
      <c r="W1" s="1"/>
      <c r="X1" s="1"/>
      <c r="Y1" s="1"/>
      <c r="Z1" s="1"/>
    </row>
    <row r="2" spans="1:26" ht="24" customHeight="1">
      <c r="A2" s="56" t="s">
        <v>107</v>
      </c>
      <c r="B2" s="56" t="s">
        <v>107</v>
      </c>
      <c r="C2" s="56" t="s">
        <v>107</v>
      </c>
      <c r="D2" s="56" t="s">
        <v>107</v>
      </c>
      <c r="E2" s="56" t="s">
        <v>107</v>
      </c>
      <c r="F2" s="56" t="s">
        <v>107</v>
      </c>
      <c r="G2" s="56" t="s">
        <v>107</v>
      </c>
      <c r="H2" s="56" t="s">
        <v>107</v>
      </c>
      <c r="I2" s="56" t="s">
        <v>107</v>
      </c>
      <c r="J2" s="56" t="s">
        <v>107</v>
      </c>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15</v>
      </c>
      <c r="B4" s="6" t="s">
        <v>108</v>
      </c>
      <c r="C4" s="6" t="s">
        <v>109</v>
      </c>
      <c r="D4" s="6" t="s">
        <v>110</v>
      </c>
      <c r="E4" s="6" t="s">
        <v>111</v>
      </c>
      <c r="F4" s="6" t="s">
        <v>112</v>
      </c>
      <c r="G4" s="3" t="s">
        <v>113</v>
      </c>
      <c r="H4" s="1"/>
      <c r="I4" s="2" t="s">
        <v>114</v>
      </c>
      <c r="J4" s="3" t="s">
        <v>115</v>
      </c>
      <c r="K4" s="1"/>
      <c r="L4" s="1"/>
      <c r="M4" s="1"/>
      <c r="N4" s="1"/>
      <c r="O4" s="1"/>
      <c r="P4" s="1"/>
      <c r="Q4" s="1"/>
      <c r="R4" s="1"/>
      <c r="S4" s="1"/>
      <c r="T4" s="1"/>
      <c r="U4" s="1"/>
      <c r="V4" s="1"/>
      <c r="W4" s="1"/>
      <c r="X4" s="1"/>
      <c r="Y4" s="1"/>
      <c r="Z4" s="1"/>
    </row>
    <row r="5" spans="1:26">
      <c r="A5" s="4" t="s">
        <v>20</v>
      </c>
      <c r="B5" s="4" t="s">
        <v>116</v>
      </c>
      <c r="C5" s="4" t="s">
        <v>117</v>
      </c>
      <c r="D5" s="4" t="s">
        <v>118</v>
      </c>
      <c r="E5" s="4">
        <v>40</v>
      </c>
      <c r="F5" s="4" t="s">
        <v>119</v>
      </c>
      <c r="G5" s="4" t="s">
        <v>120</v>
      </c>
      <c r="H5" s="1"/>
      <c r="I5" s="1" t="s">
        <v>20</v>
      </c>
      <c r="J5" s="1">
        <f t="shared" ref="J5:J10" si="0">SUMIF($A$5:$A$35,I5,$E$5:$E$35)</f>
        <v>100</v>
      </c>
      <c r="K5" s="1"/>
      <c r="L5" s="1"/>
      <c r="M5" s="1"/>
      <c r="N5" s="1"/>
      <c r="O5" s="1"/>
      <c r="P5" s="1"/>
      <c r="Q5" s="1"/>
      <c r="R5" s="1"/>
      <c r="S5" s="1"/>
      <c r="T5" s="1"/>
      <c r="U5" s="1"/>
      <c r="V5" s="1"/>
      <c r="W5" s="1"/>
      <c r="X5" s="1"/>
      <c r="Y5" s="1"/>
      <c r="Z5" s="1"/>
    </row>
    <row r="6" spans="1:26">
      <c r="A6" s="4" t="s">
        <v>20</v>
      </c>
      <c r="B6" s="4" t="s">
        <v>121</v>
      </c>
      <c r="C6" s="4" t="s">
        <v>122</v>
      </c>
      <c r="D6" s="4" t="s">
        <v>123</v>
      </c>
      <c r="E6" s="4">
        <v>25</v>
      </c>
      <c r="F6" s="4" t="s">
        <v>119</v>
      </c>
      <c r="G6" s="4" t="s">
        <v>124</v>
      </c>
      <c r="H6" s="1"/>
      <c r="I6" s="1" t="s">
        <v>22</v>
      </c>
      <c r="J6" s="1">
        <f t="shared" si="0"/>
        <v>100</v>
      </c>
      <c r="K6" s="1"/>
      <c r="L6" s="1"/>
      <c r="M6" s="1"/>
      <c r="N6" s="1"/>
      <c r="O6" s="1"/>
      <c r="P6" s="1"/>
      <c r="Q6" s="1"/>
      <c r="R6" s="1"/>
      <c r="S6" s="1"/>
      <c r="T6" s="1"/>
      <c r="U6" s="1"/>
      <c r="V6" s="1"/>
      <c r="W6" s="1"/>
      <c r="X6" s="1"/>
      <c r="Y6" s="1"/>
      <c r="Z6" s="1"/>
    </row>
    <row r="7" spans="1:26">
      <c r="A7" s="4" t="s">
        <v>20</v>
      </c>
      <c r="B7" s="4" t="s">
        <v>125</v>
      </c>
      <c r="C7" s="4" t="s">
        <v>126</v>
      </c>
      <c r="D7" s="4" t="s">
        <v>118</v>
      </c>
      <c r="E7" s="4">
        <v>20</v>
      </c>
      <c r="F7" s="4" t="s">
        <v>119</v>
      </c>
      <c r="G7" s="4" t="s">
        <v>120</v>
      </c>
      <c r="H7" s="1"/>
      <c r="I7" s="1" t="s">
        <v>24</v>
      </c>
      <c r="J7" s="1">
        <f t="shared" si="0"/>
        <v>100</v>
      </c>
      <c r="K7" s="1"/>
      <c r="L7" s="1"/>
      <c r="M7" s="1"/>
      <c r="N7" s="1"/>
      <c r="O7" s="1"/>
      <c r="P7" s="1"/>
      <c r="Q7" s="1"/>
      <c r="R7" s="1"/>
      <c r="S7" s="1"/>
      <c r="T7" s="1"/>
      <c r="U7" s="1"/>
      <c r="V7" s="1"/>
      <c r="W7" s="1"/>
      <c r="X7" s="1"/>
      <c r="Y7" s="1"/>
      <c r="Z7" s="1"/>
    </row>
    <row r="8" spans="1:26">
      <c r="A8" s="4" t="s">
        <v>20</v>
      </c>
      <c r="B8" s="4" t="s">
        <v>127</v>
      </c>
      <c r="C8" s="4" t="s">
        <v>128</v>
      </c>
      <c r="D8" s="4" t="s">
        <v>118</v>
      </c>
      <c r="E8" s="4">
        <v>15</v>
      </c>
      <c r="F8" s="4" t="s">
        <v>119</v>
      </c>
      <c r="G8" s="4" t="s">
        <v>120</v>
      </c>
      <c r="H8" s="1"/>
      <c r="I8" s="1" t="s">
        <v>26</v>
      </c>
      <c r="J8" s="1">
        <f t="shared" si="0"/>
        <v>100</v>
      </c>
      <c r="K8" s="1"/>
      <c r="L8" s="1"/>
      <c r="M8" s="1"/>
      <c r="N8" s="1"/>
      <c r="O8" s="1"/>
      <c r="P8" s="1"/>
      <c r="Q8" s="1"/>
      <c r="R8" s="1"/>
      <c r="S8" s="1"/>
      <c r="T8" s="1"/>
      <c r="U8" s="1"/>
      <c r="V8" s="1"/>
      <c r="W8" s="1"/>
      <c r="X8" s="1"/>
      <c r="Y8" s="1"/>
      <c r="Z8" s="1"/>
    </row>
    <row r="9" spans="1:26">
      <c r="A9" s="4" t="s">
        <v>24</v>
      </c>
      <c r="B9" s="4" t="s">
        <v>129</v>
      </c>
      <c r="C9" s="4" t="s">
        <v>130</v>
      </c>
      <c r="D9" s="4" t="s">
        <v>131</v>
      </c>
      <c r="E9" s="4">
        <v>20</v>
      </c>
      <c r="F9" s="4" t="s">
        <v>132</v>
      </c>
      <c r="G9" s="4" t="s">
        <v>120</v>
      </c>
      <c r="H9" s="1"/>
      <c r="I9" s="1" t="s">
        <v>28</v>
      </c>
      <c r="J9" s="1">
        <f t="shared" si="0"/>
        <v>100</v>
      </c>
      <c r="K9" s="1"/>
      <c r="L9" s="1"/>
      <c r="M9" s="1"/>
      <c r="N9" s="1"/>
      <c r="O9" s="1"/>
      <c r="P9" s="1"/>
      <c r="Q9" s="1"/>
      <c r="R9" s="1"/>
      <c r="S9" s="1"/>
      <c r="T9" s="1"/>
      <c r="U9" s="1"/>
      <c r="V9" s="1"/>
      <c r="W9" s="1"/>
      <c r="X9" s="1"/>
      <c r="Y9" s="1"/>
      <c r="Z9" s="1"/>
    </row>
    <row r="10" spans="1:26">
      <c r="A10" s="4" t="s">
        <v>24</v>
      </c>
      <c r="B10" s="4" t="s">
        <v>133</v>
      </c>
      <c r="C10" s="4" t="s">
        <v>134</v>
      </c>
      <c r="D10" s="4" t="s">
        <v>118</v>
      </c>
      <c r="E10" s="4">
        <v>20</v>
      </c>
      <c r="F10" s="4" t="s">
        <v>119</v>
      </c>
      <c r="G10" s="4" t="s">
        <v>120</v>
      </c>
      <c r="H10" s="1"/>
      <c r="I10" s="1" t="s">
        <v>30</v>
      </c>
      <c r="J10" s="1">
        <f t="shared" si="0"/>
        <v>100</v>
      </c>
      <c r="K10" s="1"/>
      <c r="L10" s="1"/>
      <c r="M10" s="1"/>
      <c r="N10" s="1"/>
      <c r="O10" s="1"/>
      <c r="P10" s="1"/>
      <c r="Q10" s="1"/>
      <c r="R10" s="1"/>
      <c r="S10" s="1"/>
      <c r="T10" s="1"/>
      <c r="U10" s="1"/>
      <c r="V10" s="1"/>
      <c r="W10" s="1"/>
      <c r="X10" s="1"/>
      <c r="Y10" s="1"/>
      <c r="Z10" s="1"/>
    </row>
    <row r="11" spans="1:26">
      <c r="A11" s="4" t="s">
        <v>24</v>
      </c>
      <c r="B11" s="4" t="s">
        <v>135</v>
      </c>
      <c r="C11" s="4" t="s">
        <v>136</v>
      </c>
      <c r="D11" s="4" t="s">
        <v>118</v>
      </c>
      <c r="E11" s="4">
        <v>15</v>
      </c>
      <c r="F11" s="4" t="s">
        <v>119</v>
      </c>
      <c r="G11" s="4" t="s">
        <v>120</v>
      </c>
      <c r="H11" s="1"/>
      <c r="I11" s="1"/>
      <c r="J11" s="1"/>
      <c r="K11" s="1"/>
      <c r="L11" s="1"/>
      <c r="M11" s="1"/>
      <c r="N11" s="1"/>
      <c r="O11" s="1"/>
      <c r="P11" s="1"/>
      <c r="Q11" s="1"/>
      <c r="R11" s="1"/>
      <c r="S11" s="1"/>
      <c r="T11" s="1"/>
      <c r="U11" s="1"/>
      <c r="V11" s="1"/>
      <c r="W11" s="1"/>
      <c r="X11" s="1"/>
      <c r="Y11" s="1"/>
      <c r="Z11" s="1"/>
    </row>
    <row r="12" spans="1:26">
      <c r="A12" s="4" t="s">
        <v>24</v>
      </c>
      <c r="B12" s="4" t="s">
        <v>137</v>
      </c>
      <c r="C12" s="4" t="s">
        <v>138</v>
      </c>
      <c r="D12" s="4" t="s">
        <v>118</v>
      </c>
      <c r="E12" s="4">
        <v>20</v>
      </c>
      <c r="F12" s="4" t="s">
        <v>119</v>
      </c>
      <c r="G12" s="4" t="s">
        <v>120</v>
      </c>
      <c r="H12" s="1"/>
      <c r="I12" s="1"/>
      <c r="J12" s="1"/>
      <c r="K12" s="1"/>
      <c r="L12" s="1"/>
      <c r="M12" s="1"/>
      <c r="N12" s="1"/>
      <c r="O12" s="1"/>
      <c r="P12" s="1"/>
      <c r="Q12" s="1"/>
      <c r="R12" s="1"/>
      <c r="S12" s="1"/>
      <c r="T12" s="1"/>
      <c r="U12" s="1"/>
      <c r="V12" s="1"/>
      <c r="W12" s="1"/>
      <c r="X12" s="1"/>
      <c r="Y12" s="1"/>
      <c r="Z12" s="1"/>
    </row>
    <row r="13" spans="1:26">
      <c r="A13" s="4" t="s">
        <v>24</v>
      </c>
      <c r="B13" s="4" t="s">
        <v>139</v>
      </c>
      <c r="C13" s="4" t="s">
        <v>140</v>
      </c>
      <c r="D13" s="4" t="s">
        <v>118</v>
      </c>
      <c r="E13" s="4">
        <v>15</v>
      </c>
      <c r="F13" s="4" t="s">
        <v>119</v>
      </c>
      <c r="G13" s="4" t="s">
        <v>120</v>
      </c>
      <c r="H13" s="1"/>
      <c r="I13" s="1"/>
      <c r="J13" s="1"/>
      <c r="K13" s="1"/>
      <c r="L13" s="1"/>
      <c r="M13" s="1"/>
      <c r="N13" s="1"/>
      <c r="O13" s="1"/>
      <c r="P13" s="1"/>
      <c r="Q13" s="1"/>
      <c r="R13" s="1"/>
      <c r="S13" s="1"/>
      <c r="T13" s="1"/>
      <c r="U13" s="1"/>
      <c r="V13" s="1"/>
      <c r="W13" s="1"/>
      <c r="X13" s="1"/>
      <c r="Y13" s="1"/>
      <c r="Z13" s="1"/>
    </row>
    <row r="14" spans="1:26">
      <c r="A14" s="4" t="s">
        <v>24</v>
      </c>
      <c r="B14" s="4" t="s">
        <v>141</v>
      </c>
      <c r="C14" s="4" t="s">
        <v>142</v>
      </c>
      <c r="D14" s="4" t="s">
        <v>118</v>
      </c>
      <c r="E14" s="4">
        <v>10</v>
      </c>
      <c r="F14" s="4" t="s">
        <v>119</v>
      </c>
      <c r="G14" s="4" t="s">
        <v>120</v>
      </c>
      <c r="H14" s="1"/>
      <c r="I14" s="1"/>
      <c r="J14" s="1"/>
      <c r="K14" s="1"/>
      <c r="L14" s="1"/>
      <c r="M14" s="1"/>
      <c r="N14" s="1"/>
      <c r="O14" s="1"/>
      <c r="P14" s="1"/>
      <c r="Q14" s="1"/>
      <c r="R14" s="1"/>
      <c r="S14" s="1"/>
      <c r="T14" s="1"/>
      <c r="U14" s="1"/>
      <c r="V14" s="1"/>
      <c r="W14" s="1"/>
      <c r="X14" s="1"/>
      <c r="Y14" s="1"/>
      <c r="Z14" s="1"/>
    </row>
    <row r="15" spans="1:26">
      <c r="A15" s="4" t="s">
        <v>22</v>
      </c>
      <c r="B15" s="4" t="s">
        <v>143</v>
      </c>
      <c r="C15" s="4" t="s">
        <v>144</v>
      </c>
      <c r="D15" s="4" t="s">
        <v>145</v>
      </c>
      <c r="E15" s="4">
        <v>15</v>
      </c>
      <c r="F15" s="4" t="s">
        <v>119</v>
      </c>
      <c r="G15" s="4" t="s">
        <v>124</v>
      </c>
      <c r="H15" s="1"/>
      <c r="I15" s="1"/>
      <c r="J15" s="1"/>
      <c r="K15" s="1"/>
      <c r="L15" s="1"/>
      <c r="M15" s="1"/>
      <c r="N15" s="1"/>
      <c r="O15" s="1"/>
      <c r="P15" s="1"/>
      <c r="Q15" s="1"/>
      <c r="R15" s="1"/>
      <c r="S15" s="1"/>
      <c r="T15" s="1"/>
      <c r="U15" s="1"/>
      <c r="V15" s="1"/>
      <c r="W15" s="1"/>
      <c r="X15" s="1"/>
      <c r="Y15" s="1"/>
      <c r="Z15" s="1"/>
    </row>
    <row r="16" spans="1:26">
      <c r="A16" s="4" t="s">
        <v>22</v>
      </c>
      <c r="B16" s="4" t="s">
        <v>146</v>
      </c>
      <c r="C16" s="4" t="s">
        <v>147</v>
      </c>
      <c r="D16" s="4" t="s">
        <v>118</v>
      </c>
      <c r="E16" s="4">
        <v>15</v>
      </c>
      <c r="F16" s="4" t="s">
        <v>119</v>
      </c>
      <c r="G16" s="4" t="s">
        <v>120</v>
      </c>
      <c r="H16" s="1"/>
      <c r="I16" s="1"/>
      <c r="J16" s="1"/>
      <c r="K16" s="1"/>
      <c r="L16" s="1"/>
      <c r="M16" s="1"/>
      <c r="N16" s="1"/>
      <c r="O16" s="1"/>
      <c r="P16" s="1"/>
      <c r="Q16" s="1"/>
      <c r="R16" s="1"/>
      <c r="S16" s="1"/>
      <c r="T16" s="1"/>
      <c r="U16" s="1"/>
      <c r="V16" s="1"/>
      <c r="W16" s="1"/>
      <c r="X16" s="1"/>
      <c r="Y16" s="1"/>
      <c r="Z16" s="1"/>
    </row>
    <row r="17" spans="1:26">
      <c r="A17" s="4" t="s">
        <v>22</v>
      </c>
      <c r="B17" s="4" t="s">
        <v>148</v>
      </c>
      <c r="C17" s="4" t="s">
        <v>149</v>
      </c>
      <c r="D17" s="4" t="s">
        <v>150</v>
      </c>
      <c r="E17" s="4">
        <v>20</v>
      </c>
      <c r="F17" s="4" t="s">
        <v>119</v>
      </c>
      <c r="G17" s="4" t="s">
        <v>124</v>
      </c>
      <c r="H17" s="1"/>
      <c r="I17" s="1"/>
      <c r="J17" s="1"/>
      <c r="K17" s="1"/>
      <c r="L17" s="1"/>
      <c r="M17" s="1"/>
      <c r="N17" s="1"/>
      <c r="O17" s="1"/>
      <c r="P17" s="1"/>
      <c r="Q17" s="1"/>
      <c r="R17" s="1"/>
      <c r="S17" s="1"/>
      <c r="T17" s="1"/>
      <c r="U17" s="1"/>
      <c r="V17" s="1"/>
      <c r="W17" s="1"/>
      <c r="X17" s="1"/>
      <c r="Y17" s="1"/>
      <c r="Z17" s="1"/>
    </row>
    <row r="18" spans="1:26">
      <c r="A18" s="4" t="s">
        <v>22</v>
      </c>
      <c r="B18" s="4" t="s">
        <v>151</v>
      </c>
      <c r="C18" s="4" t="s">
        <v>152</v>
      </c>
      <c r="D18" s="4" t="s">
        <v>118</v>
      </c>
      <c r="E18" s="4">
        <v>20</v>
      </c>
      <c r="F18" s="4" t="s">
        <v>119</v>
      </c>
      <c r="G18" s="4" t="s">
        <v>120</v>
      </c>
      <c r="H18" s="1"/>
      <c r="I18" s="1"/>
      <c r="J18" s="1"/>
      <c r="K18" s="1"/>
      <c r="L18" s="1"/>
      <c r="M18" s="1"/>
      <c r="N18" s="1"/>
      <c r="O18" s="1"/>
      <c r="P18" s="1"/>
      <c r="Q18" s="1"/>
      <c r="R18" s="1"/>
      <c r="S18" s="1"/>
      <c r="T18" s="1"/>
      <c r="U18" s="1"/>
      <c r="V18" s="1"/>
      <c r="W18" s="1"/>
      <c r="X18" s="1"/>
      <c r="Y18" s="1"/>
      <c r="Z18" s="1"/>
    </row>
    <row r="19" spans="1:26">
      <c r="A19" s="4" t="s">
        <v>22</v>
      </c>
      <c r="B19" s="4" t="s">
        <v>153</v>
      </c>
      <c r="C19" s="4" t="s">
        <v>154</v>
      </c>
      <c r="D19" s="4" t="s">
        <v>118</v>
      </c>
      <c r="E19" s="4">
        <v>20</v>
      </c>
      <c r="F19" s="4" t="s">
        <v>119</v>
      </c>
      <c r="G19" s="4" t="s">
        <v>120</v>
      </c>
      <c r="H19" s="1"/>
      <c r="I19" s="1"/>
      <c r="J19" s="1"/>
      <c r="K19" s="1"/>
      <c r="L19" s="1"/>
      <c r="M19" s="1"/>
      <c r="N19" s="1"/>
      <c r="O19" s="1"/>
      <c r="P19" s="1"/>
      <c r="Q19" s="1"/>
      <c r="R19" s="1"/>
      <c r="S19" s="1"/>
      <c r="T19" s="1"/>
      <c r="U19" s="1"/>
      <c r="V19" s="1"/>
      <c r="W19" s="1"/>
      <c r="X19" s="1"/>
      <c r="Y19" s="1"/>
      <c r="Z19" s="1"/>
    </row>
    <row r="20" spans="1:26">
      <c r="A20" s="4" t="s">
        <v>22</v>
      </c>
      <c r="B20" s="4" t="s">
        <v>155</v>
      </c>
      <c r="C20" s="4" t="s">
        <v>156</v>
      </c>
      <c r="D20" s="4" t="s">
        <v>118</v>
      </c>
      <c r="E20" s="4">
        <v>10</v>
      </c>
      <c r="F20" s="4" t="s">
        <v>119</v>
      </c>
      <c r="G20" s="4" t="s">
        <v>120</v>
      </c>
      <c r="H20" s="1"/>
      <c r="I20" s="1"/>
      <c r="J20" s="1"/>
      <c r="K20" s="1"/>
      <c r="L20" s="1"/>
      <c r="M20" s="1"/>
      <c r="N20" s="1"/>
      <c r="O20" s="1"/>
      <c r="P20" s="1"/>
      <c r="Q20" s="1"/>
      <c r="R20" s="1"/>
      <c r="S20" s="1"/>
      <c r="T20" s="1"/>
      <c r="U20" s="1"/>
      <c r="V20" s="1"/>
      <c r="W20" s="1"/>
      <c r="X20" s="1"/>
      <c r="Y20" s="1"/>
      <c r="Z20" s="1"/>
    </row>
    <row r="21" spans="1:26">
      <c r="A21" s="4" t="s">
        <v>26</v>
      </c>
      <c r="B21" s="4" t="s">
        <v>157</v>
      </c>
      <c r="C21" s="4" t="s">
        <v>158</v>
      </c>
      <c r="D21" s="4" t="s">
        <v>118</v>
      </c>
      <c r="E21" s="4">
        <v>30</v>
      </c>
      <c r="F21" s="4" t="s">
        <v>119</v>
      </c>
      <c r="G21" s="4" t="s">
        <v>120</v>
      </c>
      <c r="H21" s="1"/>
      <c r="I21" s="1"/>
      <c r="J21" s="1"/>
      <c r="K21" s="1"/>
      <c r="L21" s="1"/>
      <c r="M21" s="1"/>
      <c r="N21" s="1"/>
      <c r="O21" s="1"/>
      <c r="P21" s="1"/>
      <c r="Q21" s="1"/>
      <c r="R21" s="1"/>
      <c r="S21" s="1"/>
      <c r="T21" s="1"/>
      <c r="U21" s="1"/>
      <c r="V21" s="1"/>
      <c r="W21" s="1"/>
      <c r="X21" s="1"/>
      <c r="Y21" s="1"/>
      <c r="Z21" s="1"/>
    </row>
    <row r="22" spans="1:26">
      <c r="A22" s="4" t="s">
        <v>26</v>
      </c>
      <c r="B22" s="4" t="s">
        <v>159</v>
      </c>
      <c r="C22" s="4" t="s">
        <v>160</v>
      </c>
      <c r="D22" s="4" t="s">
        <v>118</v>
      </c>
      <c r="E22" s="4">
        <v>20</v>
      </c>
      <c r="F22" s="4" t="s">
        <v>119</v>
      </c>
      <c r="G22" s="4" t="s">
        <v>120</v>
      </c>
      <c r="H22" s="1"/>
      <c r="I22" s="1"/>
      <c r="J22" s="1"/>
      <c r="K22" s="1"/>
      <c r="L22" s="1"/>
      <c r="M22" s="1"/>
      <c r="N22" s="1"/>
      <c r="O22" s="1"/>
      <c r="P22" s="1"/>
      <c r="Q22" s="1"/>
      <c r="R22" s="1"/>
      <c r="S22" s="1"/>
      <c r="T22" s="1"/>
      <c r="U22" s="1"/>
      <c r="V22" s="1"/>
      <c r="W22" s="1"/>
      <c r="X22" s="1"/>
      <c r="Y22" s="1"/>
      <c r="Z22" s="1"/>
    </row>
    <row r="23" spans="1:26">
      <c r="A23" s="4" t="s">
        <v>26</v>
      </c>
      <c r="B23" s="4" t="s">
        <v>161</v>
      </c>
      <c r="C23" s="4" t="s">
        <v>162</v>
      </c>
      <c r="D23" s="4" t="s">
        <v>118</v>
      </c>
      <c r="E23" s="4">
        <v>20</v>
      </c>
      <c r="F23" s="4" t="s">
        <v>119</v>
      </c>
      <c r="G23" s="4" t="s">
        <v>120</v>
      </c>
      <c r="H23" s="1"/>
      <c r="I23" s="1"/>
      <c r="J23" s="1"/>
      <c r="K23" s="1"/>
      <c r="L23" s="1"/>
      <c r="M23" s="1"/>
      <c r="N23" s="1"/>
      <c r="O23" s="1"/>
      <c r="P23" s="1"/>
      <c r="Q23" s="1"/>
      <c r="R23" s="1"/>
      <c r="S23" s="1"/>
      <c r="T23" s="1"/>
      <c r="U23" s="1"/>
      <c r="V23" s="1"/>
      <c r="W23" s="1"/>
      <c r="X23" s="1"/>
      <c r="Y23" s="1"/>
      <c r="Z23" s="1"/>
    </row>
    <row r="24" spans="1:26">
      <c r="A24" s="4" t="s">
        <v>26</v>
      </c>
      <c r="B24" s="4" t="s">
        <v>163</v>
      </c>
      <c r="C24" s="4" t="s">
        <v>164</v>
      </c>
      <c r="D24" s="4" t="s">
        <v>165</v>
      </c>
      <c r="E24" s="4">
        <v>20</v>
      </c>
      <c r="F24" s="4" t="s">
        <v>132</v>
      </c>
      <c r="G24" s="4" t="s">
        <v>120</v>
      </c>
      <c r="H24" s="1"/>
      <c r="I24" s="1"/>
      <c r="J24" s="1"/>
      <c r="K24" s="1"/>
      <c r="L24" s="1"/>
      <c r="M24" s="1"/>
      <c r="N24" s="1"/>
      <c r="O24" s="1"/>
      <c r="P24" s="1"/>
      <c r="Q24" s="1"/>
      <c r="R24" s="1"/>
      <c r="S24" s="1"/>
      <c r="T24" s="1"/>
      <c r="U24" s="1"/>
      <c r="V24" s="1"/>
      <c r="W24" s="1"/>
      <c r="X24" s="1"/>
      <c r="Y24" s="1"/>
      <c r="Z24" s="1"/>
    </row>
    <row r="25" spans="1:26">
      <c r="A25" s="4" t="s">
        <v>26</v>
      </c>
      <c r="B25" s="4" t="s">
        <v>166</v>
      </c>
      <c r="C25" s="4" t="s">
        <v>167</v>
      </c>
      <c r="D25" s="4" t="s">
        <v>118</v>
      </c>
      <c r="E25" s="4">
        <v>10</v>
      </c>
      <c r="F25" s="4" t="s">
        <v>119</v>
      </c>
      <c r="G25" s="4" t="s">
        <v>120</v>
      </c>
      <c r="H25" s="1"/>
      <c r="I25" s="1"/>
      <c r="J25" s="1"/>
      <c r="K25" s="1"/>
      <c r="L25" s="1"/>
      <c r="M25" s="1"/>
      <c r="N25" s="1"/>
      <c r="O25" s="1"/>
      <c r="P25" s="1"/>
      <c r="Q25" s="1"/>
      <c r="R25" s="1"/>
      <c r="S25" s="1"/>
      <c r="T25" s="1"/>
      <c r="U25" s="1"/>
      <c r="V25" s="1"/>
      <c r="W25" s="1"/>
      <c r="X25" s="1"/>
      <c r="Y25" s="1"/>
      <c r="Z25" s="1"/>
    </row>
    <row r="26" spans="1:26">
      <c r="A26" s="4" t="s">
        <v>28</v>
      </c>
      <c r="B26" s="4" t="s">
        <v>168</v>
      </c>
      <c r="C26" s="4" t="s">
        <v>169</v>
      </c>
      <c r="D26" s="4" t="s">
        <v>118</v>
      </c>
      <c r="E26" s="4">
        <v>20</v>
      </c>
      <c r="F26" s="4" t="s">
        <v>119</v>
      </c>
      <c r="G26" s="4" t="s">
        <v>120</v>
      </c>
      <c r="H26" s="1"/>
      <c r="I26" s="1"/>
      <c r="J26" s="1"/>
      <c r="K26" s="1"/>
      <c r="L26" s="1"/>
      <c r="M26" s="1"/>
      <c r="N26" s="1"/>
      <c r="O26" s="1"/>
      <c r="P26" s="1"/>
      <c r="Q26" s="1"/>
      <c r="R26" s="1"/>
      <c r="S26" s="1"/>
      <c r="T26" s="1"/>
      <c r="U26" s="1"/>
      <c r="V26" s="1"/>
      <c r="W26" s="1"/>
      <c r="X26" s="1"/>
      <c r="Y26" s="1"/>
      <c r="Z26" s="1"/>
    </row>
    <row r="27" spans="1:26">
      <c r="A27" s="4" t="s">
        <v>28</v>
      </c>
      <c r="B27" s="4" t="s">
        <v>170</v>
      </c>
      <c r="C27" s="4" t="s">
        <v>171</v>
      </c>
      <c r="D27" s="4" t="s">
        <v>118</v>
      </c>
      <c r="E27" s="4">
        <v>20</v>
      </c>
      <c r="F27" s="4" t="s">
        <v>119</v>
      </c>
      <c r="G27" s="4" t="s">
        <v>120</v>
      </c>
      <c r="H27" s="1"/>
      <c r="I27" s="1"/>
      <c r="J27" s="1"/>
      <c r="K27" s="1"/>
      <c r="L27" s="1"/>
      <c r="M27" s="1"/>
      <c r="N27" s="1"/>
      <c r="O27" s="1"/>
      <c r="P27" s="1"/>
      <c r="Q27" s="1"/>
      <c r="R27" s="1"/>
      <c r="S27" s="1"/>
      <c r="T27" s="1"/>
      <c r="U27" s="1"/>
      <c r="V27" s="1"/>
      <c r="W27" s="1"/>
      <c r="X27" s="1"/>
      <c r="Y27" s="1"/>
      <c r="Z27" s="1"/>
    </row>
    <row r="28" spans="1:26">
      <c r="A28" s="4" t="s">
        <v>28</v>
      </c>
      <c r="B28" s="4" t="s">
        <v>172</v>
      </c>
      <c r="C28" s="4" t="s">
        <v>173</v>
      </c>
      <c r="D28" s="4" t="s">
        <v>118</v>
      </c>
      <c r="E28" s="4">
        <v>15</v>
      </c>
      <c r="F28" s="4" t="s">
        <v>119</v>
      </c>
      <c r="G28" s="4" t="s">
        <v>120</v>
      </c>
      <c r="H28" s="1"/>
      <c r="I28" s="1"/>
      <c r="J28" s="1"/>
      <c r="K28" s="1"/>
      <c r="L28" s="1"/>
      <c r="M28" s="1"/>
      <c r="N28" s="1"/>
      <c r="O28" s="1"/>
      <c r="P28" s="1"/>
      <c r="Q28" s="1"/>
      <c r="R28" s="1"/>
      <c r="S28" s="1"/>
      <c r="T28" s="1"/>
      <c r="U28" s="1"/>
      <c r="V28" s="1"/>
      <c r="W28" s="1"/>
      <c r="X28" s="1"/>
      <c r="Y28" s="1"/>
      <c r="Z28" s="1"/>
    </row>
    <row r="29" spans="1:26">
      <c r="A29" s="4" t="s">
        <v>28</v>
      </c>
      <c r="B29" s="4" t="s">
        <v>174</v>
      </c>
      <c r="C29" s="4" t="s">
        <v>175</v>
      </c>
      <c r="D29" s="4" t="s">
        <v>118</v>
      </c>
      <c r="E29" s="4">
        <v>15</v>
      </c>
      <c r="F29" s="4" t="s">
        <v>119</v>
      </c>
      <c r="G29" s="4" t="s">
        <v>120</v>
      </c>
      <c r="H29" s="1"/>
      <c r="I29" s="1"/>
      <c r="J29" s="1"/>
      <c r="K29" s="1"/>
      <c r="L29" s="1"/>
      <c r="M29" s="1"/>
      <c r="N29" s="1"/>
      <c r="O29" s="1"/>
      <c r="P29" s="1"/>
      <c r="Q29" s="1"/>
      <c r="R29" s="1"/>
      <c r="S29" s="1"/>
      <c r="T29" s="1"/>
      <c r="U29" s="1"/>
      <c r="V29" s="1"/>
      <c r="W29" s="1"/>
      <c r="X29" s="1"/>
      <c r="Y29" s="1"/>
      <c r="Z29" s="1"/>
    </row>
    <row r="30" spans="1:26">
      <c r="A30" s="4" t="s">
        <v>28</v>
      </c>
      <c r="B30" s="4" t="s">
        <v>176</v>
      </c>
      <c r="C30" s="4" t="s">
        <v>177</v>
      </c>
      <c r="D30" s="4" t="s">
        <v>118</v>
      </c>
      <c r="E30" s="4">
        <v>15</v>
      </c>
      <c r="F30" s="4" t="s">
        <v>119</v>
      </c>
      <c r="G30" s="4" t="s">
        <v>120</v>
      </c>
      <c r="H30" s="1"/>
      <c r="I30" s="1"/>
      <c r="J30" s="1"/>
      <c r="K30" s="1"/>
      <c r="L30" s="1"/>
      <c r="M30" s="1"/>
      <c r="N30" s="1"/>
      <c r="O30" s="1"/>
      <c r="P30" s="1"/>
      <c r="Q30" s="1"/>
      <c r="R30" s="1"/>
      <c r="S30" s="1"/>
      <c r="T30" s="1"/>
      <c r="U30" s="1"/>
      <c r="V30" s="1"/>
      <c r="W30" s="1"/>
      <c r="X30" s="1"/>
      <c r="Y30" s="1"/>
      <c r="Z30" s="1"/>
    </row>
    <row r="31" spans="1:26">
      <c r="A31" s="4" t="s">
        <v>28</v>
      </c>
      <c r="B31" s="4" t="s">
        <v>178</v>
      </c>
      <c r="C31" s="4" t="s">
        <v>179</v>
      </c>
      <c r="D31" s="4" t="s">
        <v>118</v>
      </c>
      <c r="E31" s="4">
        <v>15</v>
      </c>
      <c r="F31" s="4" t="s">
        <v>119</v>
      </c>
      <c r="G31" s="4" t="s">
        <v>120</v>
      </c>
      <c r="H31" s="1"/>
      <c r="I31" s="1"/>
      <c r="J31" s="1"/>
      <c r="K31" s="1"/>
      <c r="L31" s="1"/>
      <c r="M31" s="1"/>
      <c r="N31" s="1"/>
      <c r="O31" s="1"/>
      <c r="P31" s="1"/>
      <c r="Q31" s="1"/>
      <c r="R31" s="1"/>
      <c r="S31" s="1"/>
      <c r="T31" s="1"/>
      <c r="U31" s="1"/>
      <c r="V31" s="1"/>
      <c r="W31" s="1"/>
      <c r="X31" s="1"/>
      <c r="Y31" s="1"/>
      <c r="Z31" s="1"/>
    </row>
    <row r="32" spans="1:26">
      <c r="A32" s="4" t="s">
        <v>30</v>
      </c>
      <c r="B32" s="4" t="s">
        <v>180</v>
      </c>
      <c r="C32" s="4" t="s">
        <v>181</v>
      </c>
      <c r="D32" s="4" t="s">
        <v>118</v>
      </c>
      <c r="E32" s="4">
        <v>25</v>
      </c>
      <c r="F32" s="4" t="s">
        <v>119</v>
      </c>
      <c r="G32" s="4" t="s">
        <v>120</v>
      </c>
      <c r="H32" s="1"/>
      <c r="I32" s="1"/>
      <c r="J32" s="1"/>
      <c r="K32" s="1"/>
      <c r="L32" s="1"/>
      <c r="M32" s="1"/>
      <c r="N32" s="1"/>
      <c r="O32" s="1"/>
      <c r="P32" s="1"/>
      <c r="Q32" s="1"/>
      <c r="R32" s="1"/>
      <c r="S32" s="1"/>
      <c r="T32" s="1"/>
      <c r="U32" s="1"/>
      <c r="V32" s="1"/>
      <c r="W32" s="1"/>
      <c r="X32" s="1"/>
      <c r="Y32" s="1"/>
      <c r="Z32" s="1"/>
    </row>
    <row r="33" spans="1:26">
      <c r="A33" s="4" t="s">
        <v>30</v>
      </c>
      <c r="B33" s="4" t="s">
        <v>182</v>
      </c>
      <c r="C33" s="4" t="s">
        <v>183</v>
      </c>
      <c r="D33" s="4" t="s">
        <v>118</v>
      </c>
      <c r="E33" s="4">
        <v>25</v>
      </c>
      <c r="F33" s="4" t="s">
        <v>132</v>
      </c>
      <c r="G33" s="4" t="s">
        <v>120</v>
      </c>
      <c r="H33" s="1"/>
      <c r="I33" s="1"/>
      <c r="J33" s="1"/>
      <c r="K33" s="1"/>
      <c r="L33" s="1"/>
      <c r="M33" s="1"/>
      <c r="N33" s="1"/>
      <c r="O33" s="1"/>
      <c r="P33" s="1"/>
      <c r="Q33" s="1"/>
      <c r="R33" s="1"/>
      <c r="S33" s="1"/>
      <c r="T33" s="1"/>
      <c r="U33" s="1"/>
      <c r="V33" s="1"/>
      <c r="W33" s="1"/>
      <c r="X33" s="1"/>
      <c r="Y33" s="1"/>
      <c r="Z33" s="1"/>
    </row>
    <row r="34" spans="1:26">
      <c r="A34" s="4" t="s">
        <v>30</v>
      </c>
      <c r="B34" s="4" t="s">
        <v>184</v>
      </c>
      <c r="C34" s="4" t="s">
        <v>185</v>
      </c>
      <c r="D34" s="4" t="s">
        <v>118</v>
      </c>
      <c r="E34" s="4">
        <v>25</v>
      </c>
      <c r="F34" s="4" t="s">
        <v>119</v>
      </c>
      <c r="G34" s="4" t="s">
        <v>120</v>
      </c>
      <c r="H34" s="1"/>
      <c r="I34" s="1"/>
      <c r="J34" s="1"/>
      <c r="K34" s="1"/>
      <c r="L34" s="1"/>
      <c r="M34" s="1"/>
      <c r="N34" s="1"/>
      <c r="O34" s="1"/>
      <c r="P34" s="1"/>
      <c r="Q34" s="1"/>
      <c r="R34" s="1"/>
      <c r="S34" s="1"/>
      <c r="T34" s="1"/>
      <c r="U34" s="1"/>
      <c r="V34" s="1"/>
      <c r="W34" s="1"/>
      <c r="X34" s="1"/>
      <c r="Y34" s="1"/>
      <c r="Z34" s="1"/>
    </row>
    <row r="35" spans="1:26">
      <c r="A35" s="4" t="s">
        <v>30</v>
      </c>
      <c r="B35" s="4" t="s">
        <v>186</v>
      </c>
      <c r="C35" s="4" t="s">
        <v>187</v>
      </c>
      <c r="D35" s="4" t="s">
        <v>118</v>
      </c>
      <c r="E35" s="4">
        <v>25</v>
      </c>
      <c r="F35" s="4" t="s">
        <v>119</v>
      </c>
      <c r="G35" s="4" t="s">
        <v>120</v>
      </c>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80" t="s">
        <v>188</v>
      </c>
      <c r="B37" s="80" t="s">
        <v>188</v>
      </c>
      <c r="C37" s="80" t="s">
        <v>188</v>
      </c>
      <c r="D37" s="80" t="s">
        <v>188</v>
      </c>
      <c r="E37" s="80" t="s">
        <v>188</v>
      </c>
      <c r="F37" s="80" t="s">
        <v>188</v>
      </c>
      <c r="G37" s="80" t="s">
        <v>188</v>
      </c>
      <c r="H37" s="1"/>
      <c r="I37" s="1"/>
      <c r="J37" s="1"/>
      <c r="K37" s="1"/>
      <c r="L37" s="1"/>
      <c r="M37" s="1"/>
      <c r="N37" s="1"/>
      <c r="O37" s="1"/>
      <c r="P37" s="1"/>
      <c r="Q37" s="1"/>
      <c r="R37" s="1"/>
      <c r="S37" s="1"/>
      <c r="T37" s="1"/>
      <c r="U37" s="1"/>
      <c r="V37" s="1"/>
      <c r="W37" s="1"/>
      <c r="X37" s="1"/>
      <c r="Y37" s="1"/>
      <c r="Z37" s="1"/>
    </row>
    <row r="38" spans="1:26">
      <c r="A38" s="80" t="s">
        <v>188</v>
      </c>
      <c r="B38" s="80" t="s">
        <v>188</v>
      </c>
      <c r="C38" s="80" t="s">
        <v>188</v>
      </c>
      <c r="D38" s="80" t="s">
        <v>188</v>
      </c>
      <c r="E38" s="80" t="s">
        <v>188</v>
      </c>
      <c r="F38" s="80" t="s">
        <v>188</v>
      </c>
      <c r="G38" s="80" t="s">
        <v>188</v>
      </c>
      <c r="H38" s="1"/>
      <c r="I38" s="1"/>
      <c r="J38" s="1"/>
      <c r="K38" s="1"/>
      <c r="L38" s="1"/>
      <c r="M38" s="1"/>
      <c r="N38" s="1"/>
      <c r="O38" s="1"/>
      <c r="P38" s="1"/>
      <c r="Q38" s="1"/>
      <c r="R38" s="1"/>
      <c r="S38" s="1"/>
      <c r="T38" s="1"/>
      <c r="U38" s="1"/>
      <c r="V38" s="1"/>
      <c r="W38" s="1"/>
      <c r="X38" s="1"/>
      <c r="Y38" s="1"/>
      <c r="Z38" s="1"/>
    </row>
    <row r="39" spans="1:26">
      <c r="A39" s="80" t="s">
        <v>188</v>
      </c>
      <c r="B39" s="80" t="s">
        <v>188</v>
      </c>
      <c r="C39" s="80" t="s">
        <v>188</v>
      </c>
      <c r="D39" s="80" t="s">
        <v>188</v>
      </c>
      <c r="E39" s="80" t="s">
        <v>188</v>
      </c>
      <c r="F39" s="80" t="s">
        <v>188</v>
      </c>
      <c r="G39" s="80" t="s">
        <v>188</v>
      </c>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3">
    <mergeCell ref="A1:J1"/>
    <mergeCell ref="A2:J2"/>
    <mergeCell ref="A37:G39"/>
  </mergeCells>
  <conditionalFormatting sqref="J5:J10">
    <cfRule type="cellIs" dxfId="19" priority="1" operator="notEqual">
      <formula>100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80"/>
  <sheetViews>
    <sheetView showGridLines="0" workbookViewId="0"/>
  </sheetViews>
  <sheetFormatPr defaultRowHeight="13.8"/>
  <cols>
    <col min="1" max="1" width="16" customWidth="1"/>
    <col min="2" max="2" width="13" customWidth="1"/>
    <col min="3" max="3" width="30" customWidth="1"/>
    <col min="4" max="16" width="12" customWidth="1"/>
  </cols>
  <sheetData>
    <row r="1" spans="1:26" ht="34.049999999999997" customHeight="1">
      <c r="A1" s="55" t="s">
        <v>189</v>
      </c>
      <c r="B1" s="55" t="s">
        <v>189</v>
      </c>
      <c r="C1" s="55" t="s">
        <v>189</v>
      </c>
      <c r="D1" s="55" t="s">
        <v>189</v>
      </c>
      <c r="E1" s="55" t="s">
        <v>189</v>
      </c>
      <c r="F1" s="55" t="s">
        <v>189</v>
      </c>
      <c r="G1" s="55" t="s">
        <v>189</v>
      </c>
      <c r="H1" s="55" t="s">
        <v>189</v>
      </c>
      <c r="I1" s="55" t="s">
        <v>189</v>
      </c>
      <c r="J1" s="55" t="s">
        <v>189</v>
      </c>
      <c r="K1" s="55" t="s">
        <v>189</v>
      </c>
      <c r="L1" s="55" t="s">
        <v>189</v>
      </c>
      <c r="M1" s="55" t="s">
        <v>189</v>
      </c>
      <c r="N1" s="55" t="s">
        <v>189</v>
      </c>
      <c r="O1" s="55" t="s">
        <v>189</v>
      </c>
      <c r="P1" s="55" t="s">
        <v>189</v>
      </c>
      <c r="Q1" s="1"/>
      <c r="R1" s="1"/>
      <c r="S1" s="1"/>
      <c r="T1" s="1"/>
      <c r="U1" s="1"/>
      <c r="V1" s="1"/>
      <c r="W1" s="1"/>
      <c r="X1" s="1"/>
      <c r="Y1" s="1"/>
      <c r="Z1" s="1"/>
    </row>
    <row r="2" spans="1:26" ht="24" customHeight="1">
      <c r="A2" s="56" t="s">
        <v>190</v>
      </c>
      <c r="B2" s="56" t="s">
        <v>190</v>
      </c>
      <c r="C2" s="56" t="s">
        <v>190</v>
      </c>
      <c r="D2" s="56" t="s">
        <v>190</v>
      </c>
      <c r="E2" s="56" t="s">
        <v>190</v>
      </c>
      <c r="F2" s="56" t="s">
        <v>190</v>
      </c>
      <c r="G2" s="56" t="s">
        <v>190</v>
      </c>
      <c r="H2" s="56" t="s">
        <v>190</v>
      </c>
      <c r="I2" s="56" t="s">
        <v>190</v>
      </c>
      <c r="J2" s="56" t="s">
        <v>190</v>
      </c>
      <c r="K2" s="56" t="s">
        <v>190</v>
      </c>
      <c r="L2" s="56" t="s">
        <v>190</v>
      </c>
      <c r="M2" s="56" t="s">
        <v>190</v>
      </c>
      <c r="N2" s="56" t="s">
        <v>190</v>
      </c>
      <c r="O2" s="56" t="s">
        <v>190</v>
      </c>
      <c r="P2" s="56" t="s">
        <v>190</v>
      </c>
      <c r="Q2" s="1"/>
      <c r="R2" s="1"/>
      <c r="S2" s="1"/>
      <c r="T2" s="1"/>
      <c r="U2" s="1"/>
      <c r="V2" s="1"/>
      <c r="W2" s="1"/>
      <c r="X2" s="1"/>
      <c r="Y2" s="1"/>
      <c r="Z2" s="1"/>
    </row>
    <row r="3" spans="1:26">
      <c r="A3" s="13" t="s">
        <v>191</v>
      </c>
      <c r="B3" s="14">
        <v>2026</v>
      </c>
      <c r="C3" s="1"/>
      <c r="D3" s="1"/>
      <c r="E3" s="1"/>
      <c r="F3" s="1"/>
      <c r="G3" s="1"/>
      <c r="H3" s="1"/>
      <c r="I3" s="1"/>
      <c r="J3" s="1"/>
      <c r="K3" s="1"/>
      <c r="L3" s="1"/>
      <c r="M3" s="1"/>
      <c r="N3" s="1"/>
      <c r="O3" s="1"/>
      <c r="P3" s="1"/>
      <c r="Q3" s="1"/>
      <c r="R3" s="1"/>
      <c r="S3" s="1"/>
      <c r="T3" s="1"/>
      <c r="U3" s="1"/>
      <c r="V3" s="1"/>
      <c r="W3" s="1"/>
      <c r="X3" s="1"/>
      <c r="Y3" s="1"/>
      <c r="Z3" s="1"/>
    </row>
    <row r="4" spans="1:26" ht="28.05" customHeight="1">
      <c r="A4" s="2" t="s">
        <v>15</v>
      </c>
      <c r="B4" s="6" t="s">
        <v>108</v>
      </c>
      <c r="C4" s="6" t="s">
        <v>109</v>
      </c>
      <c r="D4" s="6" t="s">
        <v>110</v>
      </c>
      <c r="E4" s="6" t="s">
        <v>192</v>
      </c>
      <c r="F4" s="6" t="s">
        <v>193</v>
      </c>
      <c r="G4" s="6" t="s">
        <v>194</v>
      </c>
      <c r="H4" s="6" t="s">
        <v>195</v>
      </c>
      <c r="I4" s="6" t="s">
        <v>40</v>
      </c>
      <c r="J4" s="6" t="s">
        <v>196</v>
      </c>
      <c r="K4" s="6" t="s">
        <v>197</v>
      </c>
      <c r="L4" s="6" t="s">
        <v>3</v>
      </c>
      <c r="M4" s="6" t="s">
        <v>198</v>
      </c>
      <c r="N4" s="6" t="s">
        <v>199</v>
      </c>
      <c r="O4" s="6" t="s">
        <v>200</v>
      </c>
      <c r="P4" s="3" t="s">
        <v>201</v>
      </c>
      <c r="Q4" s="1"/>
      <c r="R4" s="1"/>
      <c r="S4" s="1"/>
      <c r="T4" s="1"/>
      <c r="U4" s="1"/>
      <c r="V4" s="1"/>
      <c r="W4" s="1"/>
      <c r="X4" s="1"/>
      <c r="Y4" s="1"/>
      <c r="Z4" s="1"/>
    </row>
    <row r="5" spans="1:26">
      <c r="A5" s="1" t="s">
        <v>20</v>
      </c>
      <c r="B5" s="1" t="s">
        <v>116</v>
      </c>
      <c r="C5" s="1" t="s">
        <v>117</v>
      </c>
      <c r="D5" s="1" t="s">
        <v>118</v>
      </c>
      <c r="E5" s="4">
        <v>98</v>
      </c>
      <c r="F5" s="4">
        <v>98</v>
      </c>
      <c r="G5" s="4">
        <v>98</v>
      </c>
      <c r="H5" s="4">
        <v>98</v>
      </c>
      <c r="I5" s="4">
        <v>98</v>
      </c>
      <c r="J5" s="4">
        <v>98</v>
      </c>
      <c r="K5" s="4">
        <v>98</v>
      </c>
      <c r="L5" s="4">
        <v>98</v>
      </c>
      <c r="M5" s="4">
        <v>98</v>
      </c>
      <c r="N5" s="4">
        <v>98</v>
      </c>
      <c r="O5" s="4">
        <v>98</v>
      </c>
      <c r="P5" s="4">
        <v>98</v>
      </c>
      <c r="Q5" s="1"/>
      <c r="R5" s="1"/>
      <c r="S5" s="1"/>
      <c r="T5" s="1"/>
      <c r="U5" s="1"/>
      <c r="V5" s="1"/>
      <c r="W5" s="1"/>
      <c r="X5" s="1"/>
      <c r="Y5" s="1"/>
      <c r="Z5" s="1"/>
    </row>
    <row r="6" spans="1:26">
      <c r="A6" s="1" t="s">
        <v>20</v>
      </c>
      <c r="B6" s="1" t="s">
        <v>121</v>
      </c>
      <c r="C6" s="1" t="s">
        <v>122</v>
      </c>
      <c r="D6" s="1" t="s">
        <v>123</v>
      </c>
      <c r="E6" s="4">
        <v>100</v>
      </c>
      <c r="F6" s="4">
        <v>100</v>
      </c>
      <c r="G6" s="4">
        <v>100</v>
      </c>
      <c r="H6" s="4">
        <v>100</v>
      </c>
      <c r="I6" s="4">
        <v>100</v>
      </c>
      <c r="J6" s="4">
        <v>100</v>
      </c>
      <c r="K6" s="4">
        <v>100</v>
      </c>
      <c r="L6" s="4">
        <v>100</v>
      </c>
      <c r="M6" s="4">
        <v>100</v>
      </c>
      <c r="N6" s="4">
        <v>100</v>
      </c>
      <c r="O6" s="4">
        <v>100</v>
      </c>
      <c r="P6" s="4">
        <v>100</v>
      </c>
      <c r="Q6" s="1"/>
      <c r="R6" s="1"/>
      <c r="S6" s="1"/>
      <c r="T6" s="1"/>
      <c r="U6" s="1"/>
      <c r="V6" s="1"/>
      <c r="W6" s="1"/>
      <c r="X6" s="1"/>
      <c r="Y6" s="1"/>
      <c r="Z6" s="1"/>
    </row>
    <row r="7" spans="1:26">
      <c r="A7" s="1" t="s">
        <v>20</v>
      </c>
      <c r="B7" s="1" t="s">
        <v>125</v>
      </c>
      <c r="C7" s="1" t="s">
        <v>126</v>
      </c>
      <c r="D7" s="1" t="s">
        <v>118</v>
      </c>
      <c r="E7" s="4">
        <v>95</v>
      </c>
      <c r="F7" s="4">
        <v>95</v>
      </c>
      <c r="G7" s="4">
        <v>95</v>
      </c>
      <c r="H7" s="4">
        <v>95</v>
      </c>
      <c r="I7" s="4">
        <v>95</v>
      </c>
      <c r="J7" s="4">
        <v>95</v>
      </c>
      <c r="K7" s="4">
        <v>95</v>
      </c>
      <c r="L7" s="4">
        <v>95</v>
      </c>
      <c r="M7" s="4">
        <v>95</v>
      </c>
      <c r="N7" s="4">
        <v>95</v>
      </c>
      <c r="O7" s="4">
        <v>95</v>
      </c>
      <c r="P7" s="4">
        <v>95</v>
      </c>
      <c r="Q7" s="1"/>
      <c r="R7" s="1"/>
      <c r="S7" s="1"/>
      <c r="T7" s="1"/>
      <c r="U7" s="1"/>
      <c r="V7" s="1"/>
      <c r="W7" s="1"/>
      <c r="X7" s="1"/>
      <c r="Y7" s="1"/>
      <c r="Z7" s="1"/>
    </row>
    <row r="8" spans="1:26">
      <c r="A8" s="1" t="s">
        <v>20</v>
      </c>
      <c r="B8" s="1" t="s">
        <v>127</v>
      </c>
      <c r="C8" s="1" t="s">
        <v>128</v>
      </c>
      <c r="D8" s="1" t="s">
        <v>118</v>
      </c>
      <c r="E8" s="4">
        <v>100</v>
      </c>
      <c r="F8" s="4">
        <v>100</v>
      </c>
      <c r="G8" s="4">
        <v>100</v>
      </c>
      <c r="H8" s="4">
        <v>100</v>
      </c>
      <c r="I8" s="4">
        <v>100</v>
      </c>
      <c r="J8" s="4">
        <v>100</v>
      </c>
      <c r="K8" s="4">
        <v>100</v>
      </c>
      <c r="L8" s="4">
        <v>100</v>
      </c>
      <c r="M8" s="4">
        <v>100</v>
      </c>
      <c r="N8" s="4">
        <v>100</v>
      </c>
      <c r="O8" s="4">
        <v>100</v>
      </c>
      <c r="P8" s="4">
        <v>100</v>
      </c>
      <c r="Q8" s="1"/>
      <c r="R8" s="1"/>
      <c r="S8" s="1"/>
      <c r="T8" s="1"/>
      <c r="U8" s="1"/>
      <c r="V8" s="1"/>
      <c r="W8" s="1"/>
      <c r="X8" s="1"/>
      <c r="Y8" s="1"/>
      <c r="Z8" s="1"/>
    </row>
    <row r="9" spans="1:26">
      <c r="A9" s="1" t="s">
        <v>24</v>
      </c>
      <c r="B9" s="1" t="s">
        <v>129</v>
      </c>
      <c r="C9" s="1" t="s">
        <v>130</v>
      </c>
      <c r="D9" s="1" t="s">
        <v>131</v>
      </c>
      <c r="E9" s="4">
        <v>5</v>
      </c>
      <c r="F9" s="4">
        <v>5</v>
      </c>
      <c r="G9" s="4">
        <v>5</v>
      </c>
      <c r="H9" s="4">
        <v>5</v>
      </c>
      <c r="I9" s="4">
        <v>5</v>
      </c>
      <c r="J9" s="4">
        <v>5</v>
      </c>
      <c r="K9" s="4">
        <v>5</v>
      </c>
      <c r="L9" s="4">
        <v>5</v>
      </c>
      <c r="M9" s="4">
        <v>5</v>
      </c>
      <c r="N9" s="4">
        <v>5</v>
      </c>
      <c r="O9" s="4">
        <v>5</v>
      </c>
      <c r="P9" s="4">
        <v>5</v>
      </c>
      <c r="Q9" s="1"/>
      <c r="R9" s="1"/>
      <c r="S9" s="1"/>
      <c r="T9" s="1"/>
      <c r="U9" s="1"/>
      <c r="V9" s="1"/>
      <c r="W9" s="1"/>
      <c r="X9" s="1"/>
      <c r="Y9" s="1"/>
      <c r="Z9" s="1"/>
    </row>
    <row r="10" spans="1:26">
      <c r="A10" s="1" t="s">
        <v>24</v>
      </c>
      <c r="B10" s="1" t="s">
        <v>133</v>
      </c>
      <c r="C10" s="1" t="s">
        <v>134</v>
      </c>
      <c r="D10" s="1" t="s">
        <v>118</v>
      </c>
      <c r="E10" s="4">
        <v>99</v>
      </c>
      <c r="F10" s="4">
        <v>99</v>
      </c>
      <c r="G10" s="4">
        <v>99</v>
      </c>
      <c r="H10" s="4">
        <v>99</v>
      </c>
      <c r="I10" s="4">
        <v>99</v>
      </c>
      <c r="J10" s="4">
        <v>99</v>
      </c>
      <c r="K10" s="4">
        <v>99</v>
      </c>
      <c r="L10" s="4">
        <v>99</v>
      </c>
      <c r="M10" s="4">
        <v>99</v>
      </c>
      <c r="N10" s="4">
        <v>99</v>
      </c>
      <c r="O10" s="4">
        <v>99</v>
      </c>
      <c r="P10" s="4">
        <v>99</v>
      </c>
      <c r="Q10" s="1"/>
      <c r="R10" s="1"/>
      <c r="S10" s="1"/>
      <c r="T10" s="1"/>
      <c r="U10" s="1"/>
      <c r="V10" s="1"/>
      <c r="W10" s="1"/>
      <c r="X10" s="1"/>
      <c r="Y10" s="1"/>
      <c r="Z10" s="1"/>
    </row>
    <row r="11" spans="1:26">
      <c r="A11" s="1" t="s">
        <v>24</v>
      </c>
      <c r="B11" s="1" t="s">
        <v>135</v>
      </c>
      <c r="C11" s="1" t="s">
        <v>136</v>
      </c>
      <c r="D11" s="1" t="s">
        <v>118</v>
      </c>
      <c r="E11" s="4">
        <v>95</v>
      </c>
      <c r="F11" s="4">
        <v>95</v>
      </c>
      <c r="G11" s="4">
        <v>95</v>
      </c>
      <c r="H11" s="4">
        <v>95</v>
      </c>
      <c r="I11" s="4">
        <v>95</v>
      </c>
      <c r="J11" s="4">
        <v>95</v>
      </c>
      <c r="K11" s="4">
        <v>95</v>
      </c>
      <c r="L11" s="4">
        <v>95</v>
      </c>
      <c r="M11" s="4">
        <v>95</v>
      </c>
      <c r="N11" s="4">
        <v>95</v>
      </c>
      <c r="O11" s="4">
        <v>95</v>
      </c>
      <c r="P11" s="4">
        <v>95</v>
      </c>
      <c r="Q11" s="1"/>
      <c r="R11" s="1"/>
      <c r="S11" s="1"/>
      <c r="T11" s="1"/>
      <c r="U11" s="1"/>
      <c r="V11" s="1"/>
      <c r="W11" s="1"/>
      <c r="X11" s="1"/>
      <c r="Y11" s="1"/>
      <c r="Z11" s="1"/>
    </row>
    <row r="12" spans="1:26">
      <c r="A12" s="1" t="s">
        <v>24</v>
      </c>
      <c r="B12" s="1" t="s">
        <v>137</v>
      </c>
      <c r="C12" s="1" t="s">
        <v>138</v>
      </c>
      <c r="D12" s="1" t="s">
        <v>118</v>
      </c>
      <c r="E12" s="4">
        <v>25</v>
      </c>
      <c r="F12" s="4">
        <v>25</v>
      </c>
      <c r="G12" s="4">
        <v>25</v>
      </c>
      <c r="H12" s="4">
        <v>25</v>
      </c>
      <c r="I12" s="4">
        <v>25</v>
      </c>
      <c r="J12" s="4">
        <v>25</v>
      </c>
      <c r="K12" s="4">
        <v>25</v>
      </c>
      <c r="L12" s="4">
        <v>25</v>
      </c>
      <c r="M12" s="4">
        <v>25</v>
      </c>
      <c r="N12" s="4">
        <v>25</v>
      </c>
      <c r="O12" s="4">
        <v>25</v>
      </c>
      <c r="P12" s="4">
        <v>25</v>
      </c>
      <c r="Q12" s="1"/>
      <c r="R12" s="1"/>
      <c r="S12" s="1"/>
      <c r="T12" s="1"/>
      <c r="U12" s="1"/>
      <c r="V12" s="1"/>
      <c r="W12" s="1"/>
      <c r="X12" s="1"/>
      <c r="Y12" s="1"/>
      <c r="Z12" s="1"/>
    </row>
    <row r="13" spans="1:26">
      <c r="A13" s="1" t="s">
        <v>24</v>
      </c>
      <c r="B13" s="1" t="s">
        <v>139</v>
      </c>
      <c r="C13" s="1" t="s">
        <v>140</v>
      </c>
      <c r="D13" s="1" t="s">
        <v>118</v>
      </c>
      <c r="E13" s="4">
        <v>95</v>
      </c>
      <c r="F13" s="4">
        <v>95</v>
      </c>
      <c r="G13" s="4">
        <v>95</v>
      </c>
      <c r="H13" s="4">
        <v>95</v>
      </c>
      <c r="I13" s="4">
        <v>95</v>
      </c>
      <c r="J13" s="4">
        <v>95</v>
      </c>
      <c r="K13" s="4">
        <v>95</v>
      </c>
      <c r="L13" s="4">
        <v>95</v>
      </c>
      <c r="M13" s="4">
        <v>95</v>
      </c>
      <c r="N13" s="4">
        <v>95</v>
      </c>
      <c r="O13" s="4">
        <v>95</v>
      </c>
      <c r="P13" s="4">
        <v>95</v>
      </c>
      <c r="Q13" s="1"/>
      <c r="R13" s="1"/>
      <c r="S13" s="1"/>
      <c r="T13" s="1"/>
      <c r="U13" s="1"/>
      <c r="V13" s="1"/>
      <c r="W13" s="1"/>
      <c r="X13" s="1"/>
      <c r="Y13" s="1"/>
      <c r="Z13" s="1"/>
    </row>
    <row r="14" spans="1:26">
      <c r="A14" s="1" t="s">
        <v>24</v>
      </c>
      <c r="B14" s="1" t="s">
        <v>141</v>
      </c>
      <c r="C14" s="1" t="s">
        <v>142</v>
      </c>
      <c r="D14" s="1" t="s">
        <v>118</v>
      </c>
      <c r="E14" s="4">
        <v>100</v>
      </c>
      <c r="F14" s="4">
        <v>100</v>
      </c>
      <c r="G14" s="4">
        <v>100</v>
      </c>
      <c r="H14" s="4">
        <v>100</v>
      </c>
      <c r="I14" s="4">
        <v>100</v>
      </c>
      <c r="J14" s="4">
        <v>100</v>
      </c>
      <c r="K14" s="4">
        <v>100</v>
      </c>
      <c r="L14" s="4">
        <v>100</v>
      </c>
      <c r="M14" s="4">
        <v>100</v>
      </c>
      <c r="N14" s="4">
        <v>100</v>
      </c>
      <c r="O14" s="4">
        <v>100</v>
      </c>
      <c r="P14" s="4">
        <v>100</v>
      </c>
      <c r="Q14" s="1"/>
      <c r="R14" s="1"/>
      <c r="S14" s="1"/>
      <c r="T14" s="1"/>
      <c r="U14" s="1"/>
      <c r="V14" s="1"/>
      <c r="W14" s="1"/>
      <c r="X14" s="1"/>
      <c r="Y14" s="1"/>
      <c r="Z14" s="1"/>
    </row>
    <row r="15" spans="1:26">
      <c r="A15" s="1" t="s">
        <v>22</v>
      </c>
      <c r="B15" s="1" t="s">
        <v>143</v>
      </c>
      <c r="C15" s="1" t="s">
        <v>144</v>
      </c>
      <c r="D15" s="1" t="s">
        <v>145</v>
      </c>
      <c r="E15" s="4">
        <v>30</v>
      </c>
      <c r="F15" s="4">
        <v>30</v>
      </c>
      <c r="G15" s="4">
        <v>30</v>
      </c>
      <c r="H15" s="4">
        <v>30</v>
      </c>
      <c r="I15" s="4">
        <v>30</v>
      </c>
      <c r="J15" s="4">
        <v>30</v>
      </c>
      <c r="K15" s="4">
        <v>30</v>
      </c>
      <c r="L15" s="4">
        <v>30</v>
      </c>
      <c r="M15" s="4">
        <v>30</v>
      </c>
      <c r="N15" s="4">
        <v>30</v>
      </c>
      <c r="O15" s="4">
        <v>30</v>
      </c>
      <c r="P15" s="4">
        <v>30</v>
      </c>
      <c r="Q15" s="1"/>
      <c r="R15" s="1"/>
      <c r="S15" s="1"/>
      <c r="T15" s="1"/>
      <c r="U15" s="1"/>
      <c r="V15" s="1"/>
      <c r="W15" s="1"/>
      <c r="X15" s="1"/>
      <c r="Y15" s="1"/>
      <c r="Z15" s="1"/>
    </row>
    <row r="16" spans="1:26">
      <c r="A16" s="1" t="s">
        <v>22</v>
      </c>
      <c r="B16" s="1" t="s">
        <v>146</v>
      </c>
      <c r="C16" s="1" t="s">
        <v>147</v>
      </c>
      <c r="D16" s="1" t="s">
        <v>118</v>
      </c>
      <c r="E16" s="4">
        <v>5</v>
      </c>
      <c r="F16" s="4">
        <v>5</v>
      </c>
      <c r="G16" s="4">
        <v>5</v>
      </c>
      <c r="H16" s="4">
        <v>5</v>
      </c>
      <c r="I16" s="4">
        <v>5</v>
      </c>
      <c r="J16" s="4">
        <v>5</v>
      </c>
      <c r="K16" s="4">
        <v>5</v>
      </c>
      <c r="L16" s="4">
        <v>5</v>
      </c>
      <c r="M16" s="4">
        <v>5</v>
      </c>
      <c r="N16" s="4">
        <v>5</v>
      </c>
      <c r="O16" s="4">
        <v>5</v>
      </c>
      <c r="P16" s="4">
        <v>5</v>
      </c>
      <c r="Q16" s="1"/>
      <c r="R16" s="1"/>
      <c r="S16" s="1"/>
      <c r="T16" s="1"/>
      <c r="U16" s="1"/>
      <c r="V16" s="1"/>
      <c r="W16" s="1"/>
      <c r="X16" s="1"/>
      <c r="Y16" s="1"/>
      <c r="Z16" s="1"/>
    </row>
    <row r="17" spans="1:26">
      <c r="A17" s="1" t="s">
        <v>22</v>
      </c>
      <c r="B17" s="1" t="s">
        <v>148</v>
      </c>
      <c r="C17" s="1" t="s">
        <v>149</v>
      </c>
      <c r="D17" s="1" t="s">
        <v>150</v>
      </c>
      <c r="E17" s="4">
        <v>100</v>
      </c>
      <c r="F17" s="4">
        <v>100</v>
      </c>
      <c r="G17" s="4">
        <v>100</v>
      </c>
      <c r="H17" s="4">
        <v>100</v>
      </c>
      <c r="I17" s="4">
        <v>100</v>
      </c>
      <c r="J17" s="4">
        <v>100</v>
      </c>
      <c r="K17" s="4">
        <v>100</v>
      </c>
      <c r="L17" s="4">
        <v>100</v>
      </c>
      <c r="M17" s="4">
        <v>100</v>
      </c>
      <c r="N17" s="4">
        <v>100</v>
      </c>
      <c r="O17" s="4">
        <v>100</v>
      </c>
      <c r="P17" s="4">
        <v>100</v>
      </c>
      <c r="Q17" s="1"/>
      <c r="R17" s="1"/>
      <c r="S17" s="1"/>
      <c r="T17" s="1"/>
      <c r="U17" s="1"/>
      <c r="V17" s="1"/>
      <c r="W17" s="1"/>
      <c r="X17" s="1"/>
      <c r="Y17" s="1"/>
      <c r="Z17" s="1"/>
    </row>
    <row r="18" spans="1:26">
      <c r="A18" s="1" t="s">
        <v>22</v>
      </c>
      <c r="B18" s="1" t="s">
        <v>151</v>
      </c>
      <c r="C18" s="1" t="s">
        <v>152</v>
      </c>
      <c r="D18" s="1" t="s">
        <v>118</v>
      </c>
      <c r="E18" s="4">
        <v>100</v>
      </c>
      <c r="F18" s="4">
        <v>100</v>
      </c>
      <c r="G18" s="4">
        <v>100</v>
      </c>
      <c r="H18" s="4">
        <v>100</v>
      </c>
      <c r="I18" s="4">
        <v>100</v>
      </c>
      <c r="J18" s="4">
        <v>100</v>
      </c>
      <c r="K18" s="4">
        <v>100</v>
      </c>
      <c r="L18" s="4">
        <v>100</v>
      </c>
      <c r="M18" s="4">
        <v>100</v>
      </c>
      <c r="N18" s="4">
        <v>100</v>
      </c>
      <c r="O18" s="4">
        <v>100</v>
      </c>
      <c r="P18" s="4">
        <v>100</v>
      </c>
      <c r="Q18" s="1"/>
      <c r="R18" s="1"/>
      <c r="S18" s="1"/>
      <c r="T18" s="1"/>
      <c r="U18" s="1"/>
      <c r="V18" s="1"/>
      <c r="W18" s="1"/>
      <c r="X18" s="1"/>
      <c r="Y18" s="1"/>
      <c r="Z18" s="1"/>
    </row>
    <row r="19" spans="1:26">
      <c r="A19" s="1" t="s">
        <v>22</v>
      </c>
      <c r="B19" s="1" t="s">
        <v>153</v>
      </c>
      <c r="C19" s="1" t="s">
        <v>154</v>
      </c>
      <c r="D19" s="1" t="s">
        <v>118</v>
      </c>
      <c r="E19" s="4">
        <v>10</v>
      </c>
      <c r="F19" s="4">
        <v>10</v>
      </c>
      <c r="G19" s="4">
        <v>10</v>
      </c>
      <c r="H19" s="4">
        <v>10</v>
      </c>
      <c r="I19" s="4">
        <v>10</v>
      </c>
      <c r="J19" s="4">
        <v>10</v>
      </c>
      <c r="K19" s="4">
        <v>10</v>
      </c>
      <c r="L19" s="4">
        <v>10</v>
      </c>
      <c r="M19" s="4">
        <v>10</v>
      </c>
      <c r="N19" s="4">
        <v>10</v>
      </c>
      <c r="O19" s="4">
        <v>10</v>
      </c>
      <c r="P19" s="4">
        <v>10</v>
      </c>
      <c r="Q19" s="1"/>
      <c r="R19" s="1"/>
      <c r="S19" s="1"/>
      <c r="T19" s="1"/>
      <c r="U19" s="1"/>
      <c r="V19" s="1"/>
      <c r="W19" s="1"/>
      <c r="X19" s="1"/>
      <c r="Y19" s="1"/>
      <c r="Z19" s="1"/>
    </row>
    <row r="20" spans="1:26">
      <c r="A20" s="1" t="s">
        <v>22</v>
      </c>
      <c r="B20" s="1" t="s">
        <v>155</v>
      </c>
      <c r="C20" s="1" t="s">
        <v>156</v>
      </c>
      <c r="D20" s="1" t="s">
        <v>118</v>
      </c>
      <c r="E20" s="4">
        <v>100</v>
      </c>
      <c r="F20" s="4">
        <v>100</v>
      </c>
      <c r="G20" s="4">
        <v>100</v>
      </c>
      <c r="H20" s="4">
        <v>100</v>
      </c>
      <c r="I20" s="4">
        <v>100</v>
      </c>
      <c r="J20" s="4">
        <v>100</v>
      </c>
      <c r="K20" s="4">
        <v>100</v>
      </c>
      <c r="L20" s="4">
        <v>100</v>
      </c>
      <c r="M20" s="4">
        <v>100</v>
      </c>
      <c r="N20" s="4">
        <v>100</v>
      </c>
      <c r="O20" s="4">
        <v>100</v>
      </c>
      <c r="P20" s="4">
        <v>100</v>
      </c>
      <c r="Q20" s="1"/>
      <c r="R20" s="1"/>
      <c r="S20" s="1"/>
      <c r="T20" s="1"/>
      <c r="U20" s="1"/>
      <c r="V20" s="1"/>
      <c r="W20" s="1"/>
      <c r="X20" s="1"/>
      <c r="Y20" s="1"/>
      <c r="Z20" s="1"/>
    </row>
    <row r="21" spans="1:26">
      <c r="A21" s="1" t="s">
        <v>26</v>
      </c>
      <c r="B21" s="1" t="s">
        <v>157</v>
      </c>
      <c r="C21" s="1" t="s">
        <v>158</v>
      </c>
      <c r="D21" s="1" t="s">
        <v>118</v>
      </c>
      <c r="E21" s="4">
        <v>95</v>
      </c>
      <c r="F21" s="4">
        <v>95</v>
      </c>
      <c r="G21" s="4">
        <v>95</v>
      </c>
      <c r="H21" s="4">
        <v>95</v>
      </c>
      <c r="I21" s="4">
        <v>95</v>
      </c>
      <c r="J21" s="4">
        <v>95</v>
      </c>
      <c r="K21" s="4">
        <v>95</v>
      </c>
      <c r="L21" s="4">
        <v>95</v>
      </c>
      <c r="M21" s="4">
        <v>95</v>
      </c>
      <c r="N21" s="4">
        <v>95</v>
      </c>
      <c r="O21" s="4">
        <v>95</v>
      </c>
      <c r="P21" s="4">
        <v>95</v>
      </c>
      <c r="Q21" s="1"/>
      <c r="R21" s="1"/>
      <c r="S21" s="1"/>
      <c r="T21" s="1"/>
      <c r="U21" s="1"/>
      <c r="V21" s="1"/>
      <c r="W21" s="1"/>
      <c r="X21" s="1"/>
      <c r="Y21" s="1"/>
      <c r="Z21" s="1"/>
    </row>
    <row r="22" spans="1:26">
      <c r="A22" s="1" t="s">
        <v>26</v>
      </c>
      <c r="B22" s="1" t="s">
        <v>159</v>
      </c>
      <c r="C22" s="1" t="s">
        <v>160</v>
      </c>
      <c r="D22" s="1" t="s">
        <v>118</v>
      </c>
      <c r="E22" s="4">
        <v>95</v>
      </c>
      <c r="F22" s="4">
        <v>95</v>
      </c>
      <c r="G22" s="4">
        <v>95</v>
      </c>
      <c r="H22" s="4">
        <v>95</v>
      </c>
      <c r="I22" s="4">
        <v>95</v>
      </c>
      <c r="J22" s="4">
        <v>95</v>
      </c>
      <c r="K22" s="4">
        <v>95</v>
      </c>
      <c r="L22" s="4">
        <v>95</v>
      </c>
      <c r="M22" s="4">
        <v>95</v>
      </c>
      <c r="N22" s="4">
        <v>95</v>
      </c>
      <c r="O22" s="4">
        <v>95</v>
      </c>
      <c r="P22" s="4">
        <v>95</v>
      </c>
      <c r="Q22" s="1"/>
      <c r="R22" s="1"/>
      <c r="S22" s="1"/>
      <c r="T22" s="1"/>
      <c r="U22" s="1"/>
      <c r="V22" s="1"/>
      <c r="W22" s="1"/>
      <c r="X22" s="1"/>
      <c r="Y22" s="1"/>
      <c r="Z22" s="1"/>
    </row>
    <row r="23" spans="1:26">
      <c r="A23" s="1" t="s">
        <v>26</v>
      </c>
      <c r="B23" s="1" t="s">
        <v>161</v>
      </c>
      <c r="C23" s="1" t="s">
        <v>162</v>
      </c>
      <c r="D23" s="1" t="s">
        <v>118</v>
      </c>
      <c r="E23" s="4">
        <v>100</v>
      </c>
      <c r="F23" s="4">
        <v>100</v>
      </c>
      <c r="G23" s="4">
        <v>100</v>
      </c>
      <c r="H23" s="4">
        <v>100</v>
      </c>
      <c r="I23" s="4">
        <v>100</v>
      </c>
      <c r="J23" s="4">
        <v>100</v>
      </c>
      <c r="K23" s="4">
        <v>100</v>
      </c>
      <c r="L23" s="4">
        <v>100</v>
      </c>
      <c r="M23" s="4">
        <v>100</v>
      </c>
      <c r="N23" s="4">
        <v>100</v>
      </c>
      <c r="O23" s="4">
        <v>100</v>
      </c>
      <c r="P23" s="4">
        <v>100</v>
      </c>
      <c r="Q23" s="1"/>
      <c r="R23" s="1"/>
      <c r="S23" s="1"/>
      <c r="T23" s="1"/>
      <c r="U23" s="1"/>
      <c r="V23" s="1"/>
      <c r="W23" s="1"/>
      <c r="X23" s="1"/>
      <c r="Y23" s="1"/>
      <c r="Z23" s="1"/>
    </row>
    <row r="24" spans="1:26">
      <c r="A24" s="1" t="s">
        <v>26</v>
      </c>
      <c r="B24" s="1" t="s">
        <v>163</v>
      </c>
      <c r="C24" s="1" t="s">
        <v>164</v>
      </c>
      <c r="D24" s="1" t="s">
        <v>165</v>
      </c>
      <c r="E24" s="4">
        <v>2</v>
      </c>
      <c r="F24" s="4">
        <v>2</v>
      </c>
      <c r="G24" s="4">
        <v>2</v>
      </c>
      <c r="H24" s="4">
        <v>2</v>
      </c>
      <c r="I24" s="4">
        <v>2</v>
      </c>
      <c r="J24" s="4">
        <v>2</v>
      </c>
      <c r="K24" s="4">
        <v>2</v>
      </c>
      <c r="L24" s="4">
        <v>2</v>
      </c>
      <c r="M24" s="4">
        <v>2</v>
      </c>
      <c r="N24" s="4">
        <v>2</v>
      </c>
      <c r="O24" s="4">
        <v>2</v>
      </c>
      <c r="P24" s="4">
        <v>2</v>
      </c>
      <c r="Q24" s="1"/>
      <c r="R24" s="1"/>
      <c r="S24" s="1"/>
      <c r="T24" s="1"/>
      <c r="U24" s="1"/>
      <c r="V24" s="1"/>
      <c r="W24" s="1"/>
      <c r="X24" s="1"/>
      <c r="Y24" s="1"/>
      <c r="Z24" s="1"/>
    </row>
    <row r="25" spans="1:26">
      <c r="A25" s="1" t="s">
        <v>26</v>
      </c>
      <c r="B25" s="1" t="s">
        <v>166</v>
      </c>
      <c r="C25" s="1" t="s">
        <v>167</v>
      </c>
      <c r="D25" s="1" t="s">
        <v>118</v>
      </c>
      <c r="E25" s="4">
        <v>95</v>
      </c>
      <c r="F25" s="4">
        <v>95</v>
      </c>
      <c r="G25" s="4">
        <v>95</v>
      </c>
      <c r="H25" s="4">
        <v>95</v>
      </c>
      <c r="I25" s="4">
        <v>95</v>
      </c>
      <c r="J25" s="4">
        <v>95</v>
      </c>
      <c r="K25" s="4">
        <v>95</v>
      </c>
      <c r="L25" s="4">
        <v>95</v>
      </c>
      <c r="M25" s="4">
        <v>95</v>
      </c>
      <c r="N25" s="4">
        <v>95</v>
      </c>
      <c r="O25" s="4">
        <v>95</v>
      </c>
      <c r="P25" s="4">
        <v>95</v>
      </c>
      <c r="Q25" s="1"/>
      <c r="R25" s="1"/>
      <c r="S25" s="1"/>
      <c r="T25" s="1"/>
      <c r="U25" s="1"/>
      <c r="V25" s="1"/>
      <c r="W25" s="1"/>
      <c r="X25" s="1"/>
      <c r="Y25" s="1"/>
      <c r="Z25" s="1"/>
    </row>
    <row r="26" spans="1:26">
      <c r="A26" s="1" t="s">
        <v>28</v>
      </c>
      <c r="B26" s="1" t="s">
        <v>168</v>
      </c>
      <c r="C26" s="1" t="s">
        <v>169</v>
      </c>
      <c r="D26" s="1" t="s">
        <v>118</v>
      </c>
      <c r="E26" s="4">
        <v>90</v>
      </c>
      <c r="F26" s="4">
        <v>90</v>
      </c>
      <c r="G26" s="4">
        <v>90</v>
      </c>
      <c r="H26" s="4">
        <v>90</v>
      </c>
      <c r="I26" s="4">
        <v>90</v>
      </c>
      <c r="J26" s="4">
        <v>90</v>
      </c>
      <c r="K26" s="4">
        <v>90</v>
      </c>
      <c r="L26" s="4">
        <v>90</v>
      </c>
      <c r="M26" s="4">
        <v>90</v>
      </c>
      <c r="N26" s="4">
        <v>90</v>
      </c>
      <c r="O26" s="4">
        <v>90</v>
      </c>
      <c r="P26" s="4">
        <v>90</v>
      </c>
      <c r="Q26" s="1"/>
      <c r="R26" s="1"/>
      <c r="S26" s="1"/>
      <c r="T26" s="1"/>
      <c r="U26" s="1"/>
      <c r="V26" s="1"/>
      <c r="W26" s="1"/>
      <c r="X26" s="1"/>
      <c r="Y26" s="1"/>
      <c r="Z26" s="1"/>
    </row>
    <row r="27" spans="1:26">
      <c r="A27" s="1" t="s">
        <v>28</v>
      </c>
      <c r="B27" s="1" t="s">
        <v>170</v>
      </c>
      <c r="C27" s="1" t="s">
        <v>171</v>
      </c>
      <c r="D27" s="1" t="s">
        <v>118</v>
      </c>
      <c r="E27" s="4">
        <v>100</v>
      </c>
      <c r="F27" s="4">
        <v>100</v>
      </c>
      <c r="G27" s="4">
        <v>100</v>
      </c>
      <c r="H27" s="4">
        <v>100</v>
      </c>
      <c r="I27" s="4">
        <v>100</v>
      </c>
      <c r="J27" s="4">
        <v>100</v>
      </c>
      <c r="K27" s="4">
        <v>100</v>
      </c>
      <c r="L27" s="4">
        <v>100</v>
      </c>
      <c r="M27" s="4">
        <v>100</v>
      </c>
      <c r="N27" s="4">
        <v>100</v>
      </c>
      <c r="O27" s="4">
        <v>100</v>
      </c>
      <c r="P27" s="4">
        <v>100</v>
      </c>
      <c r="Q27" s="1"/>
      <c r="R27" s="1"/>
      <c r="S27" s="1"/>
      <c r="T27" s="1"/>
      <c r="U27" s="1"/>
      <c r="V27" s="1"/>
      <c r="W27" s="1"/>
      <c r="X27" s="1"/>
      <c r="Y27" s="1"/>
      <c r="Z27" s="1"/>
    </row>
    <row r="28" spans="1:26">
      <c r="A28" s="1" t="s">
        <v>28</v>
      </c>
      <c r="B28" s="1" t="s">
        <v>172</v>
      </c>
      <c r="C28" s="1" t="s">
        <v>173</v>
      </c>
      <c r="D28" s="1" t="s">
        <v>118</v>
      </c>
      <c r="E28" s="4">
        <v>100</v>
      </c>
      <c r="F28" s="4">
        <v>100</v>
      </c>
      <c r="G28" s="4">
        <v>100</v>
      </c>
      <c r="H28" s="4">
        <v>100</v>
      </c>
      <c r="I28" s="4">
        <v>100</v>
      </c>
      <c r="J28" s="4">
        <v>100</v>
      </c>
      <c r="K28" s="4">
        <v>100</v>
      </c>
      <c r="L28" s="4">
        <v>100</v>
      </c>
      <c r="M28" s="4">
        <v>100</v>
      </c>
      <c r="N28" s="4">
        <v>100</v>
      </c>
      <c r="O28" s="4">
        <v>100</v>
      </c>
      <c r="P28" s="4">
        <v>100</v>
      </c>
      <c r="Q28" s="1"/>
      <c r="R28" s="1"/>
      <c r="S28" s="1"/>
      <c r="T28" s="1"/>
      <c r="U28" s="1"/>
      <c r="V28" s="1"/>
      <c r="W28" s="1"/>
      <c r="X28" s="1"/>
      <c r="Y28" s="1"/>
      <c r="Z28" s="1"/>
    </row>
    <row r="29" spans="1:26">
      <c r="A29" s="1" t="s">
        <v>28</v>
      </c>
      <c r="B29" s="1" t="s">
        <v>174</v>
      </c>
      <c r="C29" s="1" t="s">
        <v>175</v>
      </c>
      <c r="D29" s="1" t="s">
        <v>118</v>
      </c>
      <c r="E29" s="4">
        <v>100</v>
      </c>
      <c r="F29" s="4">
        <v>100</v>
      </c>
      <c r="G29" s="4">
        <v>100</v>
      </c>
      <c r="H29" s="4">
        <v>100</v>
      </c>
      <c r="I29" s="4">
        <v>100</v>
      </c>
      <c r="J29" s="4">
        <v>100</v>
      </c>
      <c r="K29" s="4">
        <v>100</v>
      </c>
      <c r="L29" s="4">
        <v>100</v>
      </c>
      <c r="M29" s="4">
        <v>100</v>
      </c>
      <c r="N29" s="4">
        <v>100</v>
      </c>
      <c r="O29" s="4">
        <v>100</v>
      </c>
      <c r="P29" s="4">
        <v>100</v>
      </c>
      <c r="Q29" s="1"/>
      <c r="R29" s="1"/>
      <c r="S29" s="1"/>
      <c r="T29" s="1"/>
      <c r="U29" s="1"/>
      <c r="V29" s="1"/>
      <c r="W29" s="1"/>
      <c r="X29" s="1"/>
      <c r="Y29" s="1"/>
      <c r="Z29" s="1"/>
    </row>
    <row r="30" spans="1:26">
      <c r="A30" s="1" t="s">
        <v>28</v>
      </c>
      <c r="B30" s="1" t="s">
        <v>176</v>
      </c>
      <c r="C30" s="1" t="s">
        <v>177</v>
      </c>
      <c r="D30" s="1" t="s">
        <v>118</v>
      </c>
      <c r="E30" s="4">
        <v>100</v>
      </c>
      <c r="F30" s="4">
        <v>100</v>
      </c>
      <c r="G30" s="4">
        <v>100</v>
      </c>
      <c r="H30" s="4">
        <v>100</v>
      </c>
      <c r="I30" s="4">
        <v>100</v>
      </c>
      <c r="J30" s="4">
        <v>100</v>
      </c>
      <c r="K30" s="4">
        <v>100</v>
      </c>
      <c r="L30" s="4">
        <v>100</v>
      </c>
      <c r="M30" s="4">
        <v>100</v>
      </c>
      <c r="N30" s="4">
        <v>100</v>
      </c>
      <c r="O30" s="4">
        <v>100</v>
      </c>
      <c r="P30" s="4">
        <v>100</v>
      </c>
      <c r="Q30" s="1"/>
      <c r="R30" s="1"/>
      <c r="S30" s="1"/>
      <c r="T30" s="1"/>
      <c r="U30" s="1"/>
      <c r="V30" s="1"/>
      <c r="W30" s="1"/>
      <c r="X30" s="1"/>
      <c r="Y30" s="1"/>
      <c r="Z30" s="1"/>
    </row>
    <row r="31" spans="1:26">
      <c r="A31" s="1" t="s">
        <v>28</v>
      </c>
      <c r="B31" s="1" t="s">
        <v>178</v>
      </c>
      <c r="C31" s="1" t="s">
        <v>179</v>
      </c>
      <c r="D31" s="1" t="s">
        <v>118</v>
      </c>
      <c r="E31" s="4">
        <v>100</v>
      </c>
      <c r="F31" s="4">
        <v>100</v>
      </c>
      <c r="G31" s="4">
        <v>100</v>
      </c>
      <c r="H31" s="4">
        <v>100</v>
      </c>
      <c r="I31" s="4">
        <v>100</v>
      </c>
      <c r="J31" s="4">
        <v>100</v>
      </c>
      <c r="K31" s="4">
        <v>100</v>
      </c>
      <c r="L31" s="4">
        <v>100</v>
      </c>
      <c r="M31" s="4">
        <v>100</v>
      </c>
      <c r="N31" s="4">
        <v>100</v>
      </c>
      <c r="O31" s="4">
        <v>100</v>
      </c>
      <c r="P31" s="4">
        <v>100</v>
      </c>
      <c r="Q31" s="1"/>
      <c r="R31" s="1"/>
      <c r="S31" s="1"/>
      <c r="T31" s="1"/>
      <c r="U31" s="1"/>
      <c r="V31" s="1"/>
      <c r="W31" s="1"/>
      <c r="X31" s="1"/>
      <c r="Y31" s="1"/>
      <c r="Z31" s="1"/>
    </row>
    <row r="32" spans="1:26">
      <c r="A32" s="1" t="s">
        <v>30</v>
      </c>
      <c r="B32" s="1" t="s">
        <v>180</v>
      </c>
      <c r="C32" s="1" t="s">
        <v>181</v>
      </c>
      <c r="D32" s="1" t="s">
        <v>118</v>
      </c>
      <c r="E32" s="4">
        <v>100</v>
      </c>
      <c r="F32" s="4">
        <v>100</v>
      </c>
      <c r="G32" s="4">
        <v>100</v>
      </c>
      <c r="H32" s="4">
        <v>100</v>
      </c>
      <c r="I32" s="4">
        <v>100</v>
      </c>
      <c r="J32" s="4">
        <v>100</v>
      </c>
      <c r="K32" s="4">
        <v>100</v>
      </c>
      <c r="L32" s="4">
        <v>100</v>
      </c>
      <c r="M32" s="4">
        <v>100</v>
      </c>
      <c r="N32" s="4">
        <v>100</v>
      </c>
      <c r="O32" s="4">
        <v>100</v>
      </c>
      <c r="P32" s="4">
        <v>100</v>
      </c>
      <c r="Q32" s="1"/>
      <c r="R32" s="1"/>
      <c r="S32" s="1"/>
      <c r="T32" s="1"/>
      <c r="U32" s="1"/>
      <c r="V32" s="1"/>
      <c r="W32" s="1"/>
      <c r="X32" s="1"/>
      <c r="Y32" s="1"/>
      <c r="Z32" s="1"/>
    </row>
    <row r="33" spans="1:26">
      <c r="A33" s="1" t="s">
        <v>30</v>
      </c>
      <c r="B33" s="1" t="s">
        <v>182</v>
      </c>
      <c r="C33" s="1" t="s">
        <v>183</v>
      </c>
      <c r="D33" s="1" t="s">
        <v>118</v>
      </c>
      <c r="E33" s="4">
        <v>5</v>
      </c>
      <c r="F33" s="4">
        <v>5</v>
      </c>
      <c r="G33" s="4">
        <v>5</v>
      </c>
      <c r="H33" s="4">
        <v>5</v>
      </c>
      <c r="I33" s="4">
        <v>5</v>
      </c>
      <c r="J33" s="4">
        <v>5</v>
      </c>
      <c r="K33" s="4">
        <v>5</v>
      </c>
      <c r="L33" s="4">
        <v>5</v>
      </c>
      <c r="M33" s="4">
        <v>5</v>
      </c>
      <c r="N33" s="4">
        <v>5</v>
      </c>
      <c r="O33" s="4">
        <v>5</v>
      </c>
      <c r="P33" s="4">
        <v>5</v>
      </c>
      <c r="Q33" s="1"/>
      <c r="R33" s="1"/>
      <c r="S33" s="1"/>
      <c r="T33" s="1"/>
      <c r="U33" s="1"/>
      <c r="V33" s="1"/>
      <c r="W33" s="1"/>
      <c r="X33" s="1"/>
      <c r="Y33" s="1"/>
      <c r="Z33" s="1"/>
    </row>
    <row r="34" spans="1:26">
      <c r="A34" s="1" t="s">
        <v>30</v>
      </c>
      <c r="B34" s="1" t="s">
        <v>184</v>
      </c>
      <c r="C34" s="1" t="s">
        <v>185</v>
      </c>
      <c r="D34" s="1" t="s">
        <v>118</v>
      </c>
      <c r="E34" s="4">
        <v>95</v>
      </c>
      <c r="F34" s="4">
        <v>95</v>
      </c>
      <c r="G34" s="4">
        <v>95</v>
      </c>
      <c r="H34" s="4">
        <v>95</v>
      </c>
      <c r="I34" s="4">
        <v>95</v>
      </c>
      <c r="J34" s="4">
        <v>95</v>
      </c>
      <c r="K34" s="4">
        <v>95</v>
      </c>
      <c r="L34" s="4">
        <v>95</v>
      </c>
      <c r="M34" s="4">
        <v>95</v>
      </c>
      <c r="N34" s="4">
        <v>95</v>
      </c>
      <c r="O34" s="4">
        <v>95</v>
      </c>
      <c r="P34" s="4">
        <v>95</v>
      </c>
      <c r="Q34" s="1"/>
      <c r="R34" s="1"/>
      <c r="S34" s="1"/>
      <c r="T34" s="1"/>
      <c r="U34" s="1"/>
      <c r="V34" s="1"/>
      <c r="W34" s="1"/>
      <c r="X34" s="1"/>
      <c r="Y34" s="1"/>
      <c r="Z34" s="1"/>
    </row>
    <row r="35" spans="1:26">
      <c r="A35" s="1" t="s">
        <v>30</v>
      </c>
      <c r="B35" s="1" t="s">
        <v>186</v>
      </c>
      <c r="C35" s="1" t="s">
        <v>187</v>
      </c>
      <c r="D35" s="1" t="s">
        <v>118</v>
      </c>
      <c r="E35" s="4">
        <v>99</v>
      </c>
      <c r="F35" s="4">
        <v>99</v>
      </c>
      <c r="G35" s="4">
        <v>99</v>
      </c>
      <c r="H35" s="4">
        <v>99</v>
      </c>
      <c r="I35" s="4">
        <v>99</v>
      </c>
      <c r="J35" s="4">
        <v>99</v>
      </c>
      <c r="K35" s="4">
        <v>99</v>
      </c>
      <c r="L35" s="4">
        <v>99</v>
      </c>
      <c r="M35" s="4">
        <v>99</v>
      </c>
      <c r="N35" s="4">
        <v>99</v>
      </c>
      <c r="O35" s="4">
        <v>99</v>
      </c>
      <c r="P35" s="4">
        <v>99</v>
      </c>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P1"/>
    <mergeCell ref="A2:P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xr:uid="{00000000-0002-0000-0500-000000000000}">
          <x14:formula1>
            <xm:f>'13_Setting'!$D$5:$D$9</xm:f>
          </x14:formula1>
          <xm:sqref>B3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304"/>
  <sheetViews>
    <sheetView showGridLines="0" workbookViewId="0"/>
  </sheetViews>
  <sheetFormatPr defaultRowHeight="13.8"/>
  <cols>
    <col min="1" max="1" width="14" customWidth="1"/>
    <col min="2" max="2" width="9" customWidth="1"/>
    <col min="3" max="3" width="14" customWidth="1"/>
    <col min="4" max="4" width="12" customWidth="1"/>
    <col min="5" max="5" width="28" customWidth="1"/>
    <col min="6" max="6" width="12" customWidth="1"/>
    <col min="7" max="7" width="30" customWidth="1"/>
    <col min="8" max="13" width="14" customWidth="1"/>
    <col min="14" max="14" width="30" customWidth="1"/>
  </cols>
  <sheetData>
    <row r="1" spans="1:26" ht="34.049999999999997" customHeight="1">
      <c r="A1" s="55" t="s">
        <v>202</v>
      </c>
      <c r="B1" s="55" t="s">
        <v>202</v>
      </c>
      <c r="C1" s="55" t="s">
        <v>202</v>
      </c>
      <c r="D1" s="55" t="s">
        <v>202</v>
      </c>
      <c r="E1" s="55" t="s">
        <v>202</v>
      </c>
      <c r="F1" s="55" t="s">
        <v>202</v>
      </c>
      <c r="G1" s="55" t="s">
        <v>202</v>
      </c>
      <c r="H1" s="55" t="s">
        <v>202</v>
      </c>
      <c r="I1" s="55" t="s">
        <v>202</v>
      </c>
      <c r="J1" s="55" t="s">
        <v>202</v>
      </c>
      <c r="K1" s="55" t="s">
        <v>202</v>
      </c>
      <c r="L1" s="55" t="s">
        <v>202</v>
      </c>
      <c r="M1" s="55" t="s">
        <v>202</v>
      </c>
      <c r="N1" s="55" t="s">
        <v>202</v>
      </c>
      <c r="O1" s="1"/>
      <c r="P1" s="1"/>
      <c r="Q1" s="1"/>
      <c r="R1" s="1"/>
      <c r="S1" s="1"/>
      <c r="T1" s="1"/>
      <c r="U1" s="1"/>
      <c r="V1" s="1"/>
      <c r="W1" s="1"/>
      <c r="X1" s="1"/>
      <c r="Y1" s="1"/>
      <c r="Z1" s="1"/>
    </row>
    <row r="2" spans="1:26" ht="24" customHeight="1">
      <c r="A2" s="56" t="s">
        <v>203</v>
      </c>
      <c r="B2" s="56" t="s">
        <v>203</v>
      </c>
      <c r="C2" s="56" t="s">
        <v>203</v>
      </c>
      <c r="D2" s="56" t="s">
        <v>203</v>
      </c>
      <c r="E2" s="56" t="s">
        <v>203</v>
      </c>
      <c r="F2" s="56" t="s">
        <v>203</v>
      </c>
      <c r="G2" s="56" t="s">
        <v>203</v>
      </c>
      <c r="H2" s="56" t="s">
        <v>203</v>
      </c>
      <c r="I2" s="56" t="s">
        <v>203</v>
      </c>
      <c r="J2" s="56" t="s">
        <v>203</v>
      </c>
      <c r="K2" s="56" t="s">
        <v>203</v>
      </c>
      <c r="L2" s="56" t="s">
        <v>203</v>
      </c>
      <c r="M2" s="56" t="s">
        <v>203</v>
      </c>
      <c r="N2" s="56" t="s">
        <v>203</v>
      </c>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204</v>
      </c>
      <c r="D4" s="6" t="s">
        <v>83</v>
      </c>
      <c r="E4" s="6" t="s">
        <v>34</v>
      </c>
      <c r="F4" s="6" t="s">
        <v>108</v>
      </c>
      <c r="G4" s="6" t="s">
        <v>205</v>
      </c>
      <c r="H4" s="6" t="s">
        <v>206</v>
      </c>
      <c r="I4" s="6" t="s">
        <v>207</v>
      </c>
      <c r="J4" s="6" t="s">
        <v>208</v>
      </c>
      <c r="K4" s="6" t="s">
        <v>111</v>
      </c>
      <c r="L4" s="6" t="s">
        <v>209</v>
      </c>
      <c r="M4" s="6" t="s">
        <v>85</v>
      </c>
      <c r="N4" s="3" t="s">
        <v>210</v>
      </c>
      <c r="O4" s="1"/>
      <c r="P4" s="1"/>
      <c r="Q4" s="1"/>
      <c r="R4" s="1"/>
      <c r="S4" s="1"/>
      <c r="T4" s="1"/>
      <c r="U4" s="1"/>
      <c r="V4" s="1"/>
      <c r="W4" s="1"/>
      <c r="X4" s="1"/>
      <c r="Y4" s="1"/>
      <c r="Z4" s="1"/>
    </row>
    <row r="5" spans="1:26">
      <c r="A5" s="16" t="s">
        <v>192</v>
      </c>
      <c r="B5" s="16">
        <v>2026</v>
      </c>
      <c r="C5" s="17">
        <v>46053</v>
      </c>
      <c r="D5" s="16" t="s">
        <v>100</v>
      </c>
      <c r="E5" s="8" t="str">
        <f>IFERROR(VLOOKUP(D5,'04_Master Karyawan'!$A$5:$F$50,2,FALSE),"")</f>
        <v>Supervisor Produksi (Ganti Nama)</v>
      </c>
      <c r="F5" s="16" t="s">
        <v>116</v>
      </c>
      <c r="G5" s="8" t="str">
        <f>IFERROR(VLOOKUP(F5,'05_Master KPI'!$B$5:$G$100,2,FALSE)&amp;" ("&amp;VLOOKUP(F5,'05_Master KPI'!$B$5:$G$100,3,FALSE)&amp;")","")</f>
        <v>QC Pass Rate (%)</v>
      </c>
      <c r="H5" s="8">
        <f>IFERROR(IF(B5&lt;&gt;'06_Target KPI'!$B$3,0,IF(VLOOKUP(F5,'05_Master KPI'!$B$5:$G$100,6,FALSE)="Kumulatif",INDEX('06_Target KPI'!$E$5:$P$100,MATCH(F5,'06_Target KPI'!$B$5:$B$100,0),MATCH(A5,'06_Target KPI'!$E$4:$P$4,0))*DAY(C5)/DAY(EOMONTH(C5,0)),INDEX('06_Target KPI'!$E$5:$P$100,MATCH(F5,'06_Target KPI'!$B$5:$B$100,0),MATCH(A5,'06_Target KPI'!$E$4:$P$4,0)))),0)</f>
        <v>98</v>
      </c>
      <c r="I5" s="16">
        <v>77.7</v>
      </c>
      <c r="J5" s="18">
        <f>IFERROR(MIN(IF(VLOOKUP(F5,'05_Master KPI'!$B$5:$G$100,5,FALSE)="Lower",H5/I5,I5/H5),1),0)</f>
        <v>0.79285714285714293</v>
      </c>
      <c r="K5" s="8">
        <f>IFERROR(VLOOKUP(F5,'05_Master KPI'!$B$5:$G$100,4,FALSE),0)</f>
        <v>40</v>
      </c>
      <c r="L5" s="19">
        <f t="shared" ref="L5:L68" si="0">J5*K5</f>
        <v>31.714285714285715</v>
      </c>
      <c r="M5" s="8" t="str">
        <f>IF(D5="","",IF(J5&gt;='13_Setting'!$H$7,"Tercapai",IF(J5&gt;='13_Setting'!$H$6,"On Track","Tertinggal")))</f>
        <v>Tertinggal</v>
      </c>
      <c r="N5" s="16" t="s">
        <v>211</v>
      </c>
      <c r="O5" s="1"/>
      <c r="P5" s="1"/>
      <c r="Q5" s="1"/>
      <c r="R5" s="1"/>
      <c r="S5" s="1"/>
      <c r="T5" s="1"/>
      <c r="U5" s="1"/>
      <c r="V5" s="1"/>
      <c r="W5" s="1"/>
      <c r="X5" s="1"/>
      <c r="Y5" s="1"/>
      <c r="Z5" s="1"/>
    </row>
    <row r="6" spans="1:26">
      <c r="A6" s="20" t="s">
        <v>192</v>
      </c>
      <c r="B6" s="20">
        <v>2026</v>
      </c>
      <c r="C6" s="21">
        <v>46053</v>
      </c>
      <c r="D6" s="20" t="s">
        <v>100</v>
      </c>
      <c r="E6" s="9" t="str">
        <f>IFERROR(VLOOKUP(D6,'04_Master Karyawan'!$A$5:$F$50,2,FALSE),"")</f>
        <v>Supervisor Produksi (Ganti Nama)</v>
      </c>
      <c r="F6" s="20" t="s">
        <v>121</v>
      </c>
      <c r="G6" s="9" t="str">
        <f>IFERROR(VLOOKUP(F6,'05_Master KPI'!$B$5:$G$100,2,FALSE)&amp;" ("&amp;VLOOKUP(F6,'05_Master KPI'!$B$5:$G$100,3,FALSE)&amp;")","")</f>
        <v>Output Produksi (pcs)</v>
      </c>
      <c r="H6" s="9">
        <f>IFERROR(IF(B6&lt;&gt;'06_Target KPI'!$B$3,0,IF(VLOOKUP(F6,'05_Master KPI'!$B$5:$G$100,6,FALSE)="Kumulatif",INDEX('06_Target KPI'!$E$5:$P$100,MATCH(F6,'06_Target KPI'!$B$5:$B$100,0),MATCH(A6,'06_Target KPI'!$E$4:$P$4,0))*DAY(C6)/DAY(EOMONTH(C6,0)),INDEX('06_Target KPI'!$E$5:$P$100,MATCH(F6,'06_Target KPI'!$B$5:$B$100,0),MATCH(A6,'06_Target KPI'!$E$4:$P$4,0)))),0)</f>
        <v>100</v>
      </c>
      <c r="I6" s="20">
        <v>79</v>
      </c>
      <c r="J6" s="22">
        <f>IFERROR(MIN(IF(VLOOKUP(F6,'05_Master KPI'!$B$5:$G$100,5,FALSE)="Lower",H6/I6,I6/H6),1),0)</f>
        <v>0.79</v>
      </c>
      <c r="K6" s="9">
        <f>IFERROR(VLOOKUP(F6,'05_Master KPI'!$B$5:$G$100,4,FALSE),0)</f>
        <v>25</v>
      </c>
      <c r="L6" s="23">
        <f t="shared" si="0"/>
        <v>19.75</v>
      </c>
      <c r="M6" s="9" t="str">
        <f>IF(D6="","",IF(J6&gt;='13_Setting'!$H$7,"Tercapai",IF(J6&gt;='13_Setting'!$H$6,"On Track","Tertinggal")))</f>
        <v>Tertinggal</v>
      </c>
      <c r="N6" s="20" t="s">
        <v>211</v>
      </c>
      <c r="O6" s="1"/>
      <c r="P6" s="1"/>
      <c r="Q6" s="1"/>
      <c r="R6" s="1"/>
      <c r="S6" s="1"/>
      <c r="T6" s="1"/>
      <c r="U6" s="1"/>
      <c r="V6" s="1"/>
      <c r="W6" s="1"/>
      <c r="X6" s="1"/>
      <c r="Y6" s="1"/>
      <c r="Z6" s="1"/>
    </row>
    <row r="7" spans="1:26">
      <c r="A7" s="20" t="s">
        <v>192</v>
      </c>
      <c r="B7" s="20">
        <v>2026</v>
      </c>
      <c r="C7" s="21">
        <v>46053</v>
      </c>
      <c r="D7" s="20" t="s">
        <v>100</v>
      </c>
      <c r="E7" s="9" t="str">
        <f>IFERROR(VLOOKUP(D7,'04_Master Karyawan'!$A$5:$F$50,2,FALSE),"")</f>
        <v>Supervisor Produksi (Ganti Nama)</v>
      </c>
      <c r="F7" s="20" t="s">
        <v>125</v>
      </c>
      <c r="G7" s="9" t="str">
        <f>IFERROR(VLOOKUP(F7,'05_Master KPI'!$B$5:$G$100,2,FALSE)&amp;" ("&amp;VLOOKUP(F7,'05_Master KPI'!$B$5:$G$100,3,FALSE)&amp;")","")</f>
        <v>On-Time Delivery (%)</v>
      </c>
      <c r="H7" s="9">
        <f>IFERROR(IF(B7&lt;&gt;'06_Target KPI'!$B$3,0,IF(VLOOKUP(F7,'05_Master KPI'!$B$5:$G$100,6,FALSE)="Kumulatif",INDEX('06_Target KPI'!$E$5:$P$100,MATCH(F7,'06_Target KPI'!$B$5:$B$100,0),MATCH(A7,'06_Target KPI'!$E$4:$P$4,0))*DAY(C7)/DAY(EOMONTH(C7,0)),INDEX('06_Target KPI'!$E$5:$P$100,MATCH(F7,'06_Target KPI'!$B$5:$B$100,0),MATCH(A7,'06_Target KPI'!$E$4:$P$4,0)))),0)</f>
        <v>95</v>
      </c>
      <c r="I7" s="20">
        <v>75.3</v>
      </c>
      <c r="J7" s="22">
        <f>IFERROR(MIN(IF(VLOOKUP(F7,'05_Master KPI'!$B$5:$G$100,5,FALSE)="Lower",H7/I7,I7/H7),1),0)</f>
        <v>0.79263157894736835</v>
      </c>
      <c r="K7" s="9">
        <f>IFERROR(VLOOKUP(F7,'05_Master KPI'!$B$5:$G$100,4,FALSE),0)</f>
        <v>20</v>
      </c>
      <c r="L7" s="23">
        <f t="shared" si="0"/>
        <v>15.852631578947367</v>
      </c>
      <c r="M7" s="9" t="str">
        <f>IF(D7="","",IF(J7&gt;='13_Setting'!$H$7,"Tercapai",IF(J7&gt;='13_Setting'!$H$6,"On Track","Tertinggal")))</f>
        <v>Tertinggal</v>
      </c>
      <c r="N7" s="20" t="s">
        <v>211</v>
      </c>
      <c r="O7" s="1"/>
      <c r="P7" s="1"/>
      <c r="Q7" s="1"/>
      <c r="R7" s="1"/>
      <c r="S7" s="1"/>
      <c r="T7" s="1"/>
      <c r="U7" s="1"/>
      <c r="V7" s="1"/>
      <c r="W7" s="1"/>
      <c r="X7" s="1"/>
      <c r="Y7" s="1"/>
      <c r="Z7" s="1"/>
    </row>
    <row r="8" spans="1:26">
      <c r="A8" s="20" t="s">
        <v>192</v>
      </c>
      <c r="B8" s="20">
        <v>2026</v>
      </c>
      <c r="C8" s="21">
        <v>46053</v>
      </c>
      <c r="D8" s="20" t="s">
        <v>100</v>
      </c>
      <c r="E8" s="9" t="str">
        <f>IFERROR(VLOOKUP(D8,'04_Master Karyawan'!$A$5:$F$50,2,FALSE),"")</f>
        <v>Supervisor Produksi (Ganti Nama)</v>
      </c>
      <c r="F8" s="20" t="s">
        <v>127</v>
      </c>
      <c r="G8" s="9" t="str">
        <f>IFERROR(VLOOKUP(F8,'05_Master KPI'!$B$5:$G$100,2,FALSE)&amp;" ("&amp;VLOOKUP(F8,'05_Master KPI'!$B$5:$G$100,3,FALSE)&amp;")","")</f>
        <v>SOP &amp; 5S (%)</v>
      </c>
      <c r="H8" s="9">
        <f>IFERROR(IF(B8&lt;&gt;'06_Target KPI'!$B$3,0,IF(VLOOKUP(F8,'05_Master KPI'!$B$5:$G$100,6,FALSE)="Kumulatif",INDEX('06_Target KPI'!$E$5:$P$100,MATCH(F8,'06_Target KPI'!$B$5:$B$100,0),MATCH(A8,'06_Target KPI'!$E$4:$P$4,0))*DAY(C8)/DAY(EOMONTH(C8,0)),INDEX('06_Target KPI'!$E$5:$P$100,MATCH(F8,'06_Target KPI'!$B$5:$B$100,0),MATCH(A8,'06_Target KPI'!$E$4:$P$4,0)))),0)</f>
        <v>100</v>
      </c>
      <c r="I8" s="20">
        <v>79.3</v>
      </c>
      <c r="J8" s="22">
        <f>IFERROR(MIN(IF(VLOOKUP(F8,'05_Master KPI'!$B$5:$G$100,5,FALSE)="Lower",H8/I8,I8/H8),1),0)</f>
        <v>0.79299999999999993</v>
      </c>
      <c r="K8" s="9">
        <f>IFERROR(VLOOKUP(F8,'05_Master KPI'!$B$5:$G$100,4,FALSE),0)</f>
        <v>15</v>
      </c>
      <c r="L8" s="23">
        <f t="shared" si="0"/>
        <v>11.895</v>
      </c>
      <c r="M8" s="9" t="str">
        <f>IF(D8="","",IF(J8&gt;='13_Setting'!$H$7,"Tercapai",IF(J8&gt;='13_Setting'!$H$6,"On Track","Tertinggal")))</f>
        <v>Tertinggal</v>
      </c>
      <c r="N8" s="20" t="s">
        <v>211</v>
      </c>
      <c r="O8" s="1"/>
      <c r="P8" s="1"/>
      <c r="Q8" s="1"/>
      <c r="R8" s="1"/>
      <c r="S8" s="1"/>
      <c r="T8" s="1"/>
      <c r="U8" s="1"/>
      <c r="V8" s="1"/>
      <c r="W8" s="1"/>
      <c r="X8" s="1"/>
      <c r="Y8" s="1"/>
      <c r="Z8" s="1"/>
    </row>
    <row r="9" spans="1:26">
      <c r="A9" s="20" t="s">
        <v>193</v>
      </c>
      <c r="B9" s="20">
        <v>2026</v>
      </c>
      <c r="C9" s="21">
        <v>46081</v>
      </c>
      <c r="D9" s="20" t="s">
        <v>100</v>
      </c>
      <c r="E9" s="9" t="str">
        <f>IFERROR(VLOOKUP(D9,'04_Master Karyawan'!$A$5:$F$50,2,FALSE),"")</f>
        <v>Supervisor Produksi (Ganti Nama)</v>
      </c>
      <c r="F9" s="20" t="s">
        <v>116</v>
      </c>
      <c r="G9" s="9" t="str">
        <f>IFERROR(VLOOKUP(F9,'05_Master KPI'!$B$5:$G$100,2,FALSE)&amp;" ("&amp;VLOOKUP(F9,'05_Master KPI'!$B$5:$G$100,3,FALSE)&amp;")","")</f>
        <v>QC Pass Rate (%)</v>
      </c>
      <c r="H9" s="9">
        <f>IFERROR(IF(B9&lt;&gt;'06_Target KPI'!$B$3,0,IF(VLOOKUP(F9,'05_Master KPI'!$B$5:$G$100,6,FALSE)="Kumulatif",INDEX('06_Target KPI'!$E$5:$P$100,MATCH(F9,'06_Target KPI'!$B$5:$B$100,0),MATCH(A9,'06_Target KPI'!$E$4:$P$4,0))*DAY(C9)/DAY(EOMONTH(C9,0)),INDEX('06_Target KPI'!$E$5:$P$100,MATCH(F9,'06_Target KPI'!$B$5:$B$100,0),MATCH(A9,'06_Target KPI'!$E$4:$P$4,0)))),0)</f>
        <v>98</v>
      </c>
      <c r="I9" s="20">
        <v>81.599999999999994</v>
      </c>
      <c r="J9" s="22">
        <f>IFERROR(MIN(IF(VLOOKUP(F9,'05_Master KPI'!$B$5:$G$100,5,FALSE)="Lower",H9/I9,I9/H9),1),0)</f>
        <v>0.83265306122448979</v>
      </c>
      <c r="K9" s="9">
        <f>IFERROR(VLOOKUP(F9,'05_Master KPI'!$B$5:$G$100,4,FALSE),0)</f>
        <v>40</v>
      </c>
      <c r="L9" s="23">
        <f t="shared" si="0"/>
        <v>33.306122448979593</v>
      </c>
      <c r="M9" s="9" t="str">
        <f>IF(D9="","",IF(J9&gt;='13_Setting'!$H$7,"Tercapai",IF(J9&gt;='13_Setting'!$H$6,"On Track","Tertinggal")))</f>
        <v>Tertinggal</v>
      </c>
      <c r="N9" s="20" t="s">
        <v>211</v>
      </c>
      <c r="O9" s="1"/>
      <c r="P9" s="1"/>
      <c r="Q9" s="1"/>
      <c r="R9" s="1"/>
      <c r="S9" s="1"/>
      <c r="T9" s="1"/>
      <c r="U9" s="1"/>
      <c r="V9" s="1"/>
      <c r="W9" s="1"/>
      <c r="X9" s="1"/>
      <c r="Y9" s="1"/>
      <c r="Z9" s="1"/>
    </row>
    <row r="10" spans="1:26">
      <c r="A10" s="20" t="s">
        <v>193</v>
      </c>
      <c r="B10" s="20">
        <v>2026</v>
      </c>
      <c r="C10" s="21">
        <v>46081</v>
      </c>
      <c r="D10" s="20" t="s">
        <v>100</v>
      </c>
      <c r="E10" s="9" t="str">
        <f>IFERROR(VLOOKUP(D10,'04_Master Karyawan'!$A$5:$F$50,2,FALSE),"")</f>
        <v>Supervisor Produksi (Ganti Nama)</v>
      </c>
      <c r="F10" s="20" t="s">
        <v>121</v>
      </c>
      <c r="G10" s="9" t="str">
        <f>IFERROR(VLOOKUP(F10,'05_Master KPI'!$B$5:$G$100,2,FALSE)&amp;" ("&amp;VLOOKUP(F10,'05_Master KPI'!$B$5:$G$100,3,FALSE)&amp;")","")</f>
        <v>Output Produksi (pcs)</v>
      </c>
      <c r="H10" s="9">
        <f>IFERROR(IF(B10&lt;&gt;'06_Target KPI'!$B$3,0,IF(VLOOKUP(F10,'05_Master KPI'!$B$5:$G$100,6,FALSE)="Kumulatif",INDEX('06_Target KPI'!$E$5:$P$100,MATCH(F10,'06_Target KPI'!$B$5:$B$100,0),MATCH(A10,'06_Target KPI'!$E$4:$P$4,0))*DAY(C10)/DAY(EOMONTH(C10,0)),INDEX('06_Target KPI'!$E$5:$P$100,MATCH(F10,'06_Target KPI'!$B$5:$B$100,0),MATCH(A10,'06_Target KPI'!$E$4:$P$4,0)))),0)</f>
        <v>100</v>
      </c>
      <c r="I10" s="20">
        <v>83</v>
      </c>
      <c r="J10" s="22">
        <f>IFERROR(MIN(IF(VLOOKUP(F10,'05_Master KPI'!$B$5:$G$100,5,FALSE)="Lower",H10/I10,I10/H10),1),0)</f>
        <v>0.83</v>
      </c>
      <c r="K10" s="9">
        <f>IFERROR(VLOOKUP(F10,'05_Master KPI'!$B$5:$G$100,4,FALSE),0)</f>
        <v>25</v>
      </c>
      <c r="L10" s="23">
        <f t="shared" si="0"/>
        <v>20.75</v>
      </c>
      <c r="M10" s="9" t="str">
        <f>IF(D10="","",IF(J10&gt;='13_Setting'!$H$7,"Tercapai",IF(J10&gt;='13_Setting'!$H$6,"On Track","Tertinggal")))</f>
        <v>Tertinggal</v>
      </c>
      <c r="N10" s="20" t="s">
        <v>211</v>
      </c>
      <c r="O10" s="1"/>
      <c r="P10" s="1"/>
      <c r="Q10" s="1"/>
      <c r="R10" s="1"/>
      <c r="S10" s="1"/>
      <c r="T10" s="1"/>
      <c r="U10" s="1"/>
      <c r="V10" s="1"/>
      <c r="W10" s="1"/>
      <c r="X10" s="1"/>
      <c r="Y10" s="1"/>
      <c r="Z10" s="1"/>
    </row>
    <row r="11" spans="1:26">
      <c r="A11" s="20" t="s">
        <v>193</v>
      </c>
      <c r="B11" s="20">
        <v>2026</v>
      </c>
      <c r="C11" s="21">
        <v>46081</v>
      </c>
      <c r="D11" s="20" t="s">
        <v>100</v>
      </c>
      <c r="E11" s="9" t="str">
        <f>IFERROR(VLOOKUP(D11,'04_Master Karyawan'!$A$5:$F$50,2,FALSE),"")</f>
        <v>Supervisor Produksi (Ganti Nama)</v>
      </c>
      <c r="F11" s="20" t="s">
        <v>125</v>
      </c>
      <c r="G11" s="9" t="str">
        <f>IFERROR(VLOOKUP(F11,'05_Master KPI'!$B$5:$G$100,2,FALSE)&amp;" ("&amp;VLOOKUP(F11,'05_Master KPI'!$B$5:$G$100,3,FALSE)&amp;")","")</f>
        <v>On-Time Delivery (%)</v>
      </c>
      <c r="H11" s="9">
        <f>IFERROR(IF(B11&lt;&gt;'06_Target KPI'!$B$3,0,IF(VLOOKUP(F11,'05_Master KPI'!$B$5:$G$100,6,FALSE)="Kumulatif",INDEX('06_Target KPI'!$E$5:$P$100,MATCH(F11,'06_Target KPI'!$B$5:$B$100,0),MATCH(A11,'06_Target KPI'!$E$4:$P$4,0))*DAY(C11)/DAY(EOMONTH(C11,0)),INDEX('06_Target KPI'!$E$5:$P$100,MATCH(F11,'06_Target KPI'!$B$5:$B$100,0),MATCH(A11,'06_Target KPI'!$E$4:$P$4,0)))),0)</f>
        <v>95</v>
      </c>
      <c r="I11" s="20">
        <v>79.099999999999994</v>
      </c>
      <c r="J11" s="22">
        <f>IFERROR(MIN(IF(VLOOKUP(F11,'05_Master KPI'!$B$5:$G$100,5,FALSE)="Lower",H11/I11,I11/H11),1),0)</f>
        <v>0.83263157894736839</v>
      </c>
      <c r="K11" s="9">
        <f>IFERROR(VLOOKUP(F11,'05_Master KPI'!$B$5:$G$100,4,FALSE),0)</f>
        <v>20</v>
      </c>
      <c r="L11" s="23">
        <f t="shared" si="0"/>
        <v>16.652631578947368</v>
      </c>
      <c r="M11" s="9" t="str">
        <f>IF(D11="","",IF(J11&gt;='13_Setting'!$H$7,"Tercapai",IF(J11&gt;='13_Setting'!$H$6,"On Track","Tertinggal")))</f>
        <v>Tertinggal</v>
      </c>
      <c r="N11" s="20" t="s">
        <v>211</v>
      </c>
      <c r="O11" s="1"/>
      <c r="P11" s="1"/>
      <c r="Q11" s="1"/>
      <c r="R11" s="1"/>
      <c r="S11" s="1"/>
      <c r="T11" s="1"/>
      <c r="U11" s="1"/>
      <c r="V11" s="1"/>
      <c r="W11" s="1"/>
      <c r="X11" s="1"/>
      <c r="Y11" s="1"/>
      <c r="Z11" s="1"/>
    </row>
    <row r="12" spans="1:26">
      <c r="A12" s="20" t="s">
        <v>193</v>
      </c>
      <c r="B12" s="20">
        <v>2026</v>
      </c>
      <c r="C12" s="21">
        <v>46081</v>
      </c>
      <c r="D12" s="20" t="s">
        <v>100</v>
      </c>
      <c r="E12" s="9" t="str">
        <f>IFERROR(VLOOKUP(D12,'04_Master Karyawan'!$A$5:$F$50,2,FALSE),"")</f>
        <v>Supervisor Produksi (Ganti Nama)</v>
      </c>
      <c r="F12" s="20" t="s">
        <v>127</v>
      </c>
      <c r="G12" s="9" t="str">
        <f>IFERROR(VLOOKUP(F12,'05_Master KPI'!$B$5:$G$100,2,FALSE)&amp;" ("&amp;VLOOKUP(F12,'05_Master KPI'!$B$5:$G$100,3,FALSE)&amp;")","")</f>
        <v>SOP &amp; 5S (%)</v>
      </c>
      <c r="H12" s="9">
        <f>IFERROR(IF(B12&lt;&gt;'06_Target KPI'!$B$3,0,IF(VLOOKUP(F12,'05_Master KPI'!$B$5:$G$100,6,FALSE)="Kumulatif",INDEX('06_Target KPI'!$E$5:$P$100,MATCH(F12,'06_Target KPI'!$B$5:$B$100,0),MATCH(A12,'06_Target KPI'!$E$4:$P$4,0))*DAY(C12)/DAY(EOMONTH(C12,0)),INDEX('06_Target KPI'!$E$5:$P$100,MATCH(F12,'06_Target KPI'!$B$5:$B$100,0),MATCH(A12,'06_Target KPI'!$E$4:$P$4,0)))),0)</f>
        <v>100</v>
      </c>
      <c r="I12" s="20">
        <v>83.2</v>
      </c>
      <c r="J12" s="22">
        <f>IFERROR(MIN(IF(VLOOKUP(F12,'05_Master KPI'!$B$5:$G$100,5,FALSE)="Lower",H12/I12,I12/H12),1),0)</f>
        <v>0.83200000000000007</v>
      </c>
      <c r="K12" s="9">
        <f>IFERROR(VLOOKUP(F12,'05_Master KPI'!$B$5:$G$100,4,FALSE),0)</f>
        <v>15</v>
      </c>
      <c r="L12" s="23">
        <f t="shared" si="0"/>
        <v>12.48</v>
      </c>
      <c r="M12" s="9" t="str">
        <f>IF(D12="","",IF(J12&gt;='13_Setting'!$H$7,"Tercapai",IF(J12&gt;='13_Setting'!$H$6,"On Track","Tertinggal")))</f>
        <v>Tertinggal</v>
      </c>
      <c r="N12" s="20" t="s">
        <v>211</v>
      </c>
      <c r="O12" s="1"/>
      <c r="P12" s="1"/>
      <c r="Q12" s="1"/>
      <c r="R12" s="1"/>
      <c r="S12" s="1"/>
      <c r="T12" s="1"/>
      <c r="U12" s="1"/>
      <c r="V12" s="1"/>
      <c r="W12" s="1"/>
      <c r="X12" s="1"/>
      <c r="Y12" s="1"/>
      <c r="Z12" s="1"/>
    </row>
    <row r="13" spans="1:26">
      <c r="A13" s="20" t="s">
        <v>194</v>
      </c>
      <c r="B13" s="20">
        <v>2026</v>
      </c>
      <c r="C13" s="21">
        <v>46112</v>
      </c>
      <c r="D13" s="20" t="s">
        <v>100</v>
      </c>
      <c r="E13" s="9" t="str">
        <f>IFERROR(VLOOKUP(D13,'04_Master Karyawan'!$A$5:$F$50,2,FALSE),"")</f>
        <v>Supervisor Produksi (Ganti Nama)</v>
      </c>
      <c r="F13" s="20" t="s">
        <v>116</v>
      </c>
      <c r="G13" s="9" t="str">
        <f>IFERROR(VLOOKUP(F13,'05_Master KPI'!$B$5:$G$100,2,FALSE)&amp;" ("&amp;VLOOKUP(F13,'05_Master KPI'!$B$5:$G$100,3,FALSE)&amp;")","")</f>
        <v>QC Pass Rate (%)</v>
      </c>
      <c r="H13" s="9">
        <f>IFERROR(IF(B13&lt;&gt;'06_Target KPI'!$B$3,0,IF(VLOOKUP(F13,'05_Master KPI'!$B$5:$G$100,6,FALSE)="Kumulatif",INDEX('06_Target KPI'!$E$5:$P$100,MATCH(F13,'06_Target KPI'!$B$5:$B$100,0),MATCH(A13,'06_Target KPI'!$E$4:$P$4,0))*DAY(C13)/DAY(EOMONTH(C13,0)),INDEX('06_Target KPI'!$E$5:$P$100,MATCH(F13,'06_Target KPI'!$B$5:$B$100,0),MATCH(A13,'06_Target KPI'!$E$4:$P$4,0)))),0)</f>
        <v>98</v>
      </c>
      <c r="I13" s="20">
        <v>83.5</v>
      </c>
      <c r="J13" s="22">
        <f>IFERROR(MIN(IF(VLOOKUP(F13,'05_Master KPI'!$B$5:$G$100,5,FALSE)="Lower",H13/I13,I13/H13),1),0)</f>
        <v>0.85204081632653061</v>
      </c>
      <c r="K13" s="9">
        <f>IFERROR(VLOOKUP(F13,'05_Master KPI'!$B$5:$G$100,4,FALSE),0)</f>
        <v>40</v>
      </c>
      <c r="L13" s="23">
        <f t="shared" si="0"/>
        <v>34.081632653061227</v>
      </c>
      <c r="M13" s="9" t="str">
        <f>IF(D13="","",IF(J13&gt;='13_Setting'!$H$7,"Tercapai",IF(J13&gt;='13_Setting'!$H$6,"On Track","Tertinggal")))</f>
        <v>On Track</v>
      </c>
      <c r="N13" s="20" t="s">
        <v>211</v>
      </c>
      <c r="O13" s="1"/>
      <c r="P13" s="1"/>
      <c r="Q13" s="1"/>
      <c r="R13" s="1"/>
      <c r="S13" s="1"/>
      <c r="T13" s="1"/>
      <c r="U13" s="1"/>
      <c r="V13" s="1"/>
      <c r="W13" s="1"/>
      <c r="X13" s="1"/>
      <c r="Y13" s="1"/>
      <c r="Z13" s="1"/>
    </row>
    <row r="14" spans="1:26">
      <c r="A14" s="20" t="s">
        <v>194</v>
      </c>
      <c r="B14" s="20">
        <v>2026</v>
      </c>
      <c r="C14" s="21">
        <v>46112</v>
      </c>
      <c r="D14" s="20" t="s">
        <v>100</v>
      </c>
      <c r="E14" s="9" t="str">
        <f>IFERROR(VLOOKUP(D14,'04_Master Karyawan'!$A$5:$F$50,2,FALSE),"")</f>
        <v>Supervisor Produksi (Ganti Nama)</v>
      </c>
      <c r="F14" s="20" t="s">
        <v>121</v>
      </c>
      <c r="G14" s="9" t="str">
        <f>IFERROR(VLOOKUP(F14,'05_Master KPI'!$B$5:$G$100,2,FALSE)&amp;" ("&amp;VLOOKUP(F14,'05_Master KPI'!$B$5:$G$100,3,FALSE)&amp;")","")</f>
        <v>Output Produksi (pcs)</v>
      </c>
      <c r="H14" s="9">
        <f>IFERROR(IF(B14&lt;&gt;'06_Target KPI'!$B$3,0,IF(VLOOKUP(F14,'05_Master KPI'!$B$5:$G$100,6,FALSE)="Kumulatif",INDEX('06_Target KPI'!$E$5:$P$100,MATCH(F14,'06_Target KPI'!$B$5:$B$100,0),MATCH(A14,'06_Target KPI'!$E$4:$P$4,0))*DAY(C14)/DAY(EOMONTH(C14,0)),INDEX('06_Target KPI'!$E$5:$P$100,MATCH(F14,'06_Target KPI'!$B$5:$B$100,0),MATCH(A14,'06_Target KPI'!$E$4:$P$4,0)))),0)</f>
        <v>100</v>
      </c>
      <c r="I14" s="20">
        <v>85</v>
      </c>
      <c r="J14" s="22">
        <f>IFERROR(MIN(IF(VLOOKUP(F14,'05_Master KPI'!$B$5:$G$100,5,FALSE)="Lower",H14/I14,I14/H14),1),0)</f>
        <v>0.85</v>
      </c>
      <c r="K14" s="9">
        <f>IFERROR(VLOOKUP(F14,'05_Master KPI'!$B$5:$G$100,4,FALSE),0)</f>
        <v>25</v>
      </c>
      <c r="L14" s="23">
        <f t="shared" si="0"/>
        <v>21.25</v>
      </c>
      <c r="M14" s="9" t="str">
        <f>IF(D14="","",IF(J14&gt;='13_Setting'!$H$7,"Tercapai",IF(J14&gt;='13_Setting'!$H$6,"On Track","Tertinggal")))</f>
        <v>On Track</v>
      </c>
      <c r="N14" s="20" t="s">
        <v>211</v>
      </c>
      <c r="O14" s="1"/>
      <c r="P14" s="1"/>
      <c r="Q14" s="1"/>
      <c r="R14" s="1"/>
      <c r="S14" s="1"/>
      <c r="T14" s="1"/>
      <c r="U14" s="1"/>
      <c r="V14" s="1"/>
      <c r="W14" s="1"/>
      <c r="X14" s="1"/>
      <c r="Y14" s="1"/>
      <c r="Z14" s="1"/>
    </row>
    <row r="15" spans="1:26">
      <c r="A15" s="20" t="s">
        <v>194</v>
      </c>
      <c r="B15" s="20">
        <v>2026</v>
      </c>
      <c r="C15" s="21">
        <v>46112</v>
      </c>
      <c r="D15" s="20" t="s">
        <v>100</v>
      </c>
      <c r="E15" s="9" t="str">
        <f>IFERROR(VLOOKUP(D15,'04_Master Karyawan'!$A$5:$F$50,2,FALSE),"")</f>
        <v>Supervisor Produksi (Ganti Nama)</v>
      </c>
      <c r="F15" s="20" t="s">
        <v>125</v>
      </c>
      <c r="G15" s="9" t="str">
        <f>IFERROR(VLOOKUP(F15,'05_Master KPI'!$B$5:$G$100,2,FALSE)&amp;" ("&amp;VLOOKUP(F15,'05_Master KPI'!$B$5:$G$100,3,FALSE)&amp;")","")</f>
        <v>On-Time Delivery (%)</v>
      </c>
      <c r="H15" s="9">
        <f>IFERROR(IF(B15&lt;&gt;'06_Target KPI'!$B$3,0,IF(VLOOKUP(F15,'05_Master KPI'!$B$5:$G$100,6,FALSE)="Kumulatif",INDEX('06_Target KPI'!$E$5:$P$100,MATCH(F15,'06_Target KPI'!$B$5:$B$100,0),MATCH(A15,'06_Target KPI'!$E$4:$P$4,0))*DAY(C15)/DAY(EOMONTH(C15,0)),INDEX('06_Target KPI'!$E$5:$P$100,MATCH(F15,'06_Target KPI'!$B$5:$B$100,0),MATCH(A15,'06_Target KPI'!$E$4:$P$4,0)))),0)</f>
        <v>95</v>
      </c>
      <c r="I15" s="20">
        <v>81</v>
      </c>
      <c r="J15" s="22">
        <f>IFERROR(MIN(IF(VLOOKUP(F15,'05_Master KPI'!$B$5:$G$100,5,FALSE)="Lower",H15/I15,I15/H15),1),0)</f>
        <v>0.85263157894736841</v>
      </c>
      <c r="K15" s="9">
        <f>IFERROR(VLOOKUP(F15,'05_Master KPI'!$B$5:$G$100,4,FALSE),0)</f>
        <v>20</v>
      </c>
      <c r="L15" s="23">
        <f t="shared" si="0"/>
        <v>17.05263157894737</v>
      </c>
      <c r="M15" s="9" t="str">
        <f>IF(D15="","",IF(J15&gt;='13_Setting'!$H$7,"Tercapai",IF(J15&gt;='13_Setting'!$H$6,"On Track","Tertinggal")))</f>
        <v>On Track</v>
      </c>
      <c r="N15" s="20" t="s">
        <v>211</v>
      </c>
      <c r="O15" s="1"/>
      <c r="P15" s="1"/>
      <c r="Q15" s="1"/>
      <c r="R15" s="1"/>
      <c r="S15" s="1"/>
      <c r="T15" s="1"/>
      <c r="U15" s="1"/>
      <c r="V15" s="1"/>
      <c r="W15" s="1"/>
      <c r="X15" s="1"/>
      <c r="Y15" s="1"/>
      <c r="Z15" s="1"/>
    </row>
    <row r="16" spans="1:26">
      <c r="A16" s="20" t="s">
        <v>194</v>
      </c>
      <c r="B16" s="20">
        <v>2026</v>
      </c>
      <c r="C16" s="21">
        <v>46112</v>
      </c>
      <c r="D16" s="20" t="s">
        <v>100</v>
      </c>
      <c r="E16" s="9" t="str">
        <f>IFERROR(VLOOKUP(D16,'04_Master Karyawan'!$A$5:$F$50,2,FALSE),"")</f>
        <v>Supervisor Produksi (Ganti Nama)</v>
      </c>
      <c r="F16" s="20" t="s">
        <v>127</v>
      </c>
      <c r="G16" s="9" t="str">
        <f>IFERROR(VLOOKUP(F16,'05_Master KPI'!$B$5:$G$100,2,FALSE)&amp;" ("&amp;VLOOKUP(F16,'05_Master KPI'!$B$5:$G$100,3,FALSE)&amp;")","")</f>
        <v>SOP &amp; 5S (%)</v>
      </c>
      <c r="H16" s="9">
        <f>IFERROR(IF(B16&lt;&gt;'06_Target KPI'!$B$3,0,IF(VLOOKUP(F16,'05_Master KPI'!$B$5:$G$100,6,FALSE)="Kumulatif",INDEX('06_Target KPI'!$E$5:$P$100,MATCH(F16,'06_Target KPI'!$B$5:$B$100,0),MATCH(A16,'06_Target KPI'!$E$4:$P$4,0))*DAY(C16)/DAY(EOMONTH(C16,0)),INDEX('06_Target KPI'!$E$5:$P$100,MATCH(F16,'06_Target KPI'!$B$5:$B$100,0),MATCH(A16,'06_Target KPI'!$E$4:$P$4,0)))),0)</f>
        <v>100</v>
      </c>
      <c r="I16" s="20">
        <v>85.2</v>
      </c>
      <c r="J16" s="22">
        <f>IFERROR(MIN(IF(VLOOKUP(F16,'05_Master KPI'!$B$5:$G$100,5,FALSE)="Lower",H16/I16,I16/H16),1),0)</f>
        <v>0.85199999999999998</v>
      </c>
      <c r="K16" s="9">
        <f>IFERROR(VLOOKUP(F16,'05_Master KPI'!$B$5:$G$100,4,FALSE),0)</f>
        <v>15</v>
      </c>
      <c r="L16" s="23">
        <f t="shared" si="0"/>
        <v>12.78</v>
      </c>
      <c r="M16" s="9" t="str">
        <f>IF(D16="","",IF(J16&gt;='13_Setting'!$H$7,"Tercapai",IF(J16&gt;='13_Setting'!$H$6,"On Track","Tertinggal")))</f>
        <v>On Track</v>
      </c>
      <c r="N16" s="20" t="s">
        <v>211</v>
      </c>
      <c r="O16" s="1"/>
      <c r="P16" s="1"/>
      <c r="Q16" s="1"/>
      <c r="R16" s="1"/>
      <c r="S16" s="1"/>
      <c r="T16" s="1"/>
      <c r="U16" s="1"/>
      <c r="V16" s="1"/>
      <c r="W16" s="1"/>
      <c r="X16" s="1"/>
      <c r="Y16" s="1"/>
      <c r="Z16" s="1"/>
    </row>
    <row r="17" spans="1:26">
      <c r="A17" s="20" t="s">
        <v>195</v>
      </c>
      <c r="B17" s="20">
        <v>2026</v>
      </c>
      <c r="C17" s="21">
        <v>46142</v>
      </c>
      <c r="D17" s="20" t="s">
        <v>100</v>
      </c>
      <c r="E17" s="9" t="str">
        <f>IFERROR(VLOOKUP(D17,'04_Master Karyawan'!$A$5:$F$50,2,FALSE),"")</f>
        <v>Supervisor Produksi (Ganti Nama)</v>
      </c>
      <c r="F17" s="20" t="s">
        <v>116</v>
      </c>
      <c r="G17" s="9" t="str">
        <f>IFERROR(VLOOKUP(F17,'05_Master KPI'!$B$5:$G$100,2,FALSE)&amp;" ("&amp;VLOOKUP(F17,'05_Master KPI'!$B$5:$G$100,3,FALSE)&amp;")","")</f>
        <v>QC Pass Rate (%)</v>
      </c>
      <c r="H17" s="9">
        <f>IFERROR(IF(B17&lt;&gt;'06_Target KPI'!$B$3,0,IF(VLOOKUP(F17,'05_Master KPI'!$B$5:$G$100,6,FALSE)="Kumulatif",INDEX('06_Target KPI'!$E$5:$P$100,MATCH(F17,'06_Target KPI'!$B$5:$B$100,0),MATCH(A17,'06_Target KPI'!$E$4:$P$4,0))*DAY(C17)/DAY(EOMONTH(C17,0)),INDEX('06_Target KPI'!$E$5:$P$100,MATCH(F17,'06_Target KPI'!$B$5:$B$100,0),MATCH(A17,'06_Target KPI'!$E$4:$P$4,0)))),0)</f>
        <v>98</v>
      </c>
      <c r="I17" s="20">
        <v>86.5</v>
      </c>
      <c r="J17" s="22">
        <f>IFERROR(MIN(IF(VLOOKUP(F17,'05_Master KPI'!$B$5:$G$100,5,FALSE)="Lower",H17/I17,I17/H17),1),0)</f>
        <v>0.88265306122448983</v>
      </c>
      <c r="K17" s="9">
        <f>IFERROR(VLOOKUP(F17,'05_Master KPI'!$B$5:$G$100,4,FALSE),0)</f>
        <v>40</v>
      </c>
      <c r="L17" s="23">
        <f t="shared" si="0"/>
        <v>35.306122448979593</v>
      </c>
      <c r="M17" s="9" t="str">
        <f>IF(D17="","",IF(J17&gt;='13_Setting'!$H$7,"Tercapai",IF(J17&gt;='13_Setting'!$H$6,"On Track","Tertinggal")))</f>
        <v>On Track</v>
      </c>
      <c r="N17" s="20" t="s">
        <v>211</v>
      </c>
      <c r="O17" s="1"/>
      <c r="P17" s="1"/>
      <c r="Q17" s="1"/>
      <c r="R17" s="1"/>
      <c r="S17" s="1"/>
      <c r="T17" s="1"/>
      <c r="U17" s="1"/>
      <c r="V17" s="1"/>
      <c r="W17" s="1"/>
      <c r="X17" s="1"/>
      <c r="Y17" s="1"/>
      <c r="Z17" s="1"/>
    </row>
    <row r="18" spans="1:26">
      <c r="A18" s="20" t="s">
        <v>195</v>
      </c>
      <c r="B18" s="20">
        <v>2026</v>
      </c>
      <c r="C18" s="21">
        <v>46142</v>
      </c>
      <c r="D18" s="20" t="s">
        <v>100</v>
      </c>
      <c r="E18" s="9" t="str">
        <f>IFERROR(VLOOKUP(D18,'04_Master Karyawan'!$A$5:$F$50,2,FALSE),"")</f>
        <v>Supervisor Produksi (Ganti Nama)</v>
      </c>
      <c r="F18" s="20" t="s">
        <v>121</v>
      </c>
      <c r="G18" s="9" t="str">
        <f>IFERROR(VLOOKUP(F18,'05_Master KPI'!$B$5:$G$100,2,FALSE)&amp;" ("&amp;VLOOKUP(F18,'05_Master KPI'!$B$5:$G$100,3,FALSE)&amp;")","")</f>
        <v>Output Produksi (pcs)</v>
      </c>
      <c r="H18" s="9">
        <f>IFERROR(IF(B18&lt;&gt;'06_Target KPI'!$B$3,0,IF(VLOOKUP(F18,'05_Master KPI'!$B$5:$G$100,6,FALSE)="Kumulatif",INDEX('06_Target KPI'!$E$5:$P$100,MATCH(F18,'06_Target KPI'!$B$5:$B$100,0),MATCH(A18,'06_Target KPI'!$E$4:$P$4,0))*DAY(C18)/DAY(EOMONTH(C18,0)),INDEX('06_Target KPI'!$E$5:$P$100,MATCH(F18,'06_Target KPI'!$B$5:$B$100,0),MATCH(A18,'06_Target KPI'!$E$4:$P$4,0)))),0)</f>
        <v>100</v>
      </c>
      <c r="I18" s="20">
        <v>88</v>
      </c>
      <c r="J18" s="22">
        <f>IFERROR(MIN(IF(VLOOKUP(F18,'05_Master KPI'!$B$5:$G$100,5,FALSE)="Lower",H18/I18,I18/H18),1),0)</f>
        <v>0.88</v>
      </c>
      <c r="K18" s="9">
        <f>IFERROR(VLOOKUP(F18,'05_Master KPI'!$B$5:$G$100,4,FALSE),0)</f>
        <v>25</v>
      </c>
      <c r="L18" s="23">
        <f t="shared" si="0"/>
        <v>22</v>
      </c>
      <c r="M18" s="9" t="str">
        <f>IF(D18="","",IF(J18&gt;='13_Setting'!$H$7,"Tercapai",IF(J18&gt;='13_Setting'!$H$6,"On Track","Tertinggal")))</f>
        <v>On Track</v>
      </c>
      <c r="N18" s="20" t="s">
        <v>211</v>
      </c>
      <c r="O18" s="1"/>
      <c r="P18" s="1"/>
      <c r="Q18" s="1"/>
      <c r="R18" s="1"/>
      <c r="S18" s="1"/>
      <c r="T18" s="1"/>
      <c r="U18" s="1"/>
      <c r="V18" s="1"/>
      <c r="W18" s="1"/>
      <c r="X18" s="1"/>
      <c r="Y18" s="1"/>
      <c r="Z18" s="1"/>
    </row>
    <row r="19" spans="1:26">
      <c r="A19" s="20" t="s">
        <v>195</v>
      </c>
      <c r="B19" s="20">
        <v>2026</v>
      </c>
      <c r="C19" s="21">
        <v>46142</v>
      </c>
      <c r="D19" s="20" t="s">
        <v>100</v>
      </c>
      <c r="E19" s="9" t="str">
        <f>IFERROR(VLOOKUP(D19,'04_Master Karyawan'!$A$5:$F$50,2,FALSE),"")</f>
        <v>Supervisor Produksi (Ganti Nama)</v>
      </c>
      <c r="F19" s="20" t="s">
        <v>125</v>
      </c>
      <c r="G19" s="9" t="str">
        <f>IFERROR(VLOOKUP(F19,'05_Master KPI'!$B$5:$G$100,2,FALSE)&amp;" ("&amp;VLOOKUP(F19,'05_Master KPI'!$B$5:$G$100,3,FALSE)&amp;")","")</f>
        <v>On-Time Delivery (%)</v>
      </c>
      <c r="H19" s="9">
        <f>IFERROR(IF(B19&lt;&gt;'06_Target KPI'!$B$3,0,IF(VLOOKUP(F19,'05_Master KPI'!$B$5:$G$100,6,FALSE)="Kumulatif",INDEX('06_Target KPI'!$E$5:$P$100,MATCH(F19,'06_Target KPI'!$B$5:$B$100,0),MATCH(A19,'06_Target KPI'!$E$4:$P$4,0))*DAY(C19)/DAY(EOMONTH(C19,0)),INDEX('06_Target KPI'!$E$5:$P$100,MATCH(F19,'06_Target KPI'!$B$5:$B$100,0),MATCH(A19,'06_Target KPI'!$E$4:$P$4,0)))),0)</f>
        <v>95</v>
      </c>
      <c r="I19" s="20">
        <v>83.8</v>
      </c>
      <c r="J19" s="22">
        <f>IFERROR(MIN(IF(VLOOKUP(F19,'05_Master KPI'!$B$5:$G$100,5,FALSE)="Lower",H19/I19,I19/H19),1),0)</f>
        <v>0.88210526315789473</v>
      </c>
      <c r="K19" s="9">
        <f>IFERROR(VLOOKUP(F19,'05_Master KPI'!$B$5:$G$100,4,FALSE),0)</f>
        <v>20</v>
      </c>
      <c r="L19" s="23">
        <f t="shared" si="0"/>
        <v>17.642105263157895</v>
      </c>
      <c r="M19" s="9" t="str">
        <f>IF(D19="","",IF(J19&gt;='13_Setting'!$H$7,"Tercapai",IF(J19&gt;='13_Setting'!$H$6,"On Track","Tertinggal")))</f>
        <v>On Track</v>
      </c>
      <c r="N19" s="20" t="s">
        <v>211</v>
      </c>
      <c r="O19" s="1"/>
      <c r="P19" s="1"/>
      <c r="Q19" s="1"/>
      <c r="R19" s="1"/>
      <c r="S19" s="1"/>
      <c r="T19" s="1"/>
      <c r="U19" s="1"/>
      <c r="V19" s="1"/>
      <c r="W19" s="1"/>
      <c r="X19" s="1"/>
      <c r="Y19" s="1"/>
      <c r="Z19" s="1"/>
    </row>
    <row r="20" spans="1:26">
      <c r="A20" s="20" t="s">
        <v>195</v>
      </c>
      <c r="B20" s="20">
        <v>2026</v>
      </c>
      <c r="C20" s="21">
        <v>46142</v>
      </c>
      <c r="D20" s="20" t="s">
        <v>100</v>
      </c>
      <c r="E20" s="9" t="str">
        <f>IFERROR(VLOOKUP(D20,'04_Master Karyawan'!$A$5:$F$50,2,FALSE),"")</f>
        <v>Supervisor Produksi (Ganti Nama)</v>
      </c>
      <c r="F20" s="20" t="s">
        <v>127</v>
      </c>
      <c r="G20" s="9" t="str">
        <f>IFERROR(VLOOKUP(F20,'05_Master KPI'!$B$5:$G$100,2,FALSE)&amp;" ("&amp;VLOOKUP(F20,'05_Master KPI'!$B$5:$G$100,3,FALSE)&amp;")","")</f>
        <v>SOP &amp; 5S (%)</v>
      </c>
      <c r="H20" s="9">
        <f>IFERROR(IF(B20&lt;&gt;'06_Target KPI'!$B$3,0,IF(VLOOKUP(F20,'05_Master KPI'!$B$5:$G$100,6,FALSE)="Kumulatif",INDEX('06_Target KPI'!$E$5:$P$100,MATCH(F20,'06_Target KPI'!$B$5:$B$100,0),MATCH(A20,'06_Target KPI'!$E$4:$P$4,0))*DAY(C20)/DAY(EOMONTH(C20,0)),INDEX('06_Target KPI'!$E$5:$P$100,MATCH(F20,'06_Target KPI'!$B$5:$B$100,0),MATCH(A20,'06_Target KPI'!$E$4:$P$4,0)))),0)</f>
        <v>100</v>
      </c>
      <c r="I20" s="20">
        <v>88.3</v>
      </c>
      <c r="J20" s="22">
        <f>IFERROR(MIN(IF(VLOOKUP(F20,'05_Master KPI'!$B$5:$G$100,5,FALSE)="Lower",H20/I20,I20/H20),1),0)</f>
        <v>0.88300000000000001</v>
      </c>
      <c r="K20" s="9">
        <f>IFERROR(VLOOKUP(F20,'05_Master KPI'!$B$5:$G$100,4,FALSE),0)</f>
        <v>15</v>
      </c>
      <c r="L20" s="23">
        <f t="shared" si="0"/>
        <v>13.245000000000001</v>
      </c>
      <c r="M20" s="9" t="str">
        <f>IF(D20="","",IF(J20&gt;='13_Setting'!$H$7,"Tercapai",IF(J20&gt;='13_Setting'!$H$6,"On Track","Tertinggal")))</f>
        <v>On Track</v>
      </c>
      <c r="N20" s="20" t="s">
        <v>211</v>
      </c>
      <c r="O20" s="1"/>
      <c r="P20" s="1"/>
      <c r="Q20" s="1"/>
      <c r="R20" s="1"/>
      <c r="S20" s="1"/>
      <c r="T20" s="1"/>
      <c r="U20" s="1"/>
      <c r="V20" s="1"/>
      <c r="W20" s="1"/>
      <c r="X20" s="1"/>
      <c r="Y20" s="1"/>
      <c r="Z20" s="1"/>
    </row>
    <row r="21" spans="1:26">
      <c r="A21" s="20" t="s">
        <v>40</v>
      </c>
      <c r="B21" s="20">
        <v>2026</v>
      </c>
      <c r="C21" s="21">
        <v>46173</v>
      </c>
      <c r="D21" s="20" t="s">
        <v>100</v>
      </c>
      <c r="E21" s="9" t="str">
        <f>IFERROR(VLOOKUP(D21,'04_Master Karyawan'!$A$5:$F$50,2,FALSE),"")</f>
        <v>Supervisor Produksi (Ganti Nama)</v>
      </c>
      <c r="F21" s="20" t="s">
        <v>116</v>
      </c>
      <c r="G21" s="9" t="str">
        <f>IFERROR(VLOOKUP(F21,'05_Master KPI'!$B$5:$G$100,2,FALSE)&amp;" ("&amp;VLOOKUP(F21,'05_Master KPI'!$B$5:$G$100,3,FALSE)&amp;")","")</f>
        <v>QC Pass Rate (%)</v>
      </c>
      <c r="H21" s="9">
        <f>IFERROR(IF(B21&lt;&gt;'06_Target KPI'!$B$3,0,IF(VLOOKUP(F21,'05_Master KPI'!$B$5:$G$100,6,FALSE)="Kumulatif",INDEX('06_Target KPI'!$E$5:$P$100,MATCH(F21,'06_Target KPI'!$B$5:$B$100,0),MATCH(A21,'06_Target KPI'!$E$4:$P$4,0))*DAY(C21)/DAY(EOMONTH(C21,0)),INDEX('06_Target KPI'!$E$5:$P$100,MATCH(F21,'06_Target KPI'!$B$5:$B$100,0),MATCH(A21,'06_Target KPI'!$E$4:$P$4,0)))),0)</f>
        <v>98</v>
      </c>
      <c r="I21" s="20">
        <v>85.5</v>
      </c>
      <c r="J21" s="22">
        <f>IFERROR(MIN(IF(VLOOKUP(F21,'05_Master KPI'!$B$5:$G$100,5,FALSE)="Lower",H21/I21,I21/H21),1),0)</f>
        <v>0.87244897959183676</v>
      </c>
      <c r="K21" s="9">
        <f>IFERROR(VLOOKUP(F21,'05_Master KPI'!$B$5:$G$100,4,FALSE),0)</f>
        <v>40</v>
      </c>
      <c r="L21" s="23">
        <f t="shared" si="0"/>
        <v>34.897959183673471</v>
      </c>
      <c r="M21" s="9" t="str">
        <f>IF(D21="","",IF(J21&gt;='13_Setting'!$H$7,"Tercapai",IF(J21&gt;='13_Setting'!$H$6,"On Track","Tertinggal")))</f>
        <v>On Track</v>
      </c>
      <c r="N21" s="20" t="s">
        <v>211</v>
      </c>
      <c r="O21" s="1"/>
      <c r="P21" s="1"/>
      <c r="Q21" s="1"/>
      <c r="R21" s="1"/>
      <c r="S21" s="1"/>
      <c r="T21" s="1"/>
      <c r="U21" s="1"/>
      <c r="V21" s="1"/>
      <c r="W21" s="1"/>
      <c r="X21" s="1"/>
      <c r="Y21" s="1"/>
      <c r="Z21" s="1"/>
    </row>
    <row r="22" spans="1:26">
      <c r="A22" s="20" t="s">
        <v>40</v>
      </c>
      <c r="B22" s="20">
        <v>2026</v>
      </c>
      <c r="C22" s="21">
        <v>46173</v>
      </c>
      <c r="D22" s="20" t="s">
        <v>100</v>
      </c>
      <c r="E22" s="9" t="str">
        <f>IFERROR(VLOOKUP(D22,'04_Master Karyawan'!$A$5:$F$50,2,FALSE),"")</f>
        <v>Supervisor Produksi (Ganti Nama)</v>
      </c>
      <c r="F22" s="20" t="s">
        <v>121</v>
      </c>
      <c r="G22" s="9" t="str">
        <f>IFERROR(VLOOKUP(F22,'05_Master KPI'!$B$5:$G$100,2,FALSE)&amp;" ("&amp;VLOOKUP(F22,'05_Master KPI'!$B$5:$G$100,3,FALSE)&amp;")","")</f>
        <v>Output Produksi (pcs)</v>
      </c>
      <c r="H22" s="9">
        <f>IFERROR(IF(B22&lt;&gt;'06_Target KPI'!$B$3,0,IF(VLOOKUP(F22,'05_Master KPI'!$B$5:$G$100,6,FALSE)="Kumulatif",INDEX('06_Target KPI'!$E$5:$P$100,MATCH(F22,'06_Target KPI'!$B$5:$B$100,0),MATCH(A22,'06_Target KPI'!$E$4:$P$4,0))*DAY(C22)/DAY(EOMONTH(C22,0)),INDEX('06_Target KPI'!$E$5:$P$100,MATCH(F22,'06_Target KPI'!$B$5:$B$100,0),MATCH(A22,'06_Target KPI'!$E$4:$P$4,0)))),0)</f>
        <v>100</v>
      </c>
      <c r="I22" s="20">
        <v>87</v>
      </c>
      <c r="J22" s="22">
        <f>IFERROR(MIN(IF(VLOOKUP(F22,'05_Master KPI'!$B$5:$G$100,5,FALSE)="Lower",H22/I22,I22/H22),1),0)</f>
        <v>0.87</v>
      </c>
      <c r="K22" s="9">
        <f>IFERROR(VLOOKUP(F22,'05_Master KPI'!$B$5:$G$100,4,FALSE),0)</f>
        <v>25</v>
      </c>
      <c r="L22" s="23">
        <f t="shared" si="0"/>
        <v>21.75</v>
      </c>
      <c r="M22" s="9" t="str">
        <f>IF(D22="","",IF(J22&gt;='13_Setting'!$H$7,"Tercapai",IF(J22&gt;='13_Setting'!$H$6,"On Track","Tertinggal")))</f>
        <v>On Track</v>
      </c>
      <c r="N22" s="20" t="s">
        <v>211</v>
      </c>
      <c r="O22" s="1"/>
      <c r="P22" s="1"/>
      <c r="Q22" s="1"/>
      <c r="R22" s="1"/>
      <c r="S22" s="1"/>
      <c r="T22" s="1"/>
      <c r="U22" s="1"/>
      <c r="V22" s="1"/>
      <c r="W22" s="1"/>
      <c r="X22" s="1"/>
      <c r="Y22" s="1"/>
      <c r="Z22" s="1"/>
    </row>
    <row r="23" spans="1:26">
      <c r="A23" s="20" t="s">
        <v>40</v>
      </c>
      <c r="B23" s="20">
        <v>2026</v>
      </c>
      <c r="C23" s="21">
        <v>46173</v>
      </c>
      <c r="D23" s="20" t="s">
        <v>100</v>
      </c>
      <c r="E23" s="9" t="str">
        <f>IFERROR(VLOOKUP(D23,'04_Master Karyawan'!$A$5:$F$50,2,FALSE),"")</f>
        <v>Supervisor Produksi (Ganti Nama)</v>
      </c>
      <c r="F23" s="20" t="s">
        <v>125</v>
      </c>
      <c r="G23" s="9" t="str">
        <f>IFERROR(VLOOKUP(F23,'05_Master KPI'!$B$5:$G$100,2,FALSE)&amp;" ("&amp;VLOOKUP(F23,'05_Master KPI'!$B$5:$G$100,3,FALSE)&amp;")","")</f>
        <v>On-Time Delivery (%)</v>
      </c>
      <c r="H23" s="9">
        <f>IFERROR(IF(B23&lt;&gt;'06_Target KPI'!$B$3,0,IF(VLOOKUP(F23,'05_Master KPI'!$B$5:$G$100,6,FALSE)="Kumulatif",INDEX('06_Target KPI'!$E$5:$P$100,MATCH(F23,'06_Target KPI'!$B$5:$B$100,0),MATCH(A23,'06_Target KPI'!$E$4:$P$4,0))*DAY(C23)/DAY(EOMONTH(C23,0)),INDEX('06_Target KPI'!$E$5:$P$100,MATCH(F23,'06_Target KPI'!$B$5:$B$100,0),MATCH(A23,'06_Target KPI'!$E$4:$P$4,0)))),0)</f>
        <v>95</v>
      </c>
      <c r="I23" s="20">
        <v>82.9</v>
      </c>
      <c r="J23" s="22">
        <f>IFERROR(MIN(IF(VLOOKUP(F23,'05_Master KPI'!$B$5:$G$100,5,FALSE)="Lower",H23/I23,I23/H23),1),0)</f>
        <v>0.87263157894736854</v>
      </c>
      <c r="K23" s="9">
        <f>IFERROR(VLOOKUP(F23,'05_Master KPI'!$B$5:$G$100,4,FALSE),0)</f>
        <v>20</v>
      </c>
      <c r="L23" s="23">
        <f t="shared" si="0"/>
        <v>17.452631578947372</v>
      </c>
      <c r="M23" s="9" t="str">
        <f>IF(D23="","",IF(J23&gt;='13_Setting'!$H$7,"Tercapai",IF(J23&gt;='13_Setting'!$H$6,"On Track","Tertinggal")))</f>
        <v>On Track</v>
      </c>
      <c r="N23" s="20" t="s">
        <v>211</v>
      </c>
      <c r="O23" s="1"/>
      <c r="P23" s="1"/>
      <c r="Q23" s="1"/>
      <c r="R23" s="1"/>
      <c r="S23" s="1"/>
      <c r="T23" s="1"/>
      <c r="U23" s="1"/>
      <c r="V23" s="1"/>
      <c r="W23" s="1"/>
      <c r="X23" s="1"/>
      <c r="Y23" s="1"/>
      <c r="Z23" s="1"/>
    </row>
    <row r="24" spans="1:26">
      <c r="A24" s="20" t="s">
        <v>40</v>
      </c>
      <c r="B24" s="20">
        <v>2026</v>
      </c>
      <c r="C24" s="21">
        <v>46173</v>
      </c>
      <c r="D24" s="20" t="s">
        <v>100</v>
      </c>
      <c r="E24" s="9" t="str">
        <f>IFERROR(VLOOKUP(D24,'04_Master Karyawan'!$A$5:$F$50,2,FALSE),"")</f>
        <v>Supervisor Produksi (Ganti Nama)</v>
      </c>
      <c r="F24" s="20" t="s">
        <v>127</v>
      </c>
      <c r="G24" s="9" t="str">
        <f>IFERROR(VLOOKUP(F24,'05_Master KPI'!$B$5:$G$100,2,FALSE)&amp;" ("&amp;VLOOKUP(F24,'05_Master KPI'!$B$5:$G$100,3,FALSE)&amp;")","")</f>
        <v>SOP &amp; 5S (%)</v>
      </c>
      <c r="H24" s="9">
        <f>IFERROR(IF(B24&lt;&gt;'06_Target KPI'!$B$3,0,IF(VLOOKUP(F24,'05_Master KPI'!$B$5:$G$100,6,FALSE)="Kumulatif",INDEX('06_Target KPI'!$E$5:$P$100,MATCH(F24,'06_Target KPI'!$B$5:$B$100,0),MATCH(A24,'06_Target KPI'!$E$4:$P$4,0))*DAY(C24)/DAY(EOMONTH(C24,0)),INDEX('06_Target KPI'!$E$5:$P$100,MATCH(F24,'06_Target KPI'!$B$5:$B$100,0),MATCH(A24,'06_Target KPI'!$E$4:$P$4,0)))),0)</f>
        <v>100</v>
      </c>
      <c r="I24" s="20">
        <v>87.3</v>
      </c>
      <c r="J24" s="22">
        <f>IFERROR(MIN(IF(VLOOKUP(F24,'05_Master KPI'!$B$5:$G$100,5,FALSE)="Lower",H24/I24,I24/H24),1),0)</f>
        <v>0.873</v>
      </c>
      <c r="K24" s="9">
        <f>IFERROR(VLOOKUP(F24,'05_Master KPI'!$B$5:$G$100,4,FALSE),0)</f>
        <v>15</v>
      </c>
      <c r="L24" s="23">
        <f t="shared" si="0"/>
        <v>13.095000000000001</v>
      </c>
      <c r="M24" s="9" t="str">
        <f>IF(D24="","",IF(J24&gt;='13_Setting'!$H$7,"Tercapai",IF(J24&gt;='13_Setting'!$H$6,"On Track","Tertinggal")))</f>
        <v>On Track</v>
      </c>
      <c r="N24" s="20" t="s">
        <v>211</v>
      </c>
      <c r="O24" s="1"/>
      <c r="P24" s="1"/>
      <c r="Q24" s="1"/>
      <c r="R24" s="1"/>
      <c r="S24" s="1"/>
      <c r="T24" s="1"/>
      <c r="U24" s="1"/>
      <c r="V24" s="1"/>
      <c r="W24" s="1"/>
      <c r="X24" s="1"/>
      <c r="Y24" s="1"/>
      <c r="Z24" s="1"/>
    </row>
    <row r="25" spans="1:26">
      <c r="A25" s="20" t="s">
        <v>196</v>
      </c>
      <c r="B25" s="20">
        <v>2026</v>
      </c>
      <c r="C25" s="21">
        <v>46203</v>
      </c>
      <c r="D25" s="20" t="s">
        <v>100</v>
      </c>
      <c r="E25" s="9" t="str">
        <f>IFERROR(VLOOKUP(D25,'04_Master Karyawan'!$A$5:$F$50,2,FALSE),"")</f>
        <v>Supervisor Produksi (Ganti Nama)</v>
      </c>
      <c r="F25" s="20" t="s">
        <v>116</v>
      </c>
      <c r="G25" s="9" t="str">
        <f>IFERROR(VLOOKUP(F25,'05_Master KPI'!$B$5:$G$100,2,FALSE)&amp;" ("&amp;VLOOKUP(F25,'05_Master KPI'!$B$5:$G$100,3,FALSE)&amp;")","")</f>
        <v>QC Pass Rate (%)</v>
      </c>
      <c r="H25" s="9">
        <f>IFERROR(IF(B25&lt;&gt;'06_Target KPI'!$B$3,0,IF(VLOOKUP(F25,'05_Master KPI'!$B$5:$G$100,6,FALSE)="Kumulatif",INDEX('06_Target KPI'!$E$5:$P$100,MATCH(F25,'06_Target KPI'!$B$5:$B$100,0),MATCH(A25,'06_Target KPI'!$E$4:$P$4,0))*DAY(C25)/DAY(EOMONTH(C25,0)),INDEX('06_Target KPI'!$E$5:$P$100,MATCH(F25,'06_Target KPI'!$B$5:$B$100,0),MATCH(A25,'06_Target KPI'!$E$4:$P$4,0)))),0)</f>
        <v>98</v>
      </c>
      <c r="I25" s="20">
        <v>88.4</v>
      </c>
      <c r="J25" s="22">
        <f>IFERROR(MIN(IF(VLOOKUP(F25,'05_Master KPI'!$B$5:$G$100,5,FALSE)="Lower",H25/I25,I25/H25),1),0)</f>
        <v>0.90204081632653066</v>
      </c>
      <c r="K25" s="9">
        <f>IFERROR(VLOOKUP(F25,'05_Master KPI'!$B$5:$G$100,4,FALSE),0)</f>
        <v>40</v>
      </c>
      <c r="L25" s="23">
        <f t="shared" si="0"/>
        <v>36.081632653061227</v>
      </c>
      <c r="M25" s="9" t="str">
        <f>IF(D25="","",IF(J25&gt;='13_Setting'!$H$7,"Tercapai",IF(J25&gt;='13_Setting'!$H$6,"On Track","Tertinggal")))</f>
        <v>On Track</v>
      </c>
      <c r="N25" s="20" t="s">
        <v>211</v>
      </c>
      <c r="O25" s="1"/>
      <c r="P25" s="1"/>
      <c r="Q25" s="1"/>
      <c r="R25" s="1"/>
      <c r="S25" s="1"/>
      <c r="T25" s="1"/>
      <c r="U25" s="1"/>
      <c r="V25" s="1"/>
      <c r="W25" s="1"/>
      <c r="X25" s="1"/>
      <c r="Y25" s="1"/>
      <c r="Z25" s="1"/>
    </row>
    <row r="26" spans="1:26">
      <c r="A26" s="20" t="s">
        <v>196</v>
      </c>
      <c r="B26" s="20">
        <v>2026</v>
      </c>
      <c r="C26" s="21">
        <v>46203</v>
      </c>
      <c r="D26" s="20" t="s">
        <v>100</v>
      </c>
      <c r="E26" s="9" t="str">
        <f>IFERROR(VLOOKUP(D26,'04_Master Karyawan'!$A$5:$F$50,2,FALSE),"")</f>
        <v>Supervisor Produksi (Ganti Nama)</v>
      </c>
      <c r="F26" s="20" t="s">
        <v>121</v>
      </c>
      <c r="G26" s="9" t="str">
        <f>IFERROR(VLOOKUP(F26,'05_Master KPI'!$B$5:$G$100,2,FALSE)&amp;" ("&amp;VLOOKUP(F26,'05_Master KPI'!$B$5:$G$100,3,FALSE)&amp;")","")</f>
        <v>Output Produksi (pcs)</v>
      </c>
      <c r="H26" s="9">
        <f>IFERROR(IF(B26&lt;&gt;'06_Target KPI'!$B$3,0,IF(VLOOKUP(F26,'05_Master KPI'!$B$5:$G$100,6,FALSE)="Kumulatif",INDEX('06_Target KPI'!$E$5:$P$100,MATCH(F26,'06_Target KPI'!$B$5:$B$100,0),MATCH(A26,'06_Target KPI'!$E$4:$P$4,0))*DAY(C26)/DAY(EOMONTH(C26,0)),INDEX('06_Target KPI'!$E$5:$P$100,MATCH(F26,'06_Target KPI'!$B$5:$B$100,0),MATCH(A26,'06_Target KPI'!$E$4:$P$4,0)))),0)</f>
        <v>100</v>
      </c>
      <c r="I26" s="20">
        <v>90</v>
      </c>
      <c r="J26" s="22">
        <f>IFERROR(MIN(IF(VLOOKUP(F26,'05_Master KPI'!$B$5:$G$100,5,FALSE)="Lower",H26/I26,I26/H26),1),0)</f>
        <v>0.9</v>
      </c>
      <c r="K26" s="9">
        <f>IFERROR(VLOOKUP(F26,'05_Master KPI'!$B$5:$G$100,4,FALSE),0)</f>
        <v>25</v>
      </c>
      <c r="L26" s="23">
        <f t="shared" si="0"/>
        <v>22.5</v>
      </c>
      <c r="M26" s="9" t="str">
        <f>IF(D26="","",IF(J26&gt;='13_Setting'!$H$7,"Tercapai",IF(J26&gt;='13_Setting'!$H$6,"On Track","Tertinggal")))</f>
        <v>On Track</v>
      </c>
      <c r="N26" s="20" t="s">
        <v>211</v>
      </c>
      <c r="O26" s="1"/>
      <c r="P26" s="1"/>
      <c r="Q26" s="1"/>
      <c r="R26" s="1"/>
      <c r="S26" s="1"/>
      <c r="T26" s="1"/>
      <c r="U26" s="1"/>
      <c r="V26" s="1"/>
      <c r="W26" s="1"/>
      <c r="X26" s="1"/>
      <c r="Y26" s="1"/>
      <c r="Z26" s="1"/>
    </row>
    <row r="27" spans="1:26">
      <c r="A27" s="20" t="s">
        <v>196</v>
      </c>
      <c r="B27" s="20">
        <v>2026</v>
      </c>
      <c r="C27" s="21">
        <v>46203</v>
      </c>
      <c r="D27" s="20" t="s">
        <v>100</v>
      </c>
      <c r="E27" s="9" t="str">
        <f>IFERROR(VLOOKUP(D27,'04_Master Karyawan'!$A$5:$F$50,2,FALSE),"")</f>
        <v>Supervisor Produksi (Ganti Nama)</v>
      </c>
      <c r="F27" s="20" t="s">
        <v>125</v>
      </c>
      <c r="G27" s="9" t="str">
        <f>IFERROR(VLOOKUP(F27,'05_Master KPI'!$B$5:$G$100,2,FALSE)&amp;" ("&amp;VLOOKUP(F27,'05_Master KPI'!$B$5:$G$100,3,FALSE)&amp;")","")</f>
        <v>On-Time Delivery (%)</v>
      </c>
      <c r="H27" s="9">
        <f>IFERROR(IF(B27&lt;&gt;'06_Target KPI'!$B$3,0,IF(VLOOKUP(F27,'05_Master KPI'!$B$5:$G$100,6,FALSE)="Kumulatif",INDEX('06_Target KPI'!$E$5:$P$100,MATCH(F27,'06_Target KPI'!$B$5:$B$100,0),MATCH(A27,'06_Target KPI'!$E$4:$P$4,0))*DAY(C27)/DAY(EOMONTH(C27,0)),INDEX('06_Target KPI'!$E$5:$P$100,MATCH(F27,'06_Target KPI'!$B$5:$B$100,0),MATCH(A27,'06_Target KPI'!$E$4:$P$4,0)))),0)</f>
        <v>95</v>
      </c>
      <c r="I27" s="20">
        <v>85.7</v>
      </c>
      <c r="J27" s="22">
        <f>IFERROR(MIN(IF(VLOOKUP(F27,'05_Master KPI'!$B$5:$G$100,5,FALSE)="Lower",H27/I27,I27/H27),1),0)</f>
        <v>0.90210526315789474</v>
      </c>
      <c r="K27" s="9">
        <f>IFERROR(VLOOKUP(F27,'05_Master KPI'!$B$5:$G$100,4,FALSE),0)</f>
        <v>20</v>
      </c>
      <c r="L27" s="23">
        <f t="shared" si="0"/>
        <v>18.042105263157893</v>
      </c>
      <c r="M27" s="9" t="str">
        <f>IF(D27="","",IF(J27&gt;='13_Setting'!$H$7,"Tercapai",IF(J27&gt;='13_Setting'!$H$6,"On Track","Tertinggal")))</f>
        <v>On Track</v>
      </c>
      <c r="N27" s="20" t="s">
        <v>211</v>
      </c>
      <c r="O27" s="1"/>
      <c r="P27" s="1"/>
      <c r="Q27" s="1"/>
      <c r="R27" s="1"/>
      <c r="S27" s="1"/>
      <c r="T27" s="1"/>
      <c r="U27" s="1"/>
      <c r="V27" s="1"/>
      <c r="W27" s="1"/>
      <c r="X27" s="1"/>
      <c r="Y27" s="1"/>
      <c r="Z27" s="1"/>
    </row>
    <row r="28" spans="1:26">
      <c r="A28" s="20" t="s">
        <v>196</v>
      </c>
      <c r="B28" s="20">
        <v>2026</v>
      </c>
      <c r="C28" s="21">
        <v>46203</v>
      </c>
      <c r="D28" s="20" t="s">
        <v>100</v>
      </c>
      <c r="E28" s="9" t="str">
        <f>IFERROR(VLOOKUP(D28,'04_Master Karyawan'!$A$5:$F$50,2,FALSE),"")</f>
        <v>Supervisor Produksi (Ganti Nama)</v>
      </c>
      <c r="F28" s="20" t="s">
        <v>127</v>
      </c>
      <c r="G28" s="9" t="str">
        <f>IFERROR(VLOOKUP(F28,'05_Master KPI'!$B$5:$G$100,2,FALSE)&amp;" ("&amp;VLOOKUP(F28,'05_Master KPI'!$B$5:$G$100,3,FALSE)&amp;")","")</f>
        <v>SOP &amp; 5S (%)</v>
      </c>
      <c r="H28" s="9">
        <f>IFERROR(IF(B28&lt;&gt;'06_Target KPI'!$B$3,0,IF(VLOOKUP(F28,'05_Master KPI'!$B$5:$G$100,6,FALSE)="Kumulatif",INDEX('06_Target KPI'!$E$5:$P$100,MATCH(F28,'06_Target KPI'!$B$5:$B$100,0),MATCH(A28,'06_Target KPI'!$E$4:$P$4,0))*DAY(C28)/DAY(EOMONTH(C28,0)),INDEX('06_Target KPI'!$E$5:$P$100,MATCH(F28,'06_Target KPI'!$B$5:$B$100,0),MATCH(A28,'06_Target KPI'!$E$4:$P$4,0)))),0)</f>
        <v>100</v>
      </c>
      <c r="I28" s="20">
        <v>90.3</v>
      </c>
      <c r="J28" s="22">
        <f>IFERROR(MIN(IF(VLOOKUP(F28,'05_Master KPI'!$B$5:$G$100,5,FALSE)="Lower",H28/I28,I28/H28),1),0)</f>
        <v>0.90300000000000002</v>
      </c>
      <c r="K28" s="9">
        <f>IFERROR(VLOOKUP(F28,'05_Master KPI'!$B$5:$G$100,4,FALSE),0)</f>
        <v>15</v>
      </c>
      <c r="L28" s="23">
        <f t="shared" si="0"/>
        <v>13.545</v>
      </c>
      <c r="M28" s="9" t="str">
        <f>IF(D28="","",IF(J28&gt;='13_Setting'!$H$7,"Tercapai",IF(J28&gt;='13_Setting'!$H$6,"On Track","Tertinggal")))</f>
        <v>On Track</v>
      </c>
      <c r="N28" s="20" t="s">
        <v>211</v>
      </c>
      <c r="O28" s="1"/>
      <c r="P28" s="1"/>
      <c r="Q28" s="1"/>
      <c r="R28" s="1"/>
      <c r="S28" s="1"/>
      <c r="T28" s="1"/>
      <c r="U28" s="1"/>
      <c r="V28" s="1"/>
      <c r="W28" s="1"/>
      <c r="X28" s="1"/>
      <c r="Y28" s="1"/>
      <c r="Z28" s="1"/>
    </row>
    <row r="29" spans="1:26">
      <c r="A29" s="20" t="s">
        <v>197</v>
      </c>
      <c r="B29" s="20">
        <v>2026</v>
      </c>
      <c r="C29" s="21">
        <v>46234</v>
      </c>
      <c r="D29" s="20" t="s">
        <v>100</v>
      </c>
      <c r="E29" s="9" t="str">
        <f>IFERROR(VLOOKUP(D29,'04_Master Karyawan'!$A$5:$F$50,2,FALSE),"")</f>
        <v>Supervisor Produksi (Ganti Nama)</v>
      </c>
      <c r="F29" s="20" t="s">
        <v>116</v>
      </c>
      <c r="G29" s="9" t="str">
        <f>IFERROR(VLOOKUP(F29,'05_Master KPI'!$B$5:$G$100,2,FALSE)&amp;" ("&amp;VLOOKUP(F29,'05_Master KPI'!$B$5:$G$100,3,FALSE)&amp;")","")</f>
        <v>QC Pass Rate (%)</v>
      </c>
      <c r="H29" s="9">
        <f>IFERROR(IF(B29&lt;&gt;'06_Target KPI'!$B$3,0,IF(VLOOKUP(F29,'05_Master KPI'!$B$5:$G$100,6,FALSE)="Kumulatif",INDEX('06_Target KPI'!$E$5:$P$100,MATCH(F29,'06_Target KPI'!$B$5:$B$100,0),MATCH(A29,'06_Target KPI'!$E$4:$P$4,0))*DAY(C29)/DAY(EOMONTH(C29,0)),INDEX('06_Target KPI'!$E$5:$P$100,MATCH(F29,'06_Target KPI'!$B$5:$B$100,0),MATCH(A29,'06_Target KPI'!$E$4:$P$4,0)))),0)</f>
        <v>98</v>
      </c>
      <c r="I29" s="20">
        <v>90.4</v>
      </c>
      <c r="J29" s="22">
        <f>IFERROR(MIN(IF(VLOOKUP(F29,'05_Master KPI'!$B$5:$G$100,5,FALSE)="Lower",H29/I29,I29/H29),1),0)</f>
        <v>0.9224489795918368</v>
      </c>
      <c r="K29" s="9">
        <f>IFERROR(VLOOKUP(F29,'05_Master KPI'!$B$5:$G$100,4,FALSE),0)</f>
        <v>40</v>
      </c>
      <c r="L29" s="23">
        <f t="shared" si="0"/>
        <v>36.897959183673471</v>
      </c>
      <c r="M29" s="9" t="str">
        <f>IF(D29="","",IF(J29&gt;='13_Setting'!$H$7,"Tercapai",IF(J29&gt;='13_Setting'!$H$6,"On Track","Tertinggal")))</f>
        <v>On Track</v>
      </c>
      <c r="N29" s="20" t="s">
        <v>211</v>
      </c>
      <c r="O29" s="1"/>
      <c r="P29" s="1"/>
      <c r="Q29" s="1"/>
      <c r="R29" s="1"/>
      <c r="S29" s="1"/>
      <c r="T29" s="1"/>
      <c r="U29" s="1"/>
      <c r="V29" s="1"/>
      <c r="W29" s="1"/>
      <c r="X29" s="1"/>
      <c r="Y29" s="1"/>
      <c r="Z29" s="1"/>
    </row>
    <row r="30" spans="1:26">
      <c r="A30" s="20" t="s">
        <v>197</v>
      </c>
      <c r="B30" s="20">
        <v>2026</v>
      </c>
      <c r="C30" s="21">
        <v>46234</v>
      </c>
      <c r="D30" s="20" t="s">
        <v>100</v>
      </c>
      <c r="E30" s="9" t="str">
        <f>IFERROR(VLOOKUP(D30,'04_Master Karyawan'!$A$5:$F$50,2,FALSE),"")</f>
        <v>Supervisor Produksi (Ganti Nama)</v>
      </c>
      <c r="F30" s="20" t="s">
        <v>121</v>
      </c>
      <c r="G30" s="9" t="str">
        <f>IFERROR(VLOOKUP(F30,'05_Master KPI'!$B$5:$G$100,2,FALSE)&amp;" ("&amp;VLOOKUP(F30,'05_Master KPI'!$B$5:$G$100,3,FALSE)&amp;")","")</f>
        <v>Output Produksi (pcs)</v>
      </c>
      <c r="H30" s="9">
        <f>IFERROR(IF(B30&lt;&gt;'06_Target KPI'!$B$3,0,IF(VLOOKUP(F30,'05_Master KPI'!$B$5:$G$100,6,FALSE)="Kumulatif",INDEX('06_Target KPI'!$E$5:$P$100,MATCH(F30,'06_Target KPI'!$B$5:$B$100,0),MATCH(A30,'06_Target KPI'!$E$4:$P$4,0))*DAY(C30)/DAY(EOMONTH(C30,0)),INDEX('06_Target KPI'!$E$5:$P$100,MATCH(F30,'06_Target KPI'!$B$5:$B$100,0),MATCH(A30,'06_Target KPI'!$E$4:$P$4,0)))),0)</f>
        <v>100</v>
      </c>
      <c r="I30" s="20">
        <v>92</v>
      </c>
      <c r="J30" s="22">
        <f>IFERROR(MIN(IF(VLOOKUP(F30,'05_Master KPI'!$B$5:$G$100,5,FALSE)="Lower",H30/I30,I30/H30),1),0)</f>
        <v>0.92</v>
      </c>
      <c r="K30" s="9">
        <f>IFERROR(VLOOKUP(F30,'05_Master KPI'!$B$5:$G$100,4,FALSE),0)</f>
        <v>25</v>
      </c>
      <c r="L30" s="23">
        <f t="shared" si="0"/>
        <v>23</v>
      </c>
      <c r="M30" s="9" t="str">
        <f>IF(D30="","",IF(J30&gt;='13_Setting'!$H$7,"Tercapai",IF(J30&gt;='13_Setting'!$H$6,"On Track","Tertinggal")))</f>
        <v>On Track</v>
      </c>
      <c r="N30" s="20" t="s">
        <v>211</v>
      </c>
      <c r="O30" s="1"/>
      <c r="P30" s="1"/>
      <c r="Q30" s="1"/>
      <c r="R30" s="1"/>
      <c r="S30" s="1"/>
      <c r="T30" s="1"/>
      <c r="U30" s="1"/>
      <c r="V30" s="1"/>
      <c r="W30" s="1"/>
      <c r="X30" s="1"/>
      <c r="Y30" s="1"/>
      <c r="Z30" s="1"/>
    </row>
    <row r="31" spans="1:26">
      <c r="A31" s="20" t="s">
        <v>197</v>
      </c>
      <c r="B31" s="20">
        <v>2026</v>
      </c>
      <c r="C31" s="21">
        <v>46234</v>
      </c>
      <c r="D31" s="20" t="s">
        <v>100</v>
      </c>
      <c r="E31" s="9" t="str">
        <f>IFERROR(VLOOKUP(D31,'04_Master Karyawan'!$A$5:$F$50,2,FALSE),"")</f>
        <v>Supervisor Produksi (Ganti Nama)</v>
      </c>
      <c r="F31" s="20" t="s">
        <v>125</v>
      </c>
      <c r="G31" s="9" t="str">
        <f>IFERROR(VLOOKUP(F31,'05_Master KPI'!$B$5:$G$100,2,FALSE)&amp;" ("&amp;VLOOKUP(F31,'05_Master KPI'!$B$5:$G$100,3,FALSE)&amp;")","")</f>
        <v>On-Time Delivery (%)</v>
      </c>
      <c r="H31" s="9">
        <f>IFERROR(IF(B31&lt;&gt;'06_Target KPI'!$B$3,0,IF(VLOOKUP(F31,'05_Master KPI'!$B$5:$G$100,6,FALSE)="Kumulatif",INDEX('06_Target KPI'!$E$5:$P$100,MATCH(F31,'06_Target KPI'!$B$5:$B$100,0),MATCH(A31,'06_Target KPI'!$E$4:$P$4,0))*DAY(C31)/DAY(EOMONTH(C31,0)),INDEX('06_Target KPI'!$E$5:$P$100,MATCH(F31,'06_Target KPI'!$B$5:$B$100,0),MATCH(A31,'06_Target KPI'!$E$4:$P$4,0)))),0)</f>
        <v>95</v>
      </c>
      <c r="I31" s="20">
        <v>87.6</v>
      </c>
      <c r="J31" s="22">
        <f>IFERROR(MIN(IF(VLOOKUP(F31,'05_Master KPI'!$B$5:$G$100,5,FALSE)="Lower",H31/I31,I31/H31),1),0)</f>
        <v>0.92210526315789465</v>
      </c>
      <c r="K31" s="9">
        <f>IFERROR(VLOOKUP(F31,'05_Master KPI'!$B$5:$G$100,4,FALSE),0)</f>
        <v>20</v>
      </c>
      <c r="L31" s="23">
        <f t="shared" si="0"/>
        <v>18.442105263157892</v>
      </c>
      <c r="M31" s="9" t="str">
        <f>IF(D31="","",IF(J31&gt;='13_Setting'!$H$7,"Tercapai",IF(J31&gt;='13_Setting'!$H$6,"On Track","Tertinggal")))</f>
        <v>On Track</v>
      </c>
      <c r="N31" s="20" t="s">
        <v>211</v>
      </c>
      <c r="O31" s="1"/>
      <c r="P31" s="1"/>
      <c r="Q31" s="1"/>
      <c r="R31" s="1"/>
      <c r="S31" s="1"/>
      <c r="T31" s="1"/>
      <c r="U31" s="1"/>
      <c r="V31" s="1"/>
      <c r="W31" s="1"/>
      <c r="X31" s="1"/>
      <c r="Y31" s="1"/>
      <c r="Z31" s="1"/>
    </row>
    <row r="32" spans="1:26">
      <c r="A32" s="20" t="s">
        <v>197</v>
      </c>
      <c r="B32" s="20">
        <v>2026</v>
      </c>
      <c r="C32" s="21">
        <v>46234</v>
      </c>
      <c r="D32" s="20" t="s">
        <v>100</v>
      </c>
      <c r="E32" s="9" t="str">
        <f>IFERROR(VLOOKUP(D32,'04_Master Karyawan'!$A$5:$F$50,2,FALSE),"")</f>
        <v>Supervisor Produksi (Ganti Nama)</v>
      </c>
      <c r="F32" s="20" t="s">
        <v>127</v>
      </c>
      <c r="G32" s="9" t="str">
        <f>IFERROR(VLOOKUP(F32,'05_Master KPI'!$B$5:$G$100,2,FALSE)&amp;" ("&amp;VLOOKUP(F32,'05_Master KPI'!$B$5:$G$100,3,FALSE)&amp;")","")</f>
        <v>SOP &amp; 5S (%)</v>
      </c>
      <c r="H32" s="9">
        <f>IFERROR(IF(B32&lt;&gt;'06_Target KPI'!$B$3,0,IF(VLOOKUP(F32,'05_Master KPI'!$B$5:$G$100,6,FALSE)="Kumulatif",INDEX('06_Target KPI'!$E$5:$P$100,MATCH(F32,'06_Target KPI'!$B$5:$B$100,0),MATCH(A32,'06_Target KPI'!$E$4:$P$4,0))*DAY(C32)/DAY(EOMONTH(C32,0)),INDEX('06_Target KPI'!$E$5:$P$100,MATCH(F32,'06_Target KPI'!$B$5:$B$100,0),MATCH(A32,'06_Target KPI'!$E$4:$P$4,0)))),0)</f>
        <v>100</v>
      </c>
      <c r="I32" s="20">
        <v>92.3</v>
      </c>
      <c r="J32" s="22">
        <f>IFERROR(MIN(IF(VLOOKUP(F32,'05_Master KPI'!$B$5:$G$100,5,FALSE)="Lower",H32/I32,I32/H32),1),0)</f>
        <v>0.92299999999999993</v>
      </c>
      <c r="K32" s="9">
        <f>IFERROR(VLOOKUP(F32,'05_Master KPI'!$B$5:$G$100,4,FALSE),0)</f>
        <v>15</v>
      </c>
      <c r="L32" s="23">
        <f t="shared" si="0"/>
        <v>13.844999999999999</v>
      </c>
      <c r="M32" s="9" t="str">
        <f>IF(D32="","",IF(J32&gt;='13_Setting'!$H$7,"Tercapai",IF(J32&gt;='13_Setting'!$H$6,"On Track","Tertinggal")))</f>
        <v>On Track</v>
      </c>
      <c r="N32" s="20" t="s">
        <v>211</v>
      </c>
      <c r="O32" s="1"/>
      <c r="P32" s="1"/>
      <c r="Q32" s="1"/>
      <c r="R32" s="1"/>
      <c r="S32" s="1"/>
      <c r="T32" s="1"/>
      <c r="U32" s="1"/>
      <c r="V32" s="1"/>
      <c r="W32" s="1"/>
      <c r="X32" s="1"/>
      <c r="Y32" s="1"/>
      <c r="Z32" s="1"/>
    </row>
    <row r="33" spans="1:26">
      <c r="A33" s="20" t="s">
        <v>3</v>
      </c>
      <c r="B33" s="20">
        <v>2026</v>
      </c>
      <c r="C33" s="21">
        <v>46239</v>
      </c>
      <c r="D33" s="20" t="s">
        <v>100</v>
      </c>
      <c r="E33" s="9" t="str">
        <f>IFERROR(VLOOKUP(D33,'04_Master Karyawan'!$A$5:$F$50,2,FALSE),"")</f>
        <v>Supervisor Produksi (Ganti Nama)</v>
      </c>
      <c r="F33" s="20" t="s">
        <v>116</v>
      </c>
      <c r="G33" s="9" t="str">
        <f>IFERROR(VLOOKUP(F33,'05_Master KPI'!$B$5:$G$100,2,FALSE)&amp;" ("&amp;VLOOKUP(F33,'05_Master KPI'!$B$5:$G$100,3,FALSE)&amp;")","")</f>
        <v>QC Pass Rate (%)</v>
      </c>
      <c r="H33" s="9">
        <f>IFERROR(IF(B33&lt;&gt;'06_Target KPI'!$B$3,0,IF(VLOOKUP(F33,'05_Master KPI'!$B$5:$G$100,6,FALSE)="Kumulatif",INDEX('06_Target KPI'!$E$5:$P$100,MATCH(F33,'06_Target KPI'!$B$5:$B$100,0),MATCH(A33,'06_Target KPI'!$E$4:$P$4,0))*DAY(C33)/DAY(EOMONTH(C33,0)),INDEX('06_Target KPI'!$E$5:$P$100,MATCH(F33,'06_Target KPI'!$B$5:$B$100,0),MATCH(A33,'06_Target KPI'!$E$4:$P$4,0)))),0)</f>
        <v>98</v>
      </c>
      <c r="I33" s="20">
        <v>87.5</v>
      </c>
      <c r="J33" s="22">
        <f>IFERROR(MIN(IF(VLOOKUP(F33,'05_Master KPI'!$B$5:$G$100,5,FALSE)="Lower",H33/I33,I33/H33),1),0)</f>
        <v>0.8928571428571429</v>
      </c>
      <c r="K33" s="9">
        <f>IFERROR(VLOOKUP(F33,'05_Master KPI'!$B$5:$G$100,4,FALSE),0)</f>
        <v>40</v>
      </c>
      <c r="L33" s="23">
        <f t="shared" si="0"/>
        <v>35.714285714285715</v>
      </c>
      <c r="M33" s="9" t="str">
        <f>IF(D33="","",IF(J33&gt;='13_Setting'!$H$7,"Tercapai",IF(J33&gt;='13_Setting'!$H$6,"On Track","Tertinggal")))</f>
        <v>On Track</v>
      </c>
      <c r="N33" s="20" t="s">
        <v>212</v>
      </c>
      <c r="O33" s="1"/>
      <c r="P33" s="1"/>
      <c r="Q33" s="1"/>
      <c r="R33" s="1"/>
      <c r="S33" s="1"/>
      <c r="T33" s="1"/>
      <c r="U33" s="1"/>
      <c r="V33" s="1"/>
      <c r="W33" s="1"/>
      <c r="X33" s="1"/>
      <c r="Y33" s="1"/>
      <c r="Z33" s="1"/>
    </row>
    <row r="34" spans="1:26">
      <c r="A34" s="20" t="s">
        <v>3</v>
      </c>
      <c r="B34" s="20">
        <v>2026</v>
      </c>
      <c r="C34" s="21">
        <v>46239</v>
      </c>
      <c r="D34" s="20" t="s">
        <v>100</v>
      </c>
      <c r="E34" s="9" t="str">
        <f>IFERROR(VLOOKUP(D34,'04_Master Karyawan'!$A$5:$F$50,2,FALSE),"")</f>
        <v>Supervisor Produksi (Ganti Nama)</v>
      </c>
      <c r="F34" s="20" t="s">
        <v>121</v>
      </c>
      <c r="G34" s="9" t="str">
        <f>IFERROR(VLOOKUP(F34,'05_Master KPI'!$B$5:$G$100,2,FALSE)&amp;" ("&amp;VLOOKUP(F34,'05_Master KPI'!$B$5:$G$100,3,FALSE)&amp;")","")</f>
        <v>Output Produksi (pcs)</v>
      </c>
      <c r="H34" s="9">
        <f>IFERROR(IF(B34&lt;&gt;'06_Target KPI'!$B$3,0,IF(VLOOKUP(F34,'05_Master KPI'!$B$5:$G$100,6,FALSE)="Kumulatif",INDEX('06_Target KPI'!$E$5:$P$100,MATCH(F34,'06_Target KPI'!$B$5:$B$100,0),MATCH(A34,'06_Target KPI'!$E$4:$P$4,0))*DAY(C34)/DAY(EOMONTH(C34,0)),INDEX('06_Target KPI'!$E$5:$P$100,MATCH(F34,'06_Target KPI'!$B$5:$B$100,0),MATCH(A34,'06_Target KPI'!$E$4:$P$4,0)))),0)</f>
        <v>16.129032258064516</v>
      </c>
      <c r="I34" s="20">
        <v>14</v>
      </c>
      <c r="J34" s="22">
        <f>IFERROR(MIN(IF(VLOOKUP(F34,'05_Master KPI'!$B$5:$G$100,5,FALSE)="Lower",H34/I34,I34/H34),1),0)</f>
        <v>0.86799999999999999</v>
      </c>
      <c r="K34" s="9">
        <f>IFERROR(VLOOKUP(F34,'05_Master KPI'!$B$5:$G$100,4,FALSE),0)</f>
        <v>25</v>
      </c>
      <c r="L34" s="23">
        <f t="shared" si="0"/>
        <v>21.7</v>
      </c>
      <c r="M34" s="9" t="str">
        <f>IF(D34="","",IF(J34&gt;='13_Setting'!$H$7,"Tercapai",IF(J34&gt;='13_Setting'!$H$6,"On Track","Tertinggal")))</f>
        <v>On Track</v>
      </c>
      <c r="N34" s="20" t="s">
        <v>212</v>
      </c>
      <c r="O34" s="1"/>
      <c r="P34" s="1"/>
      <c r="Q34" s="1"/>
      <c r="R34" s="1"/>
      <c r="S34" s="1"/>
      <c r="T34" s="1"/>
      <c r="U34" s="1"/>
      <c r="V34" s="1"/>
      <c r="W34" s="1"/>
      <c r="X34" s="1"/>
      <c r="Y34" s="1"/>
      <c r="Z34" s="1"/>
    </row>
    <row r="35" spans="1:26">
      <c r="A35" s="20" t="s">
        <v>3</v>
      </c>
      <c r="B35" s="20">
        <v>2026</v>
      </c>
      <c r="C35" s="21">
        <v>46239</v>
      </c>
      <c r="D35" s="20" t="s">
        <v>100</v>
      </c>
      <c r="E35" s="9" t="str">
        <f>IFERROR(VLOOKUP(D35,'04_Master Karyawan'!$A$5:$F$50,2,FALSE),"")</f>
        <v>Supervisor Produksi (Ganti Nama)</v>
      </c>
      <c r="F35" s="20" t="s">
        <v>125</v>
      </c>
      <c r="G35" s="9" t="str">
        <f>IFERROR(VLOOKUP(F35,'05_Master KPI'!$B$5:$G$100,2,FALSE)&amp;" ("&amp;VLOOKUP(F35,'05_Master KPI'!$B$5:$G$100,3,FALSE)&amp;")","")</f>
        <v>On-Time Delivery (%)</v>
      </c>
      <c r="H35" s="9">
        <f>IFERROR(IF(B35&lt;&gt;'06_Target KPI'!$B$3,0,IF(VLOOKUP(F35,'05_Master KPI'!$B$5:$G$100,6,FALSE)="Kumulatif",INDEX('06_Target KPI'!$E$5:$P$100,MATCH(F35,'06_Target KPI'!$B$5:$B$100,0),MATCH(A35,'06_Target KPI'!$E$4:$P$4,0))*DAY(C35)/DAY(EOMONTH(C35,0)),INDEX('06_Target KPI'!$E$5:$P$100,MATCH(F35,'06_Target KPI'!$B$5:$B$100,0),MATCH(A35,'06_Target KPI'!$E$4:$P$4,0)))),0)</f>
        <v>95</v>
      </c>
      <c r="I35" s="20">
        <v>84.8</v>
      </c>
      <c r="J35" s="22">
        <f>IFERROR(MIN(IF(VLOOKUP(F35,'05_Master KPI'!$B$5:$G$100,5,FALSE)="Lower",H35/I35,I35/H35),1),0)</f>
        <v>0.89263157894736844</v>
      </c>
      <c r="K35" s="9">
        <f>IFERROR(VLOOKUP(F35,'05_Master KPI'!$B$5:$G$100,4,FALSE),0)</f>
        <v>20</v>
      </c>
      <c r="L35" s="23">
        <f t="shared" si="0"/>
        <v>17.852631578947367</v>
      </c>
      <c r="M35" s="9" t="str">
        <f>IF(D35="","",IF(J35&gt;='13_Setting'!$H$7,"Tercapai",IF(J35&gt;='13_Setting'!$H$6,"On Track","Tertinggal")))</f>
        <v>On Track</v>
      </c>
      <c r="N35" s="20" t="s">
        <v>212</v>
      </c>
      <c r="O35" s="1"/>
      <c r="P35" s="1"/>
      <c r="Q35" s="1"/>
      <c r="R35" s="1"/>
      <c r="S35" s="1"/>
      <c r="T35" s="1"/>
      <c r="U35" s="1"/>
      <c r="V35" s="1"/>
      <c r="W35" s="1"/>
      <c r="X35" s="1"/>
      <c r="Y35" s="1"/>
      <c r="Z35" s="1"/>
    </row>
    <row r="36" spans="1:26">
      <c r="A36" s="20" t="s">
        <v>3</v>
      </c>
      <c r="B36" s="20">
        <v>2026</v>
      </c>
      <c r="C36" s="21">
        <v>46239</v>
      </c>
      <c r="D36" s="20" t="s">
        <v>100</v>
      </c>
      <c r="E36" s="9" t="str">
        <f>IFERROR(VLOOKUP(D36,'04_Master Karyawan'!$A$5:$F$50,2,FALSE),"")</f>
        <v>Supervisor Produksi (Ganti Nama)</v>
      </c>
      <c r="F36" s="20" t="s">
        <v>127</v>
      </c>
      <c r="G36" s="9" t="str">
        <f>IFERROR(VLOOKUP(F36,'05_Master KPI'!$B$5:$G$100,2,FALSE)&amp;" ("&amp;VLOOKUP(F36,'05_Master KPI'!$B$5:$G$100,3,FALSE)&amp;")","")</f>
        <v>SOP &amp; 5S (%)</v>
      </c>
      <c r="H36" s="9">
        <f>IFERROR(IF(B36&lt;&gt;'06_Target KPI'!$B$3,0,IF(VLOOKUP(F36,'05_Master KPI'!$B$5:$G$100,6,FALSE)="Kumulatif",INDEX('06_Target KPI'!$E$5:$P$100,MATCH(F36,'06_Target KPI'!$B$5:$B$100,0),MATCH(A36,'06_Target KPI'!$E$4:$P$4,0))*DAY(C36)/DAY(EOMONTH(C36,0)),INDEX('06_Target KPI'!$E$5:$P$100,MATCH(F36,'06_Target KPI'!$B$5:$B$100,0),MATCH(A36,'06_Target KPI'!$E$4:$P$4,0)))),0)</f>
        <v>100</v>
      </c>
      <c r="I36" s="20">
        <v>89.3</v>
      </c>
      <c r="J36" s="22">
        <f>IFERROR(MIN(IF(VLOOKUP(F36,'05_Master KPI'!$B$5:$G$100,5,FALSE)="Lower",H36/I36,I36/H36),1),0)</f>
        <v>0.89300000000000002</v>
      </c>
      <c r="K36" s="9">
        <f>IFERROR(VLOOKUP(F36,'05_Master KPI'!$B$5:$G$100,4,FALSE),0)</f>
        <v>15</v>
      </c>
      <c r="L36" s="23">
        <f t="shared" si="0"/>
        <v>13.395</v>
      </c>
      <c r="M36" s="9" t="str">
        <f>IF(D36="","",IF(J36&gt;='13_Setting'!$H$7,"Tercapai",IF(J36&gt;='13_Setting'!$H$6,"On Track","Tertinggal")))</f>
        <v>On Track</v>
      </c>
      <c r="N36" s="20" t="s">
        <v>212</v>
      </c>
      <c r="O36" s="1"/>
      <c r="P36" s="1"/>
      <c r="Q36" s="1"/>
      <c r="R36" s="1"/>
      <c r="S36" s="1"/>
      <c r="T36" s="1"/>
      <c r="U36" s="1"/>
      <c r="V36" s="1"/>
      <c r="W36" s="1"/>
      <c r="X36" s="1"/>
      <c r="Y36" s="1"/>
      <c r="Z36" s="1"/>
    </row>
    <row r="37" spans="1:26">
      <c r="A37" s="20"/>
      <c r="B37" s="20"/>
      <c r="C37" s="21"/>
      <c r="D37" s="20"/>
      <c r="E37" s="9" t="str">
        <f>IFERROR(VLOOKUP(D37,'04_Master Karyawan'!$A$5:$F$50,2,FALSE),"")</f>
        <v/>
      </c>
      <c r="F37" s="20"/>
      <c r="G37" s="9" t="str">
        <f>IFERROR(VLOOKUP(F37,'05_Master KPI'!$B$5:$G$100,2,FALSE)&amp;" ("&amp;VLOOKUP(F37,'05_Master KPI'!$B$5:$G$100,3,FALSE)&amp;")","")</f>
        <v/>
      </c>
      <c r="H37" s="9">
        <f>IFERROR(IF(B37&lt;&gt;'06_Target KPI'!$B$3,0,IF(VLOOKUP(F37,'05_Master KPI'!$B$5:$G$100,6,FALSE)="Kumulatif",INDEX('06_Target KPI'!$E$5:$P$100,MATCH(F37,'06_Target KPI'!$B$5:$B$100,0),MATCH(A37,'06_Target KPI'!$E$4:$P$4,0))*DAY(C37)/DAY(EOMONTH(C37,0)),INDEX('06_Target KPI'!$E$5:$P$100,MATCH(F37,'06_Target KPI'!$B$5:$B$100,0),MATCH(A37,'06_Target KPI'!$E$4:$P$4,0)))),0)</f>
        <v>0</v>
      </c>
      <c r="I37" s="20"/>
      <c r="J37" s="22">
        <f>IFERROR(MIN(IF(VLOOKUP(F37,'05_Master KPI'!$B$5:$G$100,5,FALSE)="Lower",H37/I37,I37/H37),1),0)</f>
        <v>0</v>
      </c>
      <c r="K37" s="9">
        <f>IFERROR(VLOOKUP(F37,'05_Master KPI'!$B$5:$G$100,4,FALSE),0)</f>
        <v>0</v>
      </c>
      <c r="L37" s="23">
        <f t="shared" si="0"/>
        <v>0</v>
      </c>
      <c r="M37" s="9" t="str">
        <f>IF(D37="","",IF(J37&gt;='13_Setting'!$H$7,"Tercapai",IF(J37&gt;='13_Setting'!$H$6,"On Track","Tertinggal")))</f>
        <v/>
      </c>
      <c r="N37" s="20"/>
      <c r="O37" s="1"/>
      <c r="P37" s="1"/>
      <c r="Q37" s="1"/>
      <c r="R37" s="1"/>
      <c r="S37" s="1"/>
      <c r="T37" s="1"/>
      <c r="U37" s="1"/>
      <c r="V37" s="1"/>
      <c r="W37" s="1"/>
      <c r="X37" s="1"/>
      <c r="Y37" s="1"/>
      <c r="Z37" s="1"/>
    </row>
    <row r="38" spans="1:26">
      <c r="A38" s="20"/>
      <c r="B38" s="20"/>
      <c r="C38" s="21"/>
      <c r="D38" s="20"/>
      <c r="E38" s="9" t="str">
        <f>IFERROR(VLOOKUP(D38,'04_Master Karyawan'!$A$5:$F$50,2,FALSE),"")</f>
        <v/>
      </c>
      <c r="F38" s="20"/>
      <c r="G38" s="9" t="str">
        <f>IFERROR(VLOOKUP(F38,'05_Master KPI'!$B$5:$G$100,2,FALSE)&amp;" ("&amp;VLOOKUP(F38,'05_Master KPI'!$B$5:$G$100,3,FALSE)&amp;")","")</f>
        <v/>
      </c>
      <c r="H38" s="9">
        <f>IFERROR(IF(B38&lt;&gt;'06_Target KPI'!$B$3,0,IF(VLOOKUP(F38,'05_Master KPI'!$B$5:$G$100,6,FALSE)="Kumulatif",INDEX('06_Target KPI'!$E$5:$P$100,MATCH(F38,'06_Target KPI'!$B$5:$B$100,0),MATCH(A38,'06_Target KPI'!$E$4:$P$4,0))*DAY(C38)/DAY(EOMONTH(C38,0)),INDEX('06_Target KPI'!$E$5:$P$100,MATCH(F38,'06_Target KPI'!$B$5:$B$100,0),MATCH(A38,'06_Target KPI'!$E$4:$P$4,0)))),0)</f>
        <v>0</v>
      </c>
      <c r="I38" s="20"/>
      <c r="J38" s="22">
        <f>IFERROR(MIN(IF(VLOOKUP(F38,'05_Master KPI'!$B$5:$G$100,5,FALSE)="Lower",H38/I38,I38/H38),1),0)</f>
        <v>0</v>
      </c>
      <c r="K38" s="9">
        <f>IFERROR(VLOOKUP(F38,'05_Master KPI'!$B$5:$G$100,4,FALSE),0)</f>
        <v>0</v>
      </c>
      <c r="L38" s="23">
        <f t="shared" si="0"/>
        <v>0</v>
      </c>
      <c r="M38" s="9" t="str">
        <f>IF(D38="","",IF(J38&gt;='13_Setting'!$H$7,"Tercapai",IF(J38&gt;='13_Setting'!$H$6,"On Track","Tertinggal")))</f>
        <v/>
      </c>
      <c r="N38" s="20"/>
      <c r="O38" s="1"/>
      <c r="P38" s="1"/>
      <c r="Q38" s="1"/>
      <c r="R38" s="1"/>
      <c r="S38" s="1"/>
      <c r="T38" s="1"/>
      <c r="U38" s="1"/>
      <c r="V38" s="1"/>
      <c r="W38" s="1"/>
      <c r="X38" s="1"/>
      <c r="Y38" s="1"/>
      <c r="Z38" s="1"/>
    </row>
    <row r="39" spans="1:26">
      <c r="A39" s="20"/>
      <c r="B39" s="20"/>
      <c r="C39" s="21"/>
      <c r="D39" s="20"/>
      <c r="E39" s="9" t="str">
        <f>IFERROR(VLOOKUP(D39,'04_Master Karyawan'!$A$5:$F$50,2,FALSE),"")</f>
        <v/>
      </c>
      <c r="F39" s="20"/>
      <c r="G39" s="9" t="str">
        <f>IFERROR(VLOOKUP(F39,'05_Master KPI'!$B$5:$G$100,2,FALSE)&amp;" ("&amp;VLOOKUP(F39,'05_Master KPI'!$B$5:$G$100,3,FALSE)&amp;")","")</f>
        <v/>
      </c>
      <c r="H39" s="9">
        <f>IFERROR(IF(B39&lt;&gt;'06_Target KPI'!$B$3,0,IF(VLOOKUP(F39,'05_Master KPI'!$B$5:$G$100,6,FALSE)="Kumulatif",INDEX('06_Target KPI'!$E$5:$P$100,MATCH(F39,'06_Target KPI'!$B$5:$B$100,0),MATCH(A39,'06_Target KPI'!$E$4:$P$4,0))*DAY(C39)/DAY(EOMONTH(C39,0)),INDEX('06_Target KPI'!$E$5:$P$100,MATCH(F39,'06_Target KPI'!$B$5:$B$100,0),MATCH(A39,'06_Target KPI'!$E$4:$P$4,0)))),0)</f>
        <v>0</v>
      </c>
      <c r="I39" s="20"/>
      <c r="J39" s="22">
        <f>IFERROR(MIN(IF(VLOOKUP(F39,'05_Master KPI'!$B$5:$G$100,5,FALSE)="Lower",H39/I39,I39/H39),1),0)</f>
        <v>0</v>
      </c>
      <c r="K39" s="9">
        <f>IFERROR(VLOOKUP(F39,'05_Master KPI'!$B$5:$G$100,4,FALSE),0)</f>
        <v>0</v>
      </c>
      <c r="L39" s="23">
        <f t="shared" si="0"/>
        <v>0</v>
      </c>
      <c r="M39" s="9" t="str">
        <f>IF(D39="","",IF(J39&gt;='13_Setting'!$H$7,"Tercapai",IF(J39&gt;='13_Setting'!$H$6,"On Track","Tertinggal")))</f>
        <v/>
      </c>
      <c r="N39" s="20"/>
      <c r="O39" s="1"/>
      <c r="P39" s="1"/>
      <c r="Q39" s="1"/>
      <c r="R39" s="1"/>
      <c r="S39" s="1"/>
      <c r="T39" s="1"/>
      <c r="U39" s="1"/>
      <c r="V39" s="1"/>
      <c r="W39" s="1"/>
      <c r="X39" s="1"/>
      <c r="Y39" s="1"/>
      <c r="Z39" s="1"/>
    </row>
    <row r="40" spans="1:26">
      <c r="A40" s="20"/>
      <c r="B40" s="20"/>
      <c r="C40" s="21"/>
      <c r="D40" s="20"/>
      <c r="E40" s="9" t="str">
        <f>IFERROR(VLOOKUP(D40,'04_Master Karyawan'!$A$5:$F$50,2,FALSE),"")</f>
        <v/>
      </c>
      <c r="F40" s="20"/>
      <c r="G40" s="9" t="str">
        <f>IFERROR(VLOOKUP(F40,'05_Master KPI'!$B$5:$G$100,2,FALSE)&amp;" ("&amp;VLOOKUP(F40,'05_Master KPI'!$B$5:$G$100,3,FALSE)&amp;")","")</f>
        <v/>
      </c>
      <c r="H40" s="9">
        <f>IFERROR(IF(B40&lt;&gt;'06_Target KPI'!$B$3,0,IF(VLOOKUP(F40,'05_Master KPI'!$B$5:$G$100,6,FALSE)="Kumulatif",INDEX('06_Target KPI'!$E$5:$P$100,MATCH(F40,'06_Target KPI'!$B$5:$B$100,0),MATCH(A40,'06_Target KPI'!$E$4:$P$4,0))*DAY(C40)/DAY(EOMONTH(C40,0)),INDEX('06_Target KPI'!$E$5:$P$100,MATCH(F40,'06_Target KPI'!$B$5:$B$100,0),MATCH(A40,'06_Target KPI'!$E$4:$P$4,0)))),0)</f>
        <v>0</v>
      </c>
      <c r="I40" s="20"/>
      <c r="J40" s="22">
        <f>IFERROR(MIN(IF(VLOOKUP(F40,'05_Master KPI'!$B$5:$G$100,5,FALSE)="Lower",H40/I40,I40/H40),1),0)</f>
        <v>0</v>
      </c>
      <c r="K40" s="9">
        <f>IFERROR(VLOOKUP(F40,'05_Master KPI'!$B$5:$G$100,4,FALSE),0)</f>
        <v>0</v>
      </c>
      <c r="L40" s="23">
        <f t="shared" si="0"/>
        <v>0</v>
      </c>
      <c r="M40" s="9" t="str">
        <f>IF(D40="","",IF(J40&gt;='13_Setting'!$H$7,"Tercapai",IF(J40&gt;='13_Setting'!$H$6,"On Track","Tertinggal")))</f>
        <v/>
      </c>
      <c r="N40" s="20"/>
      <c r="O40" s="1"/>
      <c r="P40" s="1"/>
      <c r="Q40" s="1"/>
      <c r="R40" s="1"/>
      <c r="S40" s="1"/>
      <c r="T40" s="1"/>
      <c r="U40" s="1"/>
      <c r="V40" s="1"/>
      <c r="W40" s="1"/>
      <c r="X40" s="1"/>
      <c r="Y40" s="1"/>
      <c r="Z40" s="1"/>
    </row>
    <row r="41" spans="1:26">
      <c r="A41" s="20"/>
      <c r="B41" s="20"/>
      <c r="C41" s="21"/>
      <c r="D41" s="20"/>
      <c r="E41" s="9" t="str">
        <f>IFERROR(VLOOKUP(D41,'04_Master Karyawan'!$A$5:$F$50,2,FALSE),"")</f>
        <v/>
      </c>
      <c r="F41" s="20"/>
      <c r="G41" s="9" t="str">
        <f>IFERROR(VLOOKUP(F41,'05_Master KPI'!$B$5:$G$100,2,FALSE)&amp;" ("&amp;VLOOKUP(F41,'05_Master KPI'!$B$5:$G$100,3,FALSE)&amp;")","")</f>
        <v/>
      </c>
      <c r="H41" s="9">
        <f>IFERROR(IF(B41&lt;&gt;'06_Target KPI'!$B$3,0,IF(VLOOKUP(F41,'05_Master KPI'!$B$5:$G$100,6,FALSE)="Kumulatif",INDEX('06_Target KPI'!$E$5:$P$100,MATCH(F41,'06_Target KPI'!$B$5:$B$100,0),MATCH(A41,'06_Target KPI'!$E$4:$P$4,0))*DAY(C41)/DAY(EOMONTH(C41,0)),INDEX('06_Target KPI'!$E$5:$P$100,MATCH(F41,'06_Target KPI'!$B$5:$B$100,0),MATCH(A41,'06_Target KPI'!$E$4:$P$4,0)))),0)</f>
        <v>0</v>
      </c>
      <c r="I41" s="20"/>
      <c r="J41" s="22">
        <f>IFERROR(MIN(IF(VLOOKUP(F41,'05_Master KPI'!$B$5:$G$100,5,FALSE)="Lower",H41/I41,I41/H41),1),0)</f>
        <v>0</v>
      </c>
      <c r="K41" s="9">
        <f>IFERROR(VLOOKUP(F41,'05_Master KPI'!$B$5:$G$100,4,FALSE),0)</f>
        <v>0</v>
      </c>
      <c r="L41" s="23">
        <f t="shared" si="0"/>
        <v>0</v>
      </c>
      <c r="M41" s="9" t="str">
        <f>IF(D41="","",IF(J41&gt;='13_Setting'!$H$7,"Tercapai",IF(J41&gt;='13_Setting'!$H$6,"On Track","Tertinggal")))</f>
        <v/>
      </c>
      <c r="N41" s="20"/>
      <c r="O41" s="1"/>
      <c r="P41" s="1"/>
      <c r="Q41" s="1"/>
      <c r="R41" s="1"/>
      <c r="S41" s="1"/>
      <c r="T41" s="1"/>
      <c r="U41" s="1"/>
      <c r="V41" s="1"/>
      <c r="W41" s="1"/>
      <c r="X41" s="1"/>
      <c r="Y41" s="1"/>
      <c r="Z41" s="1"/>
    </row>
    <row r="42" spans="1:26">
      <c r="A42" s="20"/>
      <c r="B42" s="20"/>
      <c r="C42" s="21"/>
      <c r="D42" s="20"/>
      <c r="E42" s="9" t="str">
        <f>IFERROR(VLOOKUP(D42,'04_Master Karyawan'!$A$5:$F$50,2,FALSE),"")</f>
        <v/>
      </c>
      <c r="F42" s="20"/>
      <c r="G42" s="9" t="str">
        <f>IFERROR(VLOOKUP(F42,'05_Master KPI'!$B$5:$G$100,2,FALSE)&amp;" ("&amp;VLOOKUP(F42,'05_Master KPI'!$B$5:$G$100,3,FALSE)&amp;")","")</f>
        <v/>
      </c>
      <c r="H42" s="9">
        <f>IFERROR(IF(B42&lt;&gt;'06_Target KPI'!$B$3,0,IF(VLOOKUP(F42,'05_Master KPI'!$B$5:$G$100,6,FALSE)="Kumulatif",INDEX('06_Target KPI'!$E$5:$P$100,MATCH(F42,'06_Target KPI'!$B$5:$B$100,0),MATCH(A42,'06_Target KPI'!$E$4:$P$4,0))*DAY(C42)/DAY(EOMONTH(C42,0)),INDEX('06_Target KPI'!$E$5:$P$100,MATCH(F42,'06_Target KPI'!$B$5:$B$100,0),MATCH(A42,'06_Target KPI'!$E$4:$P$4,0)))),0)</f>
        <v>0</v>
      </c>
      <c r="I42" s="20"/>
      <c r="J42" s="22">
        <f>IFERROR(MIN(IF(VLOOKUP(F42,'05_Master KPI'!$B$5:$G$100,5,FALSE)="Lower",H42/I42,I42/H42),1),0)</f>
        <v>0</v>
      </c>
      <c r="K42" s="9">
        <f>IFERROR(VLOOKUP(F42,'05_Master KPI'!$B$5:$G$100,4,FALSE),0)</f>
        <v>0</v>
      </c>
      <c r="L42" s="23">
        <f t="shared" si="0"/>
        <v>0</v>
      </c>
      <c r="M42" s="9" t="str">
        <f>IF(D42="","",IF(J42&gt;='13_Setting'!$H$7,"Tercapai",IF(J42&gt;='13_Setting'!$H$6,"On Track","Tertinggal")))</f>
        <v/>
      </c>
      <c r="N42" s="20"/>
      <c r="O42" s="1"/>
      <c r="P42" s="1"/>
      <c r="Q42" s="1"/>
      <c r="R42" s="1"/>
      <c r="S42" s="1"/>
      <c r="T42" s="1"/>
      <c r="U42" s="1"/>
      <c r="V42" s="1"/>
      <c r="W42" s="1"/>
      <c r="X42" s="1"/>
      <c r="Y42" s="1"/>
      <c r="Z42" s="1"/>
    </row>
    <row r="43" spans="1:26">
      <c r="A43" s="20"/>
      <c r="B43" s="20"/>
      <c r="C43" s="21"/>
      <c r="D43" s="20"/>
      <c r="E43" s="9" t="str">
        <f>IFERROR(VLOOKUP(D43,'04_Master Karyawan'!$A$5:$F$50,2,FALSE),"")</f>
        <v/>
      </c>
      <c r="F43" s="20"/>
      <c r="G43" s="9" t="str">
        <f>IFERROR(VLOOKUP(F43,'05_Master KPI'!$B$5:$G$100,2,FALSE)&amp;" ("&amp;VLOOKUP(F43,'05_Master KPI'!$B$5:$G$100,3,FALSE)&amp;")","")</f>
        <v/>
      </c>
      <c r="H43" s="9">
        <f>IFERROR(IF(B43&lt;&gt;'06_Target KPI'!$B$3,0,IF(VLOOKUP(F43,'05_Master KPI'!$B$5:$G$100,6,FALSE)="Kumulatif",INDEX('06_Target KPI'!$E$5:$P$100,MATCH(F43,'06_Target KPI'!$B$5:$B$100,0),MATCH(A43,'06_Target KPI'!$E$4:$P$4,0))*DAY(C43)/DAY(EOMONTH(C43,0)),INDEX('06_Target KPI'!$E$5:$P$100,MATCH(F43,'06_Target KPI'!$B$5:$B$100,0),MATCH(A43,'06_Target KPI'!$E$4:$P$4,0)))),0)</f>
        <v>0</v>
      </c>
      <c r="I43" s="20"/>
      <c r="J43" s="22">
        <f>IFERROR(MIN(IF(VLOOKUP(F43,'05_Master KPI'!$B$5:$G$100,5,FALSE)="Lower",H43/I43,I43/H43),1),0)</f>
        <v>0</v>
      </c>
      <c r="K43" s="9">
        <f>IFERROR(VLOOKUP(F43,'05_Master KPI'!$B$5:$G$100,4,FALSE),0)</f>
        <v>0</v>
      </c>
      <c r="L43" s="23">
        <f t="shared" si="0"/>
        <v>0</v>
      </c>
      <c r="M43" s="9" t="str">
        <f>IF(D43="","",IF(J43&gt;='13_Setting'!$H$7,"Tercapai",IF(J43&gt;='13_Setting'!$H$6,"On Track","Tertinggal")))</f>
        <v/>
      </c>
      <c r="N43" s="20"/>
      <c r="O43" s="1"/>
      <c r="P43" s="1"/>
      <c r="Q43" s="1"/>
      <c r="R43" s="1"/>
      <c r="S43" s="1"/>
      <c r="T43" s="1"/>
      <c r="U43" s="1"/>
      <c r="V43" s="1"/>
      <c r="W43" s="1"/>
      <c r="X43" s="1"/>
      <c r="Y43" s="1"/>
      <c r="Z43" s="1"/>
    </row>
    <row r="44" spans="1:26">
      <c r="A44" s="20"/>
      <c r="B44" s="20"/>
      <c r="C44" s="21"/>
      <c r="D44" s="20"/>
      <c r="E44" s="9" t="str">
        <f>IFERROR(VLOOKUP(D44,'04_Master Karyawan'!$A$5:$F$50,2,FALSE),"")</f>
        <v/>
      </c>
      <c r="F44" s="20"/>
      <c r="G44" s="9" t="str">
        <f>IFERROR(VLOOKUP(F44,'05_Master KPI'!$B$5:$G$100,2,FALSE)&amp;" ("&amp;VLOOKUP(F44,'05_Master KPI'!$B$5:$G$100,3,FALSE)&amp;")","")</f>
        <v/>
      </c>
      <c r="H44" s="9">
        <f>IFERROR(IF(B44&lt;&gt;'06_Target KPI'!$B$3,0,IF(VLOOKUP(F44,'05_Master KPI'!$B$5:$G$100,6,FALSE)="Kumulatif",INDEX('06_Target KPI'!$E$5:$P$100,MATCH(F44,'06_Target KPI'!$B$5:$B$100,0),MATCH(A44,'06_Target KPI'!$E$4:$P$4,0))*DAY(C44)/DAY(EOMONTH(C44,0)),INDEX('06_Target KPI'!$E$5:$P$100,MATCH(F44,'06_Target KPI'!$B$5:$B$100,0),MATCH(A44,'06_Target KPI'!$E$4:$P$4,0)))),0)</f>
        <v>0</v>
      </c>
      <c r="I44" s="20"/>
      <c r="J44" s="22">
        <f>IFERROR(MIN(IF(VLOOKUP(F44,'05_Master KPI'!$B$5:$G$100,5,FALSE)="Lower",H44/I44,I44/H44),1),0)</f>
        <v>0</v>
      </c>
      <c r="K44" s="9">
        <f>IFERROR(VLOOKUP(F44,'05_Master KPI'!$B$5:$G$100,4,FALSE),0)</f>
        <v>0</v>
      </c>
      <c r="L44" s="23">
        <f t="shared" si="0"/>
        <v>0</v>
      </c>
      <c r="M44" s="9" t="str">
        <f>IF(D44="","",IF(J44&gt;='13_Setting'!$H$7,"Tercapai",IF(J44&gt;='13_Setting'!$H$6,"On Track","Tertinggal")))</f>
        <v/>
      </c>
      <c r="N44" s="20"/>
      <c r="O44" s="1"/>
      <c r="P44" s="1"/>
      <c r="Q44" s="1"/>
      <c r="R44" s="1"/>
      <c r="S44" s="1"/>
      <c r="T44" s="1"/>
      <c r="U44" s="1"/>
      <c r="V44" s="1"/>
      <c r="W44" s="1"/>
      <c r="X44" s="1"/>
      <c r="Y44" s="1"/>
      <c r="Z44" s="1"/>
    </row>
    <row r="45" spans="1:26">
      <c r="A45" s="20"/>
      <c r="B45" s="20"/>
      <c r="C45" s="21"/>
      <c r="D45" s="20"/>
      <c r="E45" s="9" t="str">
        <f>IFERROR(VLOOKUP(D45,'04_Master Karyawan'!$A$5:$F$50,2,FALSE),"")</f>
        <v/>
      </c>
      <c r="F45" s="20"/>
      <c r="G45" s="9" t="str">
        <f>IFERROR(VLOOKUP(F45,'05_Master KPI'!$B$5:$G$100,2,FALSE)&amp;" ("&amp;VLOOKUP(F45,'05_Master KPI'!$B$5:$G$100,3,FALSE)&amp;")","")</f>
        <v/>
      </c>
      <c r="H45" s="9">
        <f>IFERROR(IF(B45&lt;&gt;'06_Target KPI'!$B$3,0,IF(VLOOKUP(F45,'05_Master KPI'!$B$5:$G$100,6,FALSE)="Kumulatif",INDEX('06_Target KPI'!$E$5:$P$100,MATCH(F45,'06_Target KPI'!$B$5:$B$100,0),MATCH(A45,'06_Target KPI'!$E$4:$P$4,0))*DAY(C45)/DAY(EOMONTH(C45,0)),INDEX('06_Target KPI'!$E$5:$P$100,MATCH(F45,'06_Target KPI'!$B$5:$B$100,0),MATCH(A45,'06_Target KPI'!$E$4:$P$4,0)))),0)</f>
        <v>0</v>
      </c>
      <c r="I45" s="20"/>
      <c r="J45" s="22">
        <f>IFERROR(MIN(IF(VLOOKUP(F45,'05_Master KPI'!$B$5:$G$100,5,FALSE)="Lower",H45/I45,I45/H45),1),0)</f>
        <v>0</v>
      </c>
      <c r="K45" s="9">
        <f>IFERROR(VLOOKUP(F45,'05_Master KPI'!$B$5:$G$100,4,FALSE),0)</f>
        <v>0</v>
      </c>
      <c r="L45" s="23">
        <f t="shared" si="0"/>
        <v>0</v>
      </c>
      <c r="M45" s="9" t="str">
        <f>IF(D45="","",IF(J45&gt;='13_Setting'!$H$7,"Tercapai",IF(J45&gt;='13_Setting'!$H$6,"On Track","Tertinggal")))</f>
        <v/>
      </c>
      <c r="N45" s="20"/>
      <c r="O45" s="1"/>
      <c r="P45" s="1"/>
      <c r="Q45" s="1"/>
      <c r="R45" s="1"/>
      <c r="S45" s="1"/>
      <c r="T45" s="1"/>
      <c r="U45" s="1"/>
      <c r="V45" s="1"/>
      <c r="W45" s="1"/>
      <c r="X45" s="1"/>
      <c r="Y45" s="1"/>
      <c r="Z45" s="1"/>
    </row>
    <row r="46" spans="1:26">
      <c r="A46" s="20"/>
      <c r="B46" s="20"/>
      <c r="C46" s="21"/>
      <c r="D46" s="20"/>
      <c r="E46" s="9" t="str">
        <f>IFERROR(VLOOKUP(D46,'04_Master Karyawan'!$A$5:$F$50,2,FALSE),"")</f>
        <v/>
      </c>
      <c r="F46" s="20"/>
      <c r="G46" s="9" t="str">
        <f>IFERROR(VLOOKUP(F46,'05_Master KPI'!$B$5:$G$100,2,FALSE)&amp;" ("&amp;VLOOKUP(F46,'05_Master KPI'!$B$5:$G$100,3,FALSE)&amp;")","")</f>
        <v/>
      </c>
      <c r="H46" s="9">
        <f>IFERROR(IF(B46&lt;&gt;'06_Target KPI'!$B$3,0,IF(VLOOKUP(F46,'05_Master KPI'!$B$5:$G$100,6,FALSE)="Kumulatif",INDEX('06_Target KPI'!$E$5:$P$100,MATCH(F46,'06_Target KPI'!$B$5:$B$100,0),MATCH(A46,'06_Target KPI'!$E$4:$P$4,0))*DAY(C46)/DAY(EOMONTH(C46,0)),INDEX('06_Target KPI'!$E$5:$P$100,MATCH(F46,'06_Target KPI'!$B$5:$B$100,0),MATCH(A46,'06_Target KPI'!$E$4:$P$4,0)))),0)</f>
        <v>0</v>
      </c>
      <c r="I46" s="20"/>
      <c r="J46" s="22">
        <f>IFERROR(MIN(IF(VLOOKUP(F46,'05_Master KPI'!$B$5:$G$100,5,FALSE)="Lower",H46/I46,I46/H46),1),0)</f>
        <v>0</v>
      </c>
      <c r="K46" s="9">
        <f>IFERROR(VLOOKUP(F46,'05_Master KPI'!$B$5:$G$100,4,FALSE),0)</f>
        <v>0</v>
      </c>
      <c r="L46" s="23">
        <f t="shared" si="0"/>
        <v>0</v>
      </c>
      <c r="M46" s="9" t="str">
        <f>IF(D46="","",IF(J46&gt;='13_Setting'!$H$7,"Tercapai",IF(J46&gt;='13_Setting'!$H$6,"On Track","Tertinggal")))</f>
        <v/>
      </c>
      <c r="N46" s="20"/>
      <c r="O46" s="1"/>
      <c r="P46" s="1"/>
      <c r="Q46" s="1"/>
      <c r="R46" s="1"/>
      <c r="S46" s="1"/>
      <c r="T46" s="1"/>
      <c r="U46" s="1"/>
      <c r="V46" s="1"/>
      <c r="W46" s="1"/>
      <c r="X46" s="1"/>
      <c r="Y46" s="1"/>
      <c r="Z46" s="1"/>
    </row>
    <row r="47" spans="1:26">
      <c r="A47" s="20"/>
      <c r="B47" s="20"/>
      <c r="C47" s="21"/>
      <c r="D47" s="20"/>
      <c r="E47" s="9" t="str">
        <f>IFERROR(VLOOKUP(D47,'04_Master Karyawan'!$A$5:$F$50,2,FALSE),"")</f>
        <v/>
      </c>
      <c r="F47" s="20"/>
      <c r="G47" s="9" t="str">
        <f>IFERROR(VLOOKUP(F47,'05_Master KPI'!$B$5:$G$100,2,FALSE)&amp;" ("&amp;VLOOKUP(F47,'05_Master KPI'!$B$5:$G$100,3,FALSE)&amp;")","")</f>
        <v/>
      </c>
      <c r="H47" s="9">
        <f>IFERROR(IF(B47&lt;&gt;'06_Target KPI'!$B$3,0,IF(VLOOKUP(F47,'05_Master KPI'!$B$5:$G$100,6,FALSE)="Kumulatif",INDEX('06_Target KPI'!$E$5:$P$100,MATCH(F47,'06_Target KPI'!$B$5:$B$100,0),MATCH(A47,'06_Target KPI'!$E$4:$P$4,0))*DAY(C47)/DAY(EOMONTH(C47,0)),INDEX('06_Target KPI'!$E$5:$P$100,MATCH(F47,'06_Target KPI'!$B$5:$B$100,0),MATCH(A47,'06_Target KPI'!$E$4:$P$4,0)))),0)</f>
        <v>0</v>
      </c>
      <c r="I47" s="20"/>
      <c r="J47" s="22">
        <f>IFERROR(MIN(IF(VLOOKUP(F47,'05_Master KPI'!$B$5:$G$100,5,FALSE)="Lower",H47/I47,I47/H47),1),0)</f>
        <v>0</v>
      </c>
      <c r="K47" s="9">
        <f>IFERROR(VLOOKUP(F47,'05_Master KPI'!$B$5:$G$100,4,FALSE),0)</f>
        <v>0</v>
      </c>
      <c r="L47" s="23">
        <f t="shared" si="0"/>
        <v>0</v>
      </c>
      <c r="M47" s="9" t="str">
        <f>IF(D47="","",IF(J47&gt;='13_Setting'!$H$7,"Tercapai",IF(J47&gt;='13_Setting'!$H$6,"On Track","Tertinggal")))</f>
        <v/>
      </c>
      <c r="N47" s="20"/>
      <c r="O47" s="1"/>
      <c r="P47" s="1"/>
      <c r="Q47" s="1"/>
      <c r="R47" s="1"/>
      <c r="S47" s="1"/>
      <c r="T47" s="1"/>
      <c r="U47" s="1"/>
      <c r="V47" s="1"/>
      <c r="W47" s="1"/>
      <c r="X47" s="1"/>
      <c r="Y47" s="1"/>
      <c r="Z47" s="1"/>
    </row>
    <row r="48" spans="1:26">
      <c r="A48" s="20"/>
      <c r="B48" s="20"/>
      <c r="C48" s="21"/>
      <c r="D48" s="20"/>
      <c r="E48" s="9" t="str">
        <f>IFERROR(VLOOKUP(D48,'04_Master Karyawan'!$A$5:$F$50,2,FALSE),"")</f>
        <v/>
      </c>
      <c r="F48" s="20"/>
      <c r="G48" s="9" t="str">
        <f>IFERROR(VLOOKUP(F48,'05_Master KPI'!$B$5:$G$100,2,FALSE)&amp;" ("&amp;VLOOKUP(F48,'05_Master KPI'!$B$5:$G$100,3,FALSE)&amp;")","")</f>
        <v/>
      </c>
      <c r="H48" s="9">
        <f>IFERROR(IF(B48&lt;&gt;'06_Target KPI'!$B$3,0,IF(VLOOKUP(F48,'05_Master KPI'!$B$5:$G$100,6,FALSE)="Kumulatif",INDEX('06_Target KPI'!$E$5:$P$100,MATCH(F48,'06_Target KPI'!$B$5:$B$100,0),MATCH(A48,'06_Target KPI'!$E$4:$P$4,0))*DAY(C48)/DAY(EOMONTH(C48,0)),INDEX('06_Target KPI'!$E$5:$P$100,MATCH(F48,'06_Target KPI'!$B$5:$B$100,0),MATCH(A48,'06_Target KPI'!$E$4:$P$4,0)))),0)</f>
        <v>0</v>
      </c>
      <c r="I48" s="20"/>
      <c r="J48" s="22">
        <f>IFERROR(MIN(IF(VLOOKUP(F48,'05_Master KPI'!$B$5:$G$100,5,FALSE)="Lower",H48/I48,I48/H48),1),0)</f>
        <v>0</v>
      </c>
      <c r="K48" s="9">
        <f>IFERROR(VLOOKUP(F48,'05_Master KPI'!$B$5:$G$100,4,FALSE),0)</f>
        <v>0</v>
      </c>
      <c r="L48" s="23">
        <f t="shared" si="0"/>
        <v>0</v>
      </c>
      <c r="M48" s="9" t="str">
        <f>IF(D48="","",IF(J48&gt;='13_Setting'!$H$7,"Tercapai",IF(J48&gt;='13_Setting'!$H$6,"On Track","Tertinggal")))</f>
        <v/>
      </c>
      <c r="N48" s="20"/>
      <c r="O48" s="1"/>
      <c r="P48" s="1"/>
      <c r="Q48" s="1"/>
      <c r="R48" s="1"/>
      <c r="S48" s="1"/>
      <c r="T48" s="1"/>
      <c r="U48" s="1"/>
      <c r="V48" s="1"/>
      <c r="W48" s="1"/>
      <c r="X48" s="1"/>
      <c r="Y48" s="1"/>
      <c r="Z48" s="1"/>
    </row>
    <row r="49" spans="1:26">
      <c r="A49" s="20"/>
      <c r="B49" s="20"/>
      <c r="C49" s="21"/>
      <c r="D49" s="20"/>
      <c r="E49" s="9" t="str">
        <f>IFERROR(VLOOKUP(D49,'04_Master Karyawan'!$A$5:$F$50,2,FALSE),"")</f>
        <v/>
      </c>
      <c r="F49" s="20"/>
      <c r="G49" s="9" t="str">
        <f>IFERROR(VLOOKUP(F49,'05_Master KPI'!$B$5:$G$100,2,FALSE)&amp;" ("&amp;VLOOKUP(F49,'05_Master KPI'!$B$5:$G$100,3,FALSE)&amp;")","")</f>
        <v/>
      </c>
      <c r="H49" s="9">
        <f>IFERROR(IF(B49&lt;&gt;'06_Target KPI'!$B$3,0,IF(VLOOKUP(F49,'05_Master KPI'!$B$5:$G$100,6,FALSE)="Kumulatif",INDEX('06_Target KPI'!$E$5:$P$100,MATCH(F49,'06_Target KPI'!$B$5:$B$100,0),MATCH(A49,'06_Target KPI'!$E$4:$P$4,0))*DAY(C49)/DAY(EOMONTH(C49,0)),INDEX('06_Target KPI'!$E$5:$P$100,MATCH(F49,'06_Target KPI'!$B$5:$B$100,0),MATCH(A49,'06_Target KPI'!$E$4:$P$4,0)))),0)</f>
        <v>0</v>
      </c>
      <c r="I49" s="20"/>
      <c r="J49" s="22">
        <f>IFERROR(MIN(IF(VLOOKUP(F49,'05_Master KPI'!$B$5:$G$100,5,FALSE)="Lower",H49/I49,I49/H49),1),0)</f>
        <v>0</v>
      </c>
      <c r="K49" s="9">
        <f>IFERROR(VLOOKUP(F49,'05_Master KPI'!$B$5:$G$100,4,FALSE),0)</f>
        <v>0</v>
      </c>
      <c r="L49" s="23">
        <f t="shared" si="0"/>
        <v>0</v>
      </c>
      <c r="M49" s="9" t="str">
        <f>IF(D49="","",IF(J49&gt;='13_Setting'!$H$7,"Tercapai",IF(J49&gt;='13_Setting'!$H$6,"On Track","Tertinggal")))</f>
        <v/>
      </c>
      <c r="N49" s="20"/>
      <c r="O49" s="1"/>
      <c r="P49" s="1"/>
      <c r="Q49" s="1"/>
      <c r="R49" s="1"/>
      <c r="S49" s="1"/>
      <c r="T49" s="1"/>
      <c r="U49" s="1"/>
      <c r="V49" s="1"/>
      <c r="W49" s="1"/>
      <c r="X49" s="1"/>
      <c r="Y49" s="1"/>
      <c r="Z49" s="1"/>
    </row>
    <row r="50" spans="1:26">
      <c r="A50" s="20"/>
      <c r="B50" s="20"/>
      <c r="C50" s="21"/>
      <c r="D50" s="20"/>
      <c r="E50" s="9" t="str">
        <f>IFERROR(VLOOKUP(D50,'04_Master Karyawan'!$A$5:$F$50,2,FALSE),"")</f>
        <v/>
      </c>
      <c r="F50" s="20"/>
      <c r="G50" s="9" t="str">
        <f>IFERROR(VLOOKUP(F50,'05_Master KPI'!$B$5:$G$100,2,FALSE)&amp;" ("&amp;VLOOKUP(F50,'05_Master KPI'!$B$5:$G$100,3,FALSE)&amp;")","")</f>
        <v/>
      </c>
      <c r="H50" s="9">
        <f>IFERROR(IF(B50&lt;&gt;'06_Target KPI'!$B$3,0,IF(VLOOKUP(F50,'05_Master KPI'!$B$5:$G$100,6,FALSE)="Kumulatif",INDEX('06_Target KPI'!$E$5:$P$100,MATCH(F50,'06_Target KPI'!$B$5:$B$100,0),MATCH(A50,'06_Target KPI'!$E$4:$P$4,0))*DAY(C50)/DAY(EOMONTH(C50,0)),INDEX('06_Target KPI'!$E$5:$P$100,MATCH(F50,'06_Target KPI'!$B$5:$B$100,0),MATCH(A50,'06_Target KPI'!$E$4:$P$4,0)))),0)</f>
        <v>0</v>
      </c>
      <c r="I50" s="20"/>
      <c r="J50" s="22">
        <f>IFERROR(MIN(IF(VLOOKUP(F50,'05_Master KPI'!$B$5:$G$100,5,FALSE)="Lower",H50/I50,I50/H50),1),0)</f>
        <v>0</v>
      </c>
      <c r="K50" s="9">
        <f>IFERROR(VLOOKUP(F50,'05_Master KPI'!$B$5:$G$100,4,FALSE),0)</f>
        <v>0</v>
      </c>
      <c r="L50" s="23">
        <f t="shared" si="0"/>
        <v>0</v>
      </c>
      <c r="M50" s="9" t="str">
        <f>IF(D50="","",IF(J50&gt;='13_Setting'!$H$7,"Tercapai",IF(J50&gt;='13_Setting'!$H$6,"On Track","Tertinggal")))</f>
        <v/>
      </c>
      <c r="N50" s="20"/>
      <c r="O50" s="1"/>
      <c r="P50" s="1"/>
      <c r="Q50" s="1"/>
      <c r="R50" s="1"/>
      <c r="S50" s="1"/>
      <c r="T50" s="1"/>
      <c r="U50" s="1"/>
      <c r="V50" s="1"/>
      <c r="W50" s="1"/>
      <c r="X50" s="1"/>
      <c r="Y50" s="1"/>
      <c r="Z50" s="1"/>
    </row>
    <row r="51" spans="1:26">
      <c r="A51" s="20"/>
      <c r="B51" s="20"/>
      <c r="C51" s="21"/>
      <c r="D51" s="20"/>
      <c r="E51" s="9" t="str">
        <f>IFERROR(VLOOKUP(D51,'04_Master Karyawan'!$A$5:$F$50,2,FALSE),"")</f>
        <v/>
      </c>
      <c r="F51" s="20"/>
      <c r="G51" s="9" t="str">
        <f>IFERROR(VLOOKUP(F51,'05_Master KPI'!$B$5:$G$100,2,FALSE)&amp;" ("&amp;VLOOKUP(F51,'05_Master KPI'!$B$5:$G$100,3,FALSE)&amp;")","")</f>
        <v/>
      </c>
      <c r="H51" s="9">
        <f>IFERROR(IF(B51&lt;&gt;'06_Target KPI'!$B$3,0,IF(VLOOKUP(F51,'05_Master KPI'!$B$5:$G$100,6,FALSE)="Kumulatif",INDEX('06_Target KPI'!$E$5:$P$100,MATCH(F51,'06_Target KPI'!$B$5:$B$100,0),MATCH(A51,'06_Target KPI'!$E$4:$P$4,0))*DAY(C51)/DAY(EOMONTH(C51,0)),INDEX('06_Target KPI'!$E$5:$P$100,MATCH(F51,'06_Target KPI'!$B$5:$B$100,0),MATCH(A51,'06_Target KPI'!$E$4:$P$4,0)))),0)</f>
        <v>0</v>
      </c>
      <c r="I51" s="20"/>
      <c r="J51" s="22">
        <f>IFERROR(MIN(IF(VLOOKUP(F51,'05_Master KPI'!$B$5:$G$100,5,FALSE)="Lower",H51/I51,I51/H51),1),0)</f>
        <v>0</v>
      </c>
      <c r="K51" s="9">
        <f>IFERROR(VLOOKUP(F51,'05_Master KPI'!$B$5:$G$100,4,FALSE),0)</f>
        <v>0</v>
      </c>
      <c r="L51" s="23">
        <f t="shared" si="0"/>
        <v>0</v>
      </c>
      <c r="M51" s="9" t="str">
        <f>IF(D51="","",IF(J51&gt;='13_Setting'!$H$7,"Tercapai",IF(J51&gt;='13_Setting'!$H$6,"On Track","Tertinggal")))</f>
        <v/>
      </c>
      <c r="N51" s="20"/>
      <c r="O51" s="1"/>
      <c r="P51" s="1"/>
      <c r="Q51" s="1"/>
      <c r="R51" s="1"/>
      <c r="S51" s="1"/>
      <c r="T51" s="1"/>
      <c r="U51" s="1"/>
      <c r="V51" s="1"/>
      <c r="W51" s="1"/>
      <c r="X51" s="1"/>
      <c r="Y51" s="1"/>
      <c r="Z51" s="1"/>
    </row>
    <row r="52" spans="1:26">
      <c r="A52" s="20"/>
      <c r="B52" s="20"/>
      <c r="C52" s="21"/>
      <c r="D52" s="20"/>
      <c r="E52" s="9" t="str">
        <f>IFERROR(VLOOKUP(D52,'04_Master Karyawan'!$A$5:$F$50,2,FALSE),"")</f>
        <v/>
      </c>
      <c r="F52" s="20"/>
      <c r="G52" s="9" t="str">
        <f>IFERROR(VLOOKUP(F52,'05_Master KPI'!$B$5:$G$100,2,FALSE)&amp;" ("&amp;VLOOKUP(F52,'05_Master KPI'!$B$5:$G$100,3,FALSE)&amp;")","")</f>
        <v/>
      </c>
      <c r="H52" s="9">
        <f>IFERROR(IF(B52&lt;&gt;'06_Target KPI'!$B$3,0,IF(VLOOKUP(F52,'05_Master KPI'!$B$5:$G$100,6,FALSE)="Kumulatif",INDEX('06_Target KPI'!$E$5:$P$100,MATCH(F52,'06_Target KPI'!$B$5:$B$100,0),MATCH(A52,'06_Target KPI'!$E$4:$P$4,0))*DAY(C52)/DAY(EOMONTH(C52,0)),INDEX('06_Target KPI'!$E$5:$P$100,MATCH(F52,'06_Target KPI'!$B$5:$B$100,0),MATCH(A52,'06_Target KPI'!$E$4:$P$4,0)))),0)</f>
        <v>0</v>
      </c>
      <c r="I52" s="20"/>
      <c r="J52" s="22">
        <f>IFERROR(MIN(IF(VLOOKUP(F52,'05_Master KPI'!$B$5:$G$100,5,FALSE)="Lower",H52/I52,I52/H52),1),0)</f>
        <v>0</v>
      </c>
      <c r="K52" s="9">
        <f>IFERROR(VLOOKUP(F52,'05_Master KPI'!$B$5:$G$100,4,FALSE),0)</f>
        <v>0</v>
      </c>
      <c r="L52" s="23">
        <f t="shared" si="0"/>
        <v>0</v>
      </c>
      <c r="M52" s="9" t="str">
        <f>IF(D52="","",IF(J52&gt;='13_Setting'!$H$7,"Tercapai",IF(J52&gt;='13_Setting'!$H$6,"On Track","Tertinggal")))</f>
        <v/>
      </c>
      <c r="N52" s="20"/>
      <c r="O52" s="1"/>
      <c r="P52" s="1"/>
      <c r="Q52" s="1"/>
      <c r="R52" s="1"/>
      <c r="S52" s="1"/>
      <c r="T52" s="1"/>
      <c r="U52" s="1"/>
      <c r="V52" s="1"/>
      <c r="W52" s="1"/>
      <c r="X52" s="1"/>
      <c r="Y52" s="1"/>
      <c r="Z52" s="1"/>
    </row>
    <row r="53" spans="1:26">
      <c r="A53" s="20"/>
      <c r="B53" s="20"/>
      <c r="C53" s="21"/>
      <c r="D53" s="20"/>
      <c r="E53" s="9" t="str">
        <f>IFERROR(VLOOKUP(D53,'04_Master Karyawan'!$A$5:$F$50,2,FALSE),"")</f>
        <v/>
      </c>
      <c r="F53" s="20"/>
      <c r="G53" s="9" t="str">
        <f>IFERROR(VLOOKUP(F53,'05_Master KPI'!$B$5:$G$100,2,FALSE)&amp;" ("&amp;VLOOKUP(F53,'05_Master KPI'!$B$5:$G$100,3,FALSE)&amp;")","")</f>
        <v/>
      </c>
      <c r="H53" s="9">
        <f>IFERROR(IF(B53&lt;&gt;'06_Target KPI'!$B$3,0,IF(VLOOKUP(F53,'05_Master KPI'!$B$5:$G$100,6,FALSE)="Kumulatif",INDEX('06_Target KPI'!$E$5:$P$100,MATCH(F53,'06_Target KPI'!$B$5:$B$100,0),MATCH(A53,'06_Target KPI'!$E$4:$P$4,0))*DAY(C53)/DAY(EOMONTH(C53,0)),INDEX('06_Target KPI'!$E$5:$P$100,MATCH(F53,'06_Target KPI'!$B$5:$B$100,0),MATCH(A53,'06_Target KPI'!$E$4:$P$4,0)))),0)</f>
        <v>0</v>
      </c>
      <c r="I53" s="20"/>
      <c r="J53" s="22">
        <f>IFERROR(MIN(IF(VLOOKUP(F53,'05_Master KPI'!$B$5:$G$100,5,FALSE)="Lower",H53/I53,I53/H53),1),0)</f>
        <v>0</v>
      </c>
      <c r="K53" s="9">
        <f>IFERROR(VLOOKUP(F53,'05_Master KPI'!$B$5:$G$100,4,FALSE),0)</f>
        <v>0</v>
      </c>
      <c r="L53" s="23">
        <f t="shared" si="0"/>
        <v>0</v>
      </c>
      <c r="M53" s="9" t="str">
        <f>IF(D53="","",IF(J53&gt;='13_Setting'!$H$7,"Tercapai",IF(J53&gt;='13_Setting'!$H$6,"On Track","Tertinggal")))</f>
        <v/>
      </c>
      <c r="N53" s="20"/>
      <c r="O53" s="1"/>
      <c r="P53" s="1"/>
      <c r="Q53" s="1"/>
      <c r="R53" s="1"/>
      <c r="S53" s="1"/>
      <c r="T53" s="1"/>
      <c r="U53" s="1"/>
      <c r="V53" s="1"/>
      <c r="W53" s="1"/>
      <c r="X53" s="1"/>
      <c r="Y53" s="1"/>
      <c r="Z53" s="1"/>
    </row>
    <row r="54" spans="1:26">
      <c r="A54" s="20"/>
      <c r="B54" s="20"/>
      <c r="C54" s="21"/>
      <c r="D54" s="20"/>
      <c r="E54" s="9" t="str">
        <f>IFERROR(VLOOKUP(D54,'04_Master Karyawan'!$A$5:$F$50,2,FALSE),"")</f>
        <v/>
      </c>
      <c r="F54" s="20"/>
      <c r="G54" s="9" t="str">
        <f>IFERROR(VLOOKUP(F54,'05_Master KPI'!$B$5:$G$100,2,FALSE)&amp;" ("&amp;VLOOKUP(F54,'05_Master KPI'!$B$5:$G$100,3,FALSE)&amp;")","")</f>
        <v/>
      </c>
      <c r="H54" s="9">
        <f>IFERROR(IF(B54&lt;&gt;'06_Target KPI'!$B$3,0,IF(VLOOKUP(F54,'05_Master KPI'!$B$5:$G$100,6,FALSE)="Kumulatif",INDEX('06_Target KPI'!$E$5:$P$100,MATCH(F54,'06_Target KPI'!$B$5:$B$100,0),MATCH(A54,'06_Target KPI'!$E$4:$P$4,0))*DAY(C54)/DAY(EOMONTH(C54,0)),INDEX('06_Target KPI'!$E$5:$P$100,MATCH(F54,'06_Target KPI'!$B$5:$B$100,0),MATCH(A54,'06_Target KPI'!$E$4:$P$4,0)))),0)</f>
        <v>0</v>
      </c>
      <c r="I54" s="20"/>
      <c r="J54" s="22">
        <f>IFERROR(MIN(IF(VLOOKUP(F54,'05_Master KPI'!$B$5:$G$100,5,FALSE)="Lower",H54/I54,I54/H54),1),0)</f>
        <v>0</v>
      </c>
      <c r="K54" s="9">
        <f>IFERROR(VLOOKUP(F54,'05_Master KPI'!$B$5:$G$100,4,FALSE),0)</f>
        <v>0</v>
      </c>
      <c r="L54" s="23">
        <f t="shared" si="0"/>
        <v>0</v>
      </c>
      <c r="M54" s="9" t="str">
        <f>IF(D54="","",IF(J54&gt;='13_Setting'!$H$7,"Tercapai",IF(J54&gt;='13_Setting'!$H$6,"On Track","Tertinggal")))</f>
        <v/>
      </c>
      <c r="N54" s="20"/>
      <c r="O54" s="1"/>
      <c r="P54" s="1"/>
      <c r="Q54" s="1"/>
      <c r="R54" s="1"/>
      <c r="S54" s="1"/>
      <c r="T54" s="1"/>
      <c r="U54" s="1"/>
      <c r="V54" s="1"/>
      <c r="W54" s="1"/>
      <c r="X54" s="1"/>
      <c r="Y54" s="1"/>
      <c r="Z54" s="1"/>
    </row>
    <row r="55" spans="1:26">
      <c r="A55" s="20"/>
      <c r="B55" s="20"/>
      <c r="C55" s="21"/>
      <c r="D55" s="20"/>
      <c r="E55" s="9" t="str">
        <f>IFERROR(VLOOKUP(D55,'04_Master Karyawan'!$A$5:$F$50,2,FALSE),"")</f>
        <v/>
      </c>
      <c r="F55" s="20"/>
      <c r="G55" s="9" t="str">
        <f>IFERROR(VLOOKUP(F55,'05_Master KPI'!$B$5:$G$100,2,FALSE)&amp;" ("&amp;VLOOKUP(F55,'05_Master KPI'!$B$5:$G$100,3,FALSE)&amp;")","")</f>
        <v/>
      </c>
      <c r="H55" s="9">
        <f>IFERROR(IF(B55&lt;&gt;'06_Target KPI'!$B$3,0,IF(VLOOKUP(F55,'05_Master KPI'!$B$5:$G$100,6,FALSE)="Kumulatif",INDEX('06_Target KPI'!$E$5:$P$100,MATCH(F55,'06_Target KPI'!$B$5:$B$100,0),MATCH(A55,'06_Target KPI'!$E$4:$P$4,0))*DAY(C55)/DAY(EOMONTH(C55,0)),INDEX('06_Target KPI'!$E$5:$P$100,MATCH(F55,'06_Target KPI'!$B$5:$B$100,0),MATCH(A55,'06_Target KPI'!$E$4:$P$4,0)))),0)</f>
        <v>0</v>
      </c>
      <c r="I55" s="20"/>
      <c r="J55" s="22">
        <f>IFERROR(MIN(IF(VLOOKUP(F55,'05_Master KPI'!$B$5:$G$100,5,FALSE)="Lower",H55/I55,I55/H55),1),0)</f>
        <v>0</v>
      </c>
      <c r="K55" s="9">
        <f>IFERROR(VLOOKUP(F55,'05_Master KPI'!$B$5:$G$100,4,FALSE),0)</f>
        <v>0</v>
      </c>
      <c r="L55" s="23">
        <f t="shared" si="0"/>
        <v>0</v>
      </c>
      <c r="M55" s="9" t="str">
        <f>IF(D55="","",IF(J55&gt;='13_Setting'!$H$7,"Tercapai",IF(J55&gt;='13_Setting'!$H$6,"On Track","Tertinggal")))</f>
        <v/>
      </c>
      <c r="N55" s="20"/>
      <c r="O55" s="1"/>
      <c r="P55" s="1"/>
      <c r="Q55" s="1"/>
      <c r="R55" s="1"/>
      <c r="S55" s="1"/>
      <c r="T55" s="1"/>
      <c r="U55" s="1"/>
      <c r="V55" s="1"/>
      <c r="W55" s="1"/>
      <c r="X55" s="1"/>
      <c r="Y55" s="1"/>
      <c r="Z55" s="1"/>
    </row>
    <row r="56" spans="1:26">
      <c r="A56" s="20"/>
      <c r="B56" s="20"/>
      <c r="C56" s="21"/>
      <c r="D56" s="20"/>
      <c r="E56" s="9" t="str">
        <f>IFERROR(VLOOKUP(D56,'04_Master Karyawan'!$A$5:$F$50,2,FALSE),"")</f>
        <v/>
      </c>
      <c r="F56" s="20"/>
      <c r="G56" s="9" t="str">
        <f>IFERROR(VLOOKUP(F56,'05_Master KPI'!$B$5:$G$100,2,FALSE)&amp;" ("&amp;VLOOKUP(F56,'05_Master KPI'!$B$5:$G$100,3,FALSE)&amp;")","")</f>
        <v/>
      </c>
      <c r="H56" s="9">
        <f>IFERROR(IF(B56&lt;&gt;'06_Target KPI'!$B$3,0,IF(VLOOKUP(F56,'05_Master KPI'!$B$5:$G$100,6,FALSE)="Kumulatif",INDEX('06_Target KPI'!$E$5:$P$100,MATCH(F56,'06_Target KPI'!$B$5:$B$100,0),MATCH(A56,'06_Target KPI'!$E$4:$P$4,0))*DAY(C56)/DAY(EOMONTH(C56,0)),INDEX('06_Target KPI'!$E$5:$P$100,MATCH(F56,'06_Target KPI'!$B$5:$B$100,0),MATCH(A56,'06_Target KPI'!$E$4:$P$4,0)))),0)</f>
        <v>0</v>
      </c>
      <c r="I56" s="20"/>
      <c r="J56" s="22">
        <f>IFERROR(MIN(IF(VLOOKUP(F56,'05_Master KPI'!$B$5:$G$100,5,FALSE)="Lower",H56/I56,I56/H56),1),0)</f>
        <v>0</v>
      </c>
      <c r="K56" s="9">
        <f>IFERROR(VLOOKUP(F56,'05_Master KPI'!$B$5:$G$100,4,FALSE),0)</f>
        <v>0</v>
      </c>
      <c r="L56" s="23">
        <f t="shared" si="0"/>
        <v>0</v>
      </c>
      <c r="M56" s="9" t="str">
        <f>IF(D56="","",IF(J56&gt;='13_Setting'!$H$7,"Tercapai",IF(J56&gt;='13_Setting'!$H$6,"On Track","Tertinggal")))</f>
        <v/>
      </c>
      <c r="N56" s="20"/>
      <c r="O56" s="1"/>
      <c r="P56" s="1"/>
      <c r="Q56" s="1"/>
      <c r="R56" s="1"/>
      <c r="S56" s="1"/>
      <c r="T56" s="1"/>
      <c r="U56" s="1"/>
      <c r="V56" s="1"/>
      <c r="W56" s="1"/>
      <c r="X56" s="1"/>
      <c r="Y56" s="1"/>
      <c r="Z56" s="1"/>
    </row>
    <row r="57" spans="1:26">
      <c r="A57" s="20"/>
      <c r="B57" s="20"/>
      <c r="C57" s="21"/>
      <c r="D57" s="20"/>
      <c r="E57" s="9" t="str">
        <f>IFERROR(VLOOKUP(D57,'04_Master Karyawan'!$A$5:$F$50,2,FALSE),"")</f>
        <v/>
      </c>
      <c r="F57" s="20"/>
      <c r="G57" s="9" t="str">
        <f>IFERROR(VLOOKUP(F57,'05_Master KPI'!$B$5:$G$100,2,FALSE)&amp;" ("&amp;VLOOKUP(F57,'05_Master KPI'!$B$5:$G$100,3,FALSE)&amp;")","")</f>
        <v/>
      </c>
      <c r="H57" s="9">
        <f>IFERROR(IF(B57&lt;&gt;'06_Target KPI'!$B$3,0,IF(VLOOKUP(F57,'05_Master KPI'!$B$5:$G$100,6,FALSE)="Kumulatif",INDEX('06_Target KPI'!$E$5:$P$100,MATCH(F57,'06_Target KPI'!$B$5:$B$100,0),MATCH(A57,'06_Target KPI'!$E$4:$P$4,0))*DAY(C57)/DAY(EOMONTH(C57,0)),INDEX('06_Target KPI'!$E$5:$P$100,MATCH(F57,'06_Target KPI'!$B$5:$B$100,0),MATCH(A57,'06_Target KPI'!$E$4:$P$4,0)))),0)</f>
        <v>0</v>
      </c>
      <c r="I57" s="20"/>
      <c r="J57" s="22">
        <f>IFERROR(MIN(IF(VLOOKUP(F57,'05_Master KPI'!$B$5:$G$100,5,FALSE)="Lower",H57/I57,I57/H57),1),0)</f>
        <v>0</v>
      </c>
      <c r="K57" s="9">
        <f>IFERROR(VLOOKUP(F57,'05_Master KPI'!$B$5:$G$100,4,FALSE),0)</f>
        <v>0</v>
      </c>
      <c r="L57" s="23">
        <f t="shared" si="0"/>
        <v>0</v>
      </c>
      <c r="M57" s="9" t="str">
        <f>IF(D57="","",IF(J57&gt;='13_Setting'!$H$7,"Tercapai",IF(J57&gt;='13_Setting'!$H$6,"On Track","Tertinggal")))</f>
        <v/>
      </c>
      <c r="N57" s="20"/>
      <c r="O57" s="1"/>
      <c r="P57" s="1"/>
      <c r="Q57" s="1"/>
      <c r="R57" s="1"/>
      <c r="S57" s="1"/>
      <c r="T57" s="1"/>
      <c r="U57" s="1"/>
      <c r="V57" s="1"/>
      <c r="W57" s="1"/>
      <c r="X57" s="1"/>
      <c r="Y57" s="1"/>
      <c r="Z57" s="1"/>
    </row>
    <row r="58" spans="1:26">
      <c r="A58" s="20"/>
      <c r="B58" s="20"/>
      <c r="C58" s="21"/>
      <c r="D58" s="20"/>
      <c r="E58" s="9" t="str">
        <f>IFERROR(VLOOKUP(D58,'04_Master Karyawan'!$A$5:$F$50,2,FALSE),"")</f>
        <v/>
      </c>
      <c r="F58" s="20"/>
      <c r="G58" s="9" t="str">
        <f>IFERROR(VLOOKUP(F58,'05_Master KPI'!$B$5:$G$100,2,FALSE)&amp;" ("&amp;VLOOKUP(F58,'05_Master KPI'!$B$5:$G$100,3,FALSE)&amp;")","")</f>
        <v/>
      </c>
      <c r="H58" s="9">
        <f>IFERROR(IF(B58&lt;&gt;'06_Target KPI'!$B$3,0,IF(VLOOKUP(F58,'05_Master KPI'!$B$5:$G$100,6,FALSE)="Kumulatif",INDEX('06_Target KPI'!$E$5:$P$100,MATCH(F58,'06_Target KPI'!$B$5:$B$100,0),MATCH(A58,'06_Target KPI'!$E$4:$P$4,0))*DAY(C58)/DAY(EOMONTH(C58,0)),INDEX('06_Target KPI'!$E$5:$P$100,MATCH(F58,'06_Target KPI'!$B$5:$B$100,0),MATCH(A58,'06_Target KPI'!$E$4:$P$4,0)))),0)</f>
        <v>0</v>
      </c>
      <c r="I58" s="20"/>
      <c r="J58" s="22">
        <f>IFERROR(MIN(IF(VLOOKUP(F58,'05_Master KPI'!$B$5:$G$100,5,FALSE)="Lower",H58/I58,I58/H58),1),0)</f>
        <v>0</v>
      </c>
      <c r="K58" s="9">
        <f>IFERROR(VLOOKUP(F58,'05_Master KPI'!$B$5:$G$100,4,FALSE),0)</f>
        <v>0</v>
      </c>
      <c r="L58" s="23">
        <f t="shared" si="0"/>
        <v>0</v>
      </c>
      <c r="M58" s="9" t="str">
        <f>IF(D58="","",IF(J58&gt;='13_Setting'!$H$7,"Tercapai",IF(J58&gt;='13_Setting'!$H$6,"On Track","Tertinggal")))</f>
        <v/>
      </c>
      <c r="N58" s="20"/>
      <c r="O58" s="1"/>
      <c r="P58" s="1"/>
      <c r="Q58" s="1"/>
      <c r="R58" s="1"/>
      <c r="S58" s="1"/>
      <c r="T58" s="1"/>
      <c r="U58" s="1"/>
      <c r="V58" s="1"/>
      <c r="W58" s="1"/>
      <c r="X58" s="1"/>
      <c r="Y58" s="1"/>
      <c r="Z58" s="1"/>
    </row>
    <row r="59" spans="1:26">
      <c r="A59" s="20"/>
      <c r="B59" s="20"/>
      <c r="C59" s="21"/>
      <c r="D59" s="20"/>
      <c r="E59" s="9" t="str">
        <f>IFERROR(VLOOKUP(D59,'04_Master Karyawan'!$A$5:$F$50,2,FALSE),"")</f>
        <v/>
      </c>
      <c r="F59" s="20"/>
      <c r="G59" s="9" t="str">
        <f>IFERROR(VLOOKUP(F59,'05_Master KPI'!$B$5:$G$100,2,FALSE)&amp;" ("&amp;VLOOKUP(F59,'05_Master KPI'!$B$5:$G$100,3,FALSE)&amp;")","")</f>
        <v/>
      </c>
      <c r="H59" s="9">
        <f>IFERROR(IF(B59&lt;&gt;'06_Target KPI'!$B$3,0,IF(VLOOKUP(F59,'05_Master KPI'!$B$5:$G$100,6,FALSE)="Kumulatif",INDEX('06_Target KPI'!$E$5:$P$100,MATCH(F59,'06_Target KPI'!$B$5:$B$100,0),MATCH(A59,'06_Target KPI'!$E$4:$P$4,0))*DAY(C59)/DAY(EOMONTH(C59,0)),INDEX('06_Target KPI'!$E$5:$P$100,MATCH(F59,'06_Target KPI'!$B$5:$B$100,0),MATCH(A59,'06_Target KPI'!$E$4:$P$4,0)))),0)</f>
        <v>0</v>
      </c>
      <c r="I59" s="20"/>
      <c r="J59" s="22">
        <f>IFERROR(MIN(IF(VLOOKUP(F59,'05_Master KPI'!$B$5:$G$100,5,FALSE)="Lower",H59/I59,I59/H59),1),0)</f>
        <v>0</v>
      </c>
      <c r="K59" s="9">
        <f>IFERROR(VLOOKUP(F59,'05_Master KPI'!$B$5:$G$100,4,FALSE),0)</f>
        <v>0</v>
      </c>
      <c r="L59" s="23">
        <f t="shared" si="0"/>
        <v>0</v>
      </c>
      <c r="M59" s="9" t="str">
        <f>IF(D59="","",IF(J59&gt;='13_Setting'!$H$7,"Tercapai",IF(J59&gt;='13_Setting'!$H$6,"On Track","Tertinggal")))</f>
        <v/>
      </c>
      <c r="N59" s="20"/>
      <c r="O59" s="1"/>
      <c r="P59" s="1"/>
      <c r="Q59" s="1"/>
      <c r="R59" s="1"/>
      <c r="S59" s="1"/>
      <c r="T59" s="1"/>
      <c r="U59" s="1"/>
      <c r="V59" s="1"/>
      <c r="W59" s="1"/>
      <c r="X59" s="1"/>
      <c r="Y59" s="1"/>
      <c r="Z59" s="1"/>
    </row>
    <row r="60" spans="1:26">
      <c r="A60" s="20"/>
      <c r="B60" s="20"/>
      <c r="C60" s="21"/>
      <c r="D60" s="20"/>
      <c r="E60" s="9" t="str">
        <f>IFERROR(VLOOKUP(D60,'04_Master Karyawan'!$A$5:$F$50,2,FALSE),"")</f>
        <v/>
      </c>
      <c r="F60" s="20"/>
      <c r="G60" s="9" t="str">
        <f>IFERROR(VLOOKUP(F60,'05_Master KPI'!$B$5:$G$100,2,FALSE)&amp;" ("&amp;VLOOKUP(F60,'05_Master KPI'!$B$5:$G$100,3,FALSE)&amp;")","")</f>
        <v/>
      </c>
      <c r="H60" s="9">
        <f>IFERROR(IF(B60&lt;&gt;'06_Target KPI'!$B$3,0,IF(VLOOKUP(F60,'05_Master KPI'!$B$5:$G$100,6,FALSE)="Kumulatif",INDEX('06_Target KPI'!$E$5:$P$100,MATCH(F60,'06_Target KPI'!$B$5:$B$100,0),MATCH(A60,'06_Target KPI'!$E$4:$P$4,0))*DAY(C60)/DAY(EOMONTH(C60,0)),INDEX('06_Target KPI'!$E$5:$P$100,MATCH(F60,'06_Target KPI'!$B$5:$B$100,0),MATCH(A60,'06_Target KPI'!$E$4:$P$4,0)))),0)</f>
        <v>0</v>
      </c>
      <c r="I60" s="20"/>
      <c r="J60" s="22">
        <f>IFERROR(MIN(IF(VLOOKUP(F60,'05_Master KPI'!$B$5:$G$100,5,FALSE)="Lower",H60/I60,I60/H60),1),0)</f>
        <v>0</v>
      </c>
      <c r="K60" s="9">
        <f>IFERROR(VLOOKUP(F60,'05_Master KPI'!$B$5:$G$100,4,FALSE),0)</f>
        <v>0</v>
      </c>
      <c r="L60" s="23">
        <f t="shared" si="0"/>
        <v>0</v>
      </c>
      <c r="M60" s="9" t="str">
        <f>IF(D60="","",IF(J60&gt;='13_Setting'!$H$7,"Tercapai",IF(J60&gt;='13_Setting'!$H$6,"On Track","Tertinggal")))</f>
        <v/>
      </c>
      <c r="N60" s="20"/>
      <c r="O60" s="1"/>
      <c r="P60" s="1"/>
      <c r="Q60" s="1"/>
      <c r="R60" s="1"/>
      <c r="S60" s="1"/>
      <c r="T60" s="1"/>
      <c r="U60" s="1"/>
      <c r="V60" s="1"/>
      <c r="W60" s="1"/>
      <c r="X60" s="1"/>
      <c r="Y60" s="1"/>
      <c r="Z60" s="1"/>
    </row>
    <row r="61" spans="1:26">
      <c r="A61" s="20"/>
      <c r="B61" s="20"/>
      <c r="C61" s="21"/>
      <c r="D61" s="20"/>
      <c r="E61" s="9" t="str">
        <f>IFERROR(VLOOKUP(D61,'04_Master Karyawan'!$A$5:$F$50,2,FALSE),"")</f>
        <v/>
      </c>
      <c r="F61" s="20"/>
      <c r="G61" s="9" t="str">
        <f>IFERROR(VLOOKUP(F61,'05_Master KPI'!$B$5:$G$100,2,FALSE)&amp;" ("&amp;VLOOKUP(F61,'05_Master KPI'!$B$5:$G$100,3,FALSE)&amp;")","")</f>
        <v/>
      </c>
      <c r="H61" s="9">
        <f>IFERROR(IF(B61&lt;&gt;'06_Target KPI'!$B$3,0,IF(VLOOKUP(F61,'05_Master KPI'!$B$5:$G$100,6,FALSE)="Kumulatif",INDEX('06_Target KPI'!$E$5:$P$100,MATCH(F61,'06_Target KPI'!$B$5:$B$100,0),MATCH(A61,'06_Target KPI'!$E$4:$P$4,0))*DAY(C61)/DAY(EOMONTH(C61,0)),INDEX('06_Target KPI'!$E$5:$P$100,MATCH(F61,'06_Target KPI'!$B$5:$B$100,0),MATCH(A61,'06_Target KPI'!$E$4:$P$4,0)))),0)</f>
        <v>0</v>
      </c>
      <c r="I61" s="20"/>
      <c r="J61" s="22">
        <f>IFERROR(MIN(IF(VLOOKUP(F61,'05_Master KPI'!$B$5:$G$100,5,FALSE)="Lower",H61/I61,I61/H61),1),0)</f>
        <v>0</v>
      </c>
      <c r="K61" s="9">
        <f>IFERROR(VLOOKUP(F61,'05_Master KPI'!$B$5:$G$100,4,FALSE),0)</f>
        <v>0</v>
      </c>
      <c r="L61" s="23">
        <f t="shared" si="0"/>
        <v>0</v>
      </c>
      <c r="M61" s="9" t="str">
        <f>IF(D61="","",IF(J61&gt;='13_Setting'!$H$7,"Tercapai",IF(J61&gt;='13_Setting'!$H$6,"On Track","Tertinggal")))</f>
        <v/>
      </c>
      <c r="N61" s="20"/>
      <c r="O61" s="1"/>
      <c r="P61" s="1"/>
      <c r="Q61" s="1"/>
      <c r="R61" s="1"/>
      <c r="S61" s="1"/>
      <c r="T61" s="1"/>
      <c r="U61" s="1"/>
      <c r="V61" s="1"/>
      <c r="W61" s="1"/>
      <c r="X61" s="1"/>
      <c r="Y61" s="1"/>
      <c r="Z61" s="1"/>
    </row>
    <row r="62" spans="1:26">
      <c r="A62" s="20"/>
      <c r="B62" s="20"/>
      <c r="C62" s="21"/>
      <c r="D62" s="20"/>
      <c r="E62" s="9" t="str">
        <f>IFERROR(VLOOKUP(D62,'04_Master Karyawan'!$A$5:$F$50,2,FALSE),"")</f>
        <v/>
      </c>
      <c r="F62" s="20"/>
      <c r="G62" s="9" t="str">
        <f>IFERROR(VLOOKUP(F62,'05_Master KPI'!$B$5:$G$100,2,FALSE)&amp;" ("&amp;VLOOKUP(F62,'05_Master KPI'!$B$5:$G$100,3,FALSE)&amp;")","")</f>
        <v/>
      </c>
      <c r="H62" s="9">
        <f>IFERROR(IF(B62&lt;&gt;'06_Target KPI'!$B$3,0,IF(VLOOKUP(F62,'05_Master KPI'!$B$5:$G$100,6,FALSE)="Kumulatif",INDEX('06_Target KPI'!$E$5:$P$100,MATCH(F62,'06_Target KPI'!$B$5:$B$100,0),MATCH(A62,'06_Target KPI'!$E$4:$P$4,0))*DAY(C62)/DAY(EOMONTH(C62,0)),INDEX('06_Target KPI'!$E$5:$P$100,MATCH(F62,'06_Target KPI'!$B$5:$B$100,0),MATCH(A62,'06_Target KPI'!$E$4:$P$4,0)))),0)</f>
        <v>0</v>
      </c>
      <c r="I62" s="20"/>
      <c r="J62" s="22">
        <f>IFERROR(MIN(IF(VLOOKUP(F62,'05_Master KPI'!$B$5:$G$100,5,FALSE)="Lower",H62/I62,I62/H62),1),0)</f>
        <v>0</v>
      </c>
      <c r="K62" s="9">
        <f>IFERROR(VLOOKUP(F62,'05_Master KPI'!$B$5:$G$100,4,FALSE),0)</f>
        <v>0</v>
      </c>
      <c r="L62" s="23">
        <f t="shared" si="0"/>
        <v>0</v>
      </c>
      <c r="M62" s="9" t="str">
        <f>IF(D62="","",IF(J62&gt;='13_Setting'!$H$7,"Tercapai",IF(J62&gt;='13_Setting'!$H$6,"On Track","Tertinggal")))</f>
        <v/>
      </c>
      <c r="N62" s="20"/>
      <c r="O62" s="1"/>
      <c r="P62" s="1"/>
      <c r="Q62" s="1"/>
      <c r="R62" s="1"/>
      <c r="S62" s="1"/>
      <c r="T62" s="1"/>
      <c r="U62" s="1"/>
      <c r="V62" s="1"/>
      <c r="W62" s="1"/>
      <c r="X62" s="1"/>
      <c r="Y62" s="1"/>
      <c r="Z62" s="1"/>
    </row>
    <row r="63" spans="1:26">
      <c r="A63" s="20"/>
      <c r="B63" s="20"/>
      <c r="C63" s="21"/>
      <c r="D63" s="20"/>
      <c r="E63" s="9" t="str">
        <f>IFERROR(VLOOKUP(D63,'04_Master Karyawan'!$A$5:$F$50,2,FALSE),"")</f>
        <v/>
      </c>
      <c r="F63" s="20"/>
      <c r="G63" s="9" t="str">
        <f>IFERROR(VLOOKUP(F63,'05_Master KPI'!$B$5:$G$100,2,FALSE)&amp;" ("&amp;VLOOKUP(F63,'05_Master KPI'!$B$5:$G$100,3,FALSE)&amp;")","")</f>
        <v/>
      </c>
      <c r="H63" s="9">
        <f>IFERROR(IF(B63&lt;&gt;'06_Target KPI'!$B$3,0,IF(VLOOKUP(F63,'05_Master KPI'!$B$5:$G$100,6,FALSE)="Kumulatif",INDEX('06_Target KPI'!$E$5:$P$100,MATCH(F63,'06_Target KPI'!$B$5:$B$100,0),MATCH(A63,'06_Target KPI'!$E$4:$P$4,0))*DAY(C63)/DAY(EOMONTH(C63,0)),INDEX('06_Target KPI'!$E$5:$P$100,MATCH(F63,'06_Target KPI'!$B$5:$B$100,0),MATCH(A63,'06_Target KPI'!$E$4:$P$4,0)))),0)</f>
        <v>0</v>
      </c>
      <c r="I63" s="20"/>
      <c r="J63" s="22">
        <f>IFERROR(MIN(IF(VLOOKUP(F63,'05_Master KPI'!$B$5:$G$100,5,FALSE)="Lower",H63/I63,I63/H63),1),0)</f>
        <v>0</v>
      </c>
      <c r="K63" s="9">
        <f>IFERROR(VLOOKUP(F63,'05_Master KPI'!$B$5:$G$100,4,FALSE),0)</f>
        <v>0</v>
      </c>
      <c r="L63" s="23">
        <f t="shared" si="0"/>
        <v>0</v>
      </c>
      <c r="M63" s="9" t="str">
        <f>IF(D63="","",IF(J63&gt;='13_Setting'!$H$7,"Tercapai",IF(J63&gt;='13_Setting'!$H$6,"On Track","Tertinggal")))</f>
        <v/>
      </c>
      <c r="N63" s="20"/>
      <c r="O63" s="1"/>
      <c r="P63" s="1"/>
      <c r="Q63" s="1"/>
      <c r="R63" s="1"/>
      <c r="S63" s="1"/>
      <c r="T63" s="1"/>
      <c r="U63" s="1"/>
      <c r="V63" s="1"/>
      <c r="W63" s="1"/>
      <c r="X63" s="1"/>
      <c r="Y63" s="1"/>
      <c r="Z63" s="1"/>
    </row>
    <row r="64" spans="1:26">
      <c r="A64" s="20"/>
      <c r="B64" s="20"/>
      <c r="C64" s="21"/>
      <c r="D64" s="20"/>
      <c r="E64" s="9" t="str">
        <f>IFERROR(VLOOKUP(D64,'04_Master Karyawan'!$A$5:$F$50,2,FALSE),"")</f>
        <v/>
      </c>
      <c r="F64" s="20"/>
      <c r="G64" s="9" t="str">
        <f>IFERROR(VLOOKUP(F64,'05_Master KPI'!$B$5:$G$100,2,FALSE)&amp;" ("&amp;VLOOKUP(F64,'05_Master KPI'!$B$5:$G$100,3,FALSE)&amp;")","")</f>
        <v/>
      </c>
      <c r="H64" s="9">
        <f>IFERROR(IF(B64&lt;&gt;'06_Target KPI'!$B$3,0,IF(VLOOKUP(F64,'05_Master KPI'!$B$5:$G$100,6,FALSE)="Kumulatif",INDEX('06_Target KPI'!$E$5:$P$100,MATCH(F64,'06_Target KPI'!$B$5:$B$100,0),MATCH(A64,'06_Target KPI'!$E$4:$P$4,0))*DAY(C64)/DAY(EOMONTH(C64,0)),INDEX('06_Target KPI'!$E$5:$P$100,MATCH(F64,'06_Target KPI'!$B$5:$B$100,0),MATCH(A64,'06_Target KPI'!$E$4:$P$4,0)))),0)</f>
        <v>0</v>
      </c>
      <c r="I64" s="20"/>
      <c r="J64" s="22">
        <f>IFERROR(MIN(IF(VLOOKUP(F64,'05_Master KPI'!$B$5:$G$100,5,FALSE)="Lower",H64/I64,I64/H64),1),0)</f>
        <v>0</v>
      </c>
      <c r="K64" s="9">
        <f>IFERROR(VLOOKUP(F64,'05_Master KPI'!$B$5:$G$100,4,FALSE),0)</f>
        <v>0</v>
      </c>
      <c r="L64" s="23">
        <f t="shared" si="0"/>
        <v>0</v>
      </c>
      <c r="M64" s="9" t="str">
        <f>IF(D64="","",IF(J64&gt;='13_Setting'!$H$7,"Tercapai",IF(J64&gt;='13_Setting'!$H$6,"On Track","Tertinggal")))</f>
        <v/>
      </c>
      <c r="N64" s="20"/>
      <c r="O64" s="1"/>
      <c r="P64" s="1"/>
      <c r="Q64" s="1"/>
      <c r="R64" s="1"/>
      <c r="S64" s="1"/>
      <c r="T64" s="1"/>
      <c r="U64" s="1"/>
      <c r="V64" s="1"/>
      <c r="W64" s="1"/>
      <c r="X64" s="1"/>
      <c r="Y64" s="1"/>
      <c r="Z64" s="1"/>
    </row>
    <row r="65" spans="1:26">
      <c r="A65" s="20"/>
      <c r="B65" s="20"/>
      <c r="C65" s="21"/>
      <c r="D65" s="20"/>
      <c r="E65" s="9" t="str">
        <f>IFERROR(VLOOKUP(D65,'04_Master Karyawan'!$A$5:$F$50,2,FALSE),"")</f>
        <v/>
      </c>
      <c r="F65" s="20"/>
      <c r="G65" s="9" t="str">
        <f>IFERROR(VLOOKUP(F65,'05_Master KPI'!$B$5:$G$100,2,FALSE)&amp;" ("&amp;VLOOKUP(F65,'05_Master KPI'!$B$5:$G$100,3,FALSE)&amp;")","")</f>
        <v/>
      </c>
      <c r="H65" s="9">
        <f>IFERROR(IF(B65&lt;&gt;'06_Target KPI'!$B$3,0,IF(VLOOKUP(F65,'05_Master KPI'!$B$5:$G$100,6,FALSE)="Kumulatif",INDEX('06_Target KPI'!$E$5:$P$100,MATCH(F65,'06_Target KPI'!$B$5:$B$100,0),MATCH(A65,'06_Target KPI'!$E$4:$P$4,0))*DAY(C65)/DAY(EOMONTH(C65,0)),INDEX('06_Target KPI'!$E$5:$P$100,MATCH(F65,'06_Target KPI'!$B$5:$B$100,0),MATCH(A65,'06_Target KPI'!$E$4:$P$4,0)))),0)</f>
        <v>0</v>
      </c>
      <c r="I65" s="20"/>
      <c r="J65" s="22">
        <f>IFERROR(MIN(IF(VLOOKUP(F65,'05_Master KPI'!$B$5:$G$100,5,FALSE)="Lower",H65/I65,I65/H65),1),0)</f>
        <v>0</v>
      </c>
      <c r="K65" s="9">
        <f>IFERROR(VLOOKUP(F65,'05_Master KPI'!$B$5:$G$100,4,FALSE),0)</f>
        <v>0</v>
      </c>
      <c r="L65" s="23">
        <f t="shared" si="0"/>
        <v>0</v>
      </c>
      <c r="M65" s="9" t="str">
        <f>IF(D65="","",IF(J65&gt;='13_Setting'!$H$7,"Tercapai",IF(J65&gt;='13_Setting'!$H$6,"On Track","Tertinggal")))</f>
        <v/>
      </c>
      <c r="N65" s="20"/>
      <c r="O65" s="1"/>
      <c r="P65" s="1"/>
      <c r="Q65" s="1"/>
      <c r="R65" s="1"/>
      <c r="S65" s="1"/>
      <c r="T65" s="1"/>
      <c r="U65" s="1"/>
      <c r="V65" s="1"/>
      <c r="W65" s="1"/>
      <c r="X65" s="1"/>
      <c r="Y65" s="1"/>
      <c r="Z65" s="1"/>
    </row>
    <row r="66" spans="1:26">
      <c r="A66" s="20"/>
      <c r="B66" s="20"/>
      <c r="C66" s="21"/>
      <c r="D66" s="20"/>
      <c r="E66" s="9" t="str">
        <f>IFERROR(VLOOKUP(D66,'04_Master Karyawan'!$A$5:$F$50,2,FALSE),"")</f>
        <v/>
      </c>
      <c r="F66" s="20"/>
      <c r="G66" s="9" t="str">
        <f>IFERROR(VLOOKUP(F66,'05_Master KPI'!$B$5:$G$100,2,FALSE)&amp;" ("&amp;VLOOKUP(F66,'05_Master KPI'!$B$5:$G$100,3,FALSE)&amp;")","")</f>
        <v/>
      </c>
      <c r="H66" s="9">
        <f>IFERROR(IF(B66&lt;&gt;'06_Target KPI'!$B$3,0,IF(VLOOKUP(F66,'05_Master KPI'!$B$5:$G$100,6,FALSE)="Kumulatif",INDEX('06_Target KPI'!$E$5:$P$100,MATCH(F66,'06_Target KPI'!$B$5:$B$100,0),MATCH(A66,'06_Target KPI'!$E$4:$P$4,0))*DAY(C66)/DAY(EOMONTH(C66,0)),INDEX('06_Target KPI'!$E$5:$P$100,MATCH(F66,'06_Target KPI'!$B$5:$B$100,0),MATCH(A66,'06_Target KPI'!$E$4:$P$4,0)))),0)</f>
        <v>0</v>
      </c>
      <c r="I66" s="20"/>
      <c r="J66" s="22">
        <f>IFERROR(MIN(IF(VLOOKUP(F66,'05_Master KPI'!$B$5:$G$100,5,FALSE)="Lower",H66/I66,I66/H66),1),0)</f>
        <v>0</v>
      </c>
      <c r="K66" s="9">
        <f>IFERROR(VLOOKUP(F66,'05_Master KPI'!$B$5:$G$100,4,FALSE),0)</f>
        <v>0</v>
      </c>
      <c r="L66" s="23">
        <f t="shared" si="0"/>
        <v>0</v>
      </c>
      <c r="M66" s="9" t="str">
        <f>IF(D66="","",IF(J66&gt;='13_Setting'!$H$7,"Tercapai",IF(J66&gt;='13_Setting'!$H$6,"On Track","Tertinggal")))</f>
        <v/>
      </c>
      <c r="N66" s="20"/>
      <c r="O66" s="1"/>
      <c r="P66" s="1"/>
      <c r="Q66" s="1"/>
      <c r="R66" s="1"/>
      <c r="S66" s="1"/>
      <c r="T66" s="1"/>
      <c r="U66" s="1"/>
      <c r="V66" s="1"/>
      <c r="W66" s="1"/>
      <c r="X66" s="1"/>
      <c r="Y66" s="1"/>
      <c r="Z66" s="1"/>
    </row>
    <row r="67" spans="1:26">
      <c r="A67" s="20"/>
      <c r="B67" s="20"/>
      <c r="C67" s="21"/>
      <c r="D67" s="20"/>
      <c r="E67" s="9" t="str">
        <f>IFERROR(VLOOKUP(D67,'04_Master Karyawan'!$A$5:$F$50,2,FALSE),"")</f>
        <v/>
      </c>
      <c r="F67" s="20"/>
      <c r="G67" s="9" t="str">
        <f>IFERROR(VLOOKUP(F67,'05_Master KPI'!$B$5:$G$100,2,FALSE)&amp;" ("&amp;VLOOKUP(F67,'05_Master KPI'!$B$5:$G$100,3,FALSE)&amp;")","")</f>
        <v/>
      </c>
      <c r="H67" s="9">
        <f>IFERROR(IF(B67&lt;&gt;'06_Target KPI'!$B$3,0,IF(VLOOKUP(F67,'05_Master KPI'!$B$5:$G$100,6,FALSE)="Kumulatif",INDEX('06_Target KPI'!$E$5:$P$100,MATCH(F67,'06_Target KPI'!$B$5:$B$100,0),MATCH(A67,'06_Target KPI'!$E$4:$P$4,0))*DAY(C67)/DAY(EOMONTH(C67,0)),INDEX('06_Target KPI'!$E$5:$P$100,MATCH(F67,'06_Target KPI'!$B$5:$B$100,0),MATCH(A67,'06_Target KPI'!$E$4:$P$4,0)))),0)</f>
        <v>0</v>
      </c>
      <c r="I67" s="20"/>
      <c r="J67" s="22">
        <f>IFERROR(MIN(IF(VLOOKUP(F67,'05_Master KPI'!$B$5:$G$100,5,FALSE)="Lower",H67/I67,I67/H67),1),0)</f>
        <v>0</v>
      </c>
      <c r="K67" s="9">
        <f>IFERROR(VLOOKUP(F67,'05_Master KPI'!$B$5:$G$100,4,FALSE),0)</f>
        <v>0</v>
      </c>
      <c r="L67" s="23">
        <f t="shared" si="0"/>
        <v>0</v>
      </c>
      <c r="M67" s="9" t="str">
        <f>IF(D67="","",IF(J67&gt;='13_Setting'!$H$7,"Tercapai",IF(J67&gt;='13_Setting'!$H$6,"On Track","Tertinggal")))</f>
        <v/>
      </c>
      <c r="N67" s="20"/>
      <c r="O67" s="1"/>
      <c r="P67" s="1"/>
      <c r="Q67" s="1"/>
      <c r="R67" s="1"/>
      <c r="S67" s="1"/>
      <c r="T67" s="1"/>
      <c r="U67" s="1"/>
      <c r="V67" s="1"/>
      <c r="W67" s="1"/>
      <c r="X67" s="1"/>
      <c r="Y67" s="1"/>
      <c r="Z67" s="1"/>
    </row>
    <row r="68" spans="1:26">
      <c r="A68" s="20"/>
      <c r="B68" s="20"/>
      <c r="C68" s="21"/>
      <c r="D68" s="20"/>
      <c r="E68" s="9" t="str">
        <f>IFERROR(VLOOKUP(D68,'04_Master Karyawan'!$A$5:$F$50,2,FALSE),"")</f>
        <v/>
      </c>
      <c r="F68" s="20"/>
      <c r="G68" s="9" t="str">
        <f>IFERROR(VLOOKUP(F68,'05_Master KPI'!$B$5:$G$100,2,FALSE)&amp;" ("&amp;VLOOKUP(F68,'05_Master KPI'!$B$5:$G$100,3,FALSE)&amp;")","")</f>
        <v/>
      </c>
      <c r="H68" s="9">
        <f>IFERROR(IF(B68&lt;&gt;'06_Target KPI'!$B$3,0,IF(VLOOKUP(F68,'05_Master KPI'!$B$5:$G$100,6,FALSE)="Kumulatif",INDEX('06_Target KPI'!$E$5:$P$100,MATCH(F68,'06_Target KPI'!$B$5:$B$100,0),MATCH(A68,'06_Target KPI'!$E$4:$P$4,0))*DAY(C68)/DAY(EOMONTH(C68,0)),INDEX('06_Target KPI'!$E$5:$P$100,MATCH(F68,'06_Target KPI'!$B$5:$B$100,0),MATCH(A68,'06_Target KPI'!$E$4:$P$4,0)))),0)</f>
        <v>0</v>
      </c>
      <c r="I68" s="20"/>
      <c r="J68" s="22">
        <f>IFERROR(MIN(IF(VLOOKUP(F68,'05_Master KPI'!$B$5:$G$100,5,FALSE)="Lower",H68/I68,I68/H68),1),0)</f>
        <v>0</v>
      </c>
      <c r="K68" s="9">
        <f>IFERROR(VLOOKUP(F68,'05_Master KPI'!$B$5:$G$100,4,FALSE),0)</f>
        <v>0</v>
      </c>
      <c r="L68" s="23">
        <f t="shared" si="0"/>
        <v>0</v>
      </c>
      <c r="M68" s="9" t="str">
        <f>IF(D68="","",IF(J68&gt;='13_Setting'!$H$7,"Tercapai",IF(J68&gt;='13_Setting'!$H$6,"On Track","Tertinggal")))</f>
        <v/>
      </c>
      <c r="N68" s="20"/>
      <c r="O68" s="1"/>
      <c r="P68" s="1"/>
      <c r="Q68" s="1"/>
      <c r="R68" s="1"/>
      <c r="S68" s="1"/>
      <c r="T68" s="1"/>
      <c r="U68" s="1"/>
      <c r="V68" s="1"/>
      <c r="W68" s="1"/>
      <c r="X68" s="1"/>
      <c r="Y68" s="1"/>
      <c r="Z68" s="1"/>
    </row>
    <row r="69" spans="1:26">
      <c r="A69" s="20"/>
      <c r="B69" s="20"/>
      <c r="C69" s="21"/>
      <c r="D69" s="20"/>
      <c r="E69" s="9" t="str">
        <f>IFERROR(VLOOKUP(D69,'04_Master Karyawan'!$A$5:$F$50,2,FALSE),"")</f>
        <v/>
      </c>
      <c r="F69" s="20"/>
      <c r="G69" s="9" t="str">
        <f>IFERROR(VLOOKUP(F69,'05_Master KPI'!$B$5:$G$100,2,FALSE)&amp;" ("&amp;VLOOKUP(F69,'05_Master KPI'!$B$5:$G$100,3,FALSE)&amp;")","")</f>
        <v/>
      </c>
      <c r="H69" s="9">
        <f>IFERROR(IF(B69&lt;&gt;'06_Target KPI'!$B$3,0,IF(VLOOKUP(F69,'05_Master KPI'!$B$5:$G$100,6,FALSE)="Kumulatif",INDEX('06_Target KPI'!$E$5:$P$100,MATCH(F69,'06_Target KPI'!$B$5:$B$100,0),MATCH(A69,'06_Target KPI'!$E$4:$P$4,0))*DAY(C69)/DAY(EOMONTH(C69,0)),INDEX('06_Target KPI'!$E$5:$P$100,MATCH(F69,'06_Target KPI'!$B$5:$B$100,0),MATCH(A69,'06_Target KPI'!$E$4:$P$4,0)))),0)</f>
        <v>0</v>
      </c>
      <c r="I69" s="20"/>
      <c r="J69" s="22">
        <f>IFERROR(MIN(IF(VLOOKUP(F69,'05_Master KPI'!$B$5:$G$100,5,FALSE)="Lower",H69/I69,I69/H69),1),0)</f>
        <v>0</v>
      </c>
      <c r="K69" s="9">
        <f>IFERROR(VLOOKUP(F69,'05_Master KPI'!$B$5:$G$100,4,FALSE),0)</f>
        <v>0</v>
      </c>
      <c r="L69" s="23">
        <f t="shared" ref="L69:L132" si="1">J69*K69</f>
        <v>0</v>
      </c>
      <c r="M69" s="9" t="str">
        <f>IF(D69="","",IF(J69&gt;='13_Setting'!$H$7,"Tercapai",IF(J69&gt;='13_Setting'!$H$6,"On Track","Tertinggal")))</f>
        <v/>
      </c>
      <c r="N69" s="20"/>
      <c r="O69" s="1"/>
      <c r="P69" s="1"/>
      <c r="Q69" s="1"/>
      <c r="R69" s="1"/>
      <c r="S69" s="1"/>
      <c r="T69" s="1"/>
      <c r="U69" s="1"/>
      <c r="V69" s="1"/>
      <c r="W69" s="1"/>
      <c r="X69" s="1"/>
      <c r="Y69" s="1"/>
      <c r="Z69" s="1"/>
    </row>
    <row r="70" spans="1:26">
      <c r="A70" s="20"/>
      <c r="B70" s="20"/>
      <c r="C70" s="21"/>
      <c r="D70" s="20"/>
      <c r="E70" s="9" t="str">
        <f>IFERROR(VLOOKUP(D70,'04_Master Karyawan'!$A$5:$F$50,2,FALSE),"")</f>
        <v/>
      </c>
      <c r="F70" s="20"/>
      <c r="G70" s="9" t="str">
        <f>IFERROR(VLOOKUP(F70,'05_Master KPI'!$B$5:$G$100,2,FALSE)&amp;" ("&amp;VLOOKUP(F70,'05_Master KPI'!$B$5:$G$100,3,FALSE)&amp;")","")</f>
        <v/>
      </c>
      <c r="H70" s="9">
        <f>IFERROR(IF(B70&lt;&gt;'06_Target KPI'!$B$3,0,IF(VLOOKUP(F70,'05_Master KPI'!$B$5:$G$100,6,FALSE)="Kumulatif",INDEX('06_Target KPI'!$E$5:$P$100,MATCH(F70,'06_Target KPI'!$B$5:$B$100,0),MATCH(A70,'06_Target KPI'!$E$4:$P$4,0))*DAY(C70)/DAY(EOMONTH(C70,0)),INDEX('06_Target KPI'!$E$5:$P$100,MATCH(F70,'06_Target KPI'!$B$5:$B$100,0),MATCH(A70,'06_Target KPI'!$E$4:$P$4,0)))),0)</f>
        <v>0</v>
      </c>
      <c r="I70" s="20"/>
      <c r="J70" s="22">
        <f>IFERROR(MIN(IF(VLOOKUP(F70,'05_Master KPI'!$B$5:$G$100,5,FALSE)="Lower",H70/I70,I70/H70),1),0)</f>
        <v>0</v>
      </c>
      <c r="K70" s="9">
        <f>IFERROR(VLOOKUP(F70,'05_Master KPI'!$B$5:$G$100,4,FALSE),0)</f>
        <v>0</v>
      </c>
      <c r="L70" s="23">
        <f t="shared" si="1"/>
        <v>0</v>
      </c>
      <c r="M70" s="9" t="str">
        <f>IF(D70="","",IF(J70&gt;='13_Setting'!$H$7,"Tercapai",IF(J70&gt;='13_Setting'!$H$6,"On Track","Tertinggal")))</f>
        <v/>
      </c>
      <c r="N70" s="20"/>
      <c r="O70" s="1"/>
      <c r="P70" s="1"/>
      <c r="Q70" s="1"/>
      <c r="R70" s="1"/>
      <c r="S70" s="1"/>
      <c r="T70" s="1"/>
      <c r="U70" s="1"/>
      <c r="V70" s="1"/>
      <c r="W70" s="1"/>
      <c r="X70" s="1"/>
      <c r="Y70" s="1"/>
      <c r="Z70" s="1"/>
    </row>
    <row r="71" spans="1:26">
      <c r="A71" s="20"/>
      <c r="B71" s="20"/>
      <c r="C71" s="21"/>
      <c r="D71" s="20"/>
      <c r="E71" s="9" t="str">
        <f>IFERROR(VLOOKUP(D71,'04_Master Karyawan'!$A$5:$F$50,2,FALSE),"")</f>
        <v/>
      </c>
      <c r="F71" s="20"/>
      <c r="G71" s="9" t="str">
        <f>IFERROR(VLOOKUP(F71,'05_Master KPI'!$B$5:$G$100,2,FALSE)&amp;" ("&amp;VLOOKUP(F71,'05_Master KPI'!$B$5:$G$100,3,FALSE)&amp;")","")</f>
        <v/>
      </c>
      <c r="H71" s="9">
        <f>IFERROR(IF(B71&lt;&gt;'06_Target KPI'!$B$3,0,IF(VLOOKUP(F71,'05_Master KPI'!$B$5:$G$100,6,FALSE)="Kumulatif",INDEX('06_Target KPI'!$E$5:$P$100,MATCH(F71,'06_Target KPI'!$B$5:$B$100,0),MATCH(A71,'06_Target KPI'!$E$4:$P$4,0))*DAY(C71)/DAY(EOMONTH(C71,0)),INDEX('06_Target KPI'!$E$5:$P$100,MATCH(F71,'06_Target KPI'!$B$5:$B$100,0),MATCH(A71,'06_Target KPI'!$E$4:$P$4,0)))),0)</f>
        <v>0</v>
      </c>
      <c r="I71" s="20"/>
      <c r="J71" s="22">
        <f>IFERROR(MIN(IF(VLOOKUP(F71,'05_Master KPI'!$B$5:$G$100,5,FALSE)="Lower",H71/I71,I71/H71),1),0)</f>
        <v>0</v>
      </c>
      <c r="K71" s="9">
        <f>IFERROR(VLOOKUP(F71,'05_Master KPI'!$B$5:$G$100,4,FALSE),0)</f>
        <v>0</v>
      </c>
      <c r="L71" s="23">
        <f t="shared" si="1"/>
        <v>0</v>
      </c>
      <c r="M71" s="9" t="str">
        <f>IF(D71="","",IF(J71&gt;='13_Setting'!$H$7,"Tercapai",IF(J71&gt;='13_Setting'!$H$6,"On Track","Tertinggal")))</f>
        <v/>
      </c>
      <c r="N71" s="20"/>
      <c r="O71" s="1"/>
      <c r="P71" s="1"/>
      <c r="Q71" s="1"/>
      <c r="R71" s="1"/>
      <c r="S71" s="1"/>
      <c r="T71" s="1"/>
      <c r="U71" s="1"/>
      <c r="V71" s="1"/>
      <c r="W71" s="1"/>
      <c r="X71" s="1"/>
      <c r="Y71" s="1"/>
      <c r="Z71" s="1"/>
    </row>
    <row r="72" spans="1:26">
      <c r="A72" s="20"/>
      <c r="B72" s="20"/>
      <c r="C72" s="21"/>
      <c r="D72" s="20"/>
      <c r="E72" s="9" t="str">
        <f>IFERROR(VLOOKUP(D72,'04_Master Karyawan'!$A$5:$F$50,2,FALSE),"")</f>
        <v/>
      </c>
      <c r="F72" s="20"/>
      <c r="G72" s="9" t="str">
        <f>IFERROR(VLOOKUP(F72,'05_Master KPI'!$B$5:$G$100,2,FALSE)&amp;" ("&amp;VLOOKUP(F72,'05_Master KPI'!$B$5:$G$100,3,FALSE)&amp;")","")</f>
        <v/>
      </c>
      <c r="H72" s="9">
        <f>IFERROR(IF(B72&lt;&gt;'06_Target KPI'!$B$3,0,IF(VLOOKUP(F72,'05_Master KPI'!$B$5:$G$100,6,FALSE)="Kumulatif",INDEX('06_Target KPI'!$E$5:$P$100,MATCH(F72,'06_Target KPI'!$B$5:$B$100,0),MATCH(A72,'06_Target KPI'!$E$4:$P$4,0))*DAY(C72)/DAY(EOMONTH(C72,0)),INDEX('06_Target KPI'!$E$5:$P$100,MATCH(F72,'06_Target KPI'!$B$5:$B$100,0),MATCH(A72,'06_Target KPI'!$E$4:$P$4,0)))),0)</f>
        <v>0</v>
      </c>
      <c r="I72" s="20"/>
      <c r="J72" s="22">
        <f>IFERROR(MIN(IF(VLOOKUP(F72,'05_Master KPI'!$B$5:$G$100,5,FALSE)="Lower",H72/I72,I72/H72),1),0)</f>
        <v>0</v>
      </c>
      <c r="K72" s="9">
        <f>IFERROR(VLOOKUP(F72,'05_Master KPI'!$B$5:$G$100,4,FALSE),0)</f>
        <v>0</v>
      </c>
      <c r="L72" s="23">
        <f t="shared" si="1"/>
        <v>0</v>
      </c>
      <c r="M72" s="9" t="str">
        <f>IF(D72="","",IF(J72&gt;='13_Setting'!$H$7,"Tercapai",IF(J72&gt;='13_Setting'!$H$6,"On Track","Tertinggal")))</f>
        <v/>
      </c>
      <c r="N72" s="20"/>
      <c r="O72" s="1"/>
      <c r="P72" s="1"/>
      <c r="Q72" s="1"/>
      <c r="R72" s="1"/>
      <c r="S72" s="1"/>
      <c r="T72" s="1"/>
      <c r="U72" s="1"/>
      <c r="V72" s="1"/>
      <c r="W72" s="1"/>
      <c r="X72" s="1"/>
      <c r="Y72" s="1"/>
      <c r="Z72" s="1"/>
    </row>
    <row r="73" spans="1:26">
      <c r="A73" s="20"/>
      <c r="B73" s="20"/>
      <c r="C73" s="21"/>
      <c r="D73" s="20"/>
      <c r="E73" s="9" t="str">
        <f>IFERROR(VLOOKUP(D73,'04_Master Karyawan'!$A$5:$F$50,2,FALSE),"")</f>
        <v/>
      </c>
      <c r="F73" s="20"/>
      <c r="G73" s="9" t="str">
        <f>IFERROR(VLOOKUP(F73,'05_Master KPI'!$B$5:$G$100,2,FALSE)&amp;" ("&amp;VLOOKUP(F73,'05_Master KPI'!$B$5:$G$100,3,FALSE)&amp;")","")</f>
        <v/>
      </c>
      <c r="H73" s="9">
        <f>IFERROR(IF(B73&lt;&gt;'06_Target KPI'!$B$3,0,IF(VLOOKUP(F73,'05_Master KPI'!$B$5:$G$100,6,FALSE)="Kumulatif",INDEX('06_Target KPI'!$E$5:$P$100,MATCH(F73,'06_Target KPI'!$B$5:$B$100,0),MATCH(A73,'06_Target KPI'!$E$4:$P$4,0))*DAY(C73)/DAY(EOMONTH(C73,0)),INDEX('06_Target KPI'!$E$5:$P$100,MATCH(F73,'06_Target KPI'!$B$5:$B$100,0),MATCH(A73,'06_Target KPI'!$E$4:$P$4,0)))),0)</f>
        <v>0</v>
      </c>
      <c r="I73" s="20"/>
      <c r="J73" s="22">
        <f>IFERROR(MIN(IF(VLOOKUP(F73,'05_Master KPI'!$B$5:$G$100,5,FALSE)="Lower",H73/I73,I73/H73),1),0)</f>
        <v>0</v>
      </c>
      <c r="K73" s="9">
        <f>IFERROR(VLOOKUP(F73,'05_Master KPI'!$B$5:$G$100,4,FALSE),0)</f>
        <v>0</v>
      </c>
      <c r="L73" s="23">
        <f t="shared" si="1"/>
        <v>0</v>
      </c>
      <c r="M73" s="9" t="str">
        <f>IF(D73="","",IF(J73&gt;='13_Setting'!$H$7,"Tercapai",IF(J73&gt;='13_Setting'!$H$6,"On Track","Tertinggal")))</f>
        <v/>
      </c>
      <c r="N73" s="20"/>
      <c r="O73" s="1"/>
      <c r="P73" s="1"/>
      <c r="Q73" s="1"/>
      <c r="R73" s="1"/>
      <c r="S73" s="1"/>
      <c r="T73" s="1"/>
      <c r="U73" s="1"/>
      <c r="V73" s="1"/>
      <c r="W73" s="1"/>
      <c r="X73" s="1"/>
      <c r="Y73" s="1"/>
      <c r="Z73" s="1"/>
    </row>
    <row r="74" spans="1:26">
      <c r="A74" s="20"/>
      <c r="B74" s="20"/>
      <c r="C74" s="21"/>
      <c r="D74" s="20"/>
      <c r="E74" s="9" t="str">
        <f>IFERROR(VLOOKUP(D74,'04_Master Karyawan'!$A$5:$F$50,2,FALSE),"")</f>
        <v/>
      </c>
      <c r="F74" s="20"/>
      <c r="G74" s="9" t="str">
        <f>IFERROR(VLOOKUP(F74,'05_Master KPI'!$B$5:$G$100,2,FALSE)&amp;" ("&amp;VLOOKUP(F74,'05_Master KPI'!$B$5:$G$100,3,FALSE)&amp;")","")</f>
        <v/>
      </c>
      <c r="H74" s="9">
        <f>IFERROR(IF(B74&lt;&gt;'06_Target KPI'!$B$3,0,IF(VLOOKUP(F74,'05_Master KPI'!$B$5:$G$100,6,FALSE)="Kumulatif",INDEX('06_Target KPI'!$E$5:$P$100,MATCH(F74,'06_Target KPI'!$B$5:$B$100,0),MATCH(A74,'06_Target KPI'!$E$4:$P$4,0))*DAY(C74)/DAY(EOMONTH(C74,0)),INDEX('06_Target KPI'!$E$5:$P$100,MATCH(F74,'06_Target KPI'!$B$5:$B$100,0),MATCH(A74,'06_Target KPI'!$E$4:$P$4,0)))),0)</f>
        <v>0</v>
      </c>
      <c r="I74" s="20"/>
      <c r="J74" s="22">
        <f>IFERROR(MIN(IF(VLOOKUP(F74,'05_Master KPI'!$B$5:$G$100,5,FALSE)="Lower",H74/I74,I74/H74),1),0)</f>
        <v>0</v>
      </c>
      <c r="K74" s="9">
        <f>IFERROR(VLOOKUP(F74,'05_Master KPI'!$B$5:$G$100,4,FALSE),0)</f>
        <v>0</v>
      </c>
      <c r="L74" s="23">
        <f t="shared" si="1"/>
        <v>0</v>
      </c>
      <c r="M74" s="9" t="str">
        <f>IF(D74="","",IF(J74&gt;='13_Setting'!$H$7,"Tercapai",IF(J74&gt;='13_Setting'!$H$6,"On Track","Tertinggal")))</f>
        <v/>
      </c>
      <c r="N74" s="20"/>
      <c r="O74" s="1"/>
      <c r="P74" s="1"/>
      <c r="Q74" s="1"/>
      <c r="R74" s="1"/>
      <c r="S74" s="1"/>
      <c r="T74" s="1"/>
      <c r="U74" s="1"/>
      <c r="V74" s="1"/>
      <c r="W74" s="1"/>
      <c r="X74" s="1"/>
      <c r="Y74" s="1"/>
      <c r="Z74" s="1"/>
    </row>
    <row r="75" spans="1:26">
      <c r="A75" s="20"/>
      <c r="B75" s="20"/>
      <c r="C75" s="21"/>
      <c r="D75" s="20"/>
      <c r="E75" s="9" t="str">
        <f>IFERROR(VLOOKUP(D75,'04_Master Karyawan'!$A$5:$F$50,2,FALSE),"")</f>
        <v/>
      </c>
      <c r="F75" s="20"/>
      <c r="G75" s="9" t="str">
        <f>IFERROR(VLOOKUP(F75,'05_Master KPI'!$B$5:$G$100,2,FALSE)&amp;" ("&amp;VLOOKUP(F75,'05_Master KPI'!$B$5:$G$100,3,FALSE)&amp;")","")</f>
        <v/>
      </c>
      <c r="H75" s="9">
        <f>IFERROR(IF(B75&lt;&gt;'06_Target KPI'!$B$3,0,IF(VLOOKUP(F75,'05_Master KPI'!$B$5:$G$100,6,FALSE)="Kumulatif",INDEX('06_Target KPI'!$E$5:$P$100,MATCH(F75,'06_Target KPI'!$B$5:$B$100,0),MATCH(A75,'06_Target KPI'!$E$4:$P$4,0))*DAY(C75)/DAY(EOMONTH(C75,0)),INDEX('06_Target KPI'!$E$5:$P$100,MATCH(F75,'06_Target KPI'!$B$5:$B$100,0),MATCH(A75,'06_Target KPI'!$E$4:$P$4,0)))),0)</f>
        <v>0</v>
      </c>
      <c r="I75" s="20"/>
      <c r="J75" s="22">
        <f>IFERROR(MIN(IF(VLOOKUP(F75,'05_Master KPI'!$B$5:$G$100,5,FALSE)="Lower",H75/I75,I75/H75),1),0)</f>
        <v>0</v>
      </c>
      <c r="K75" s="9">
        <f>IFERROR(VLOOKUP(F75,'05_Master KPI'!$B$5:$G$100,4,FALSE),0)</f>
        <v>0</v>
      </c>
      <c r="L75" s="23">
        <f t="shared" si="1"/>
        <v>0</v>
      </c>
      <c r="M75" s="9" t="str">
        <f>IF(D75="","",IF(J75&gt;='13_Setting'!$H$7,"Tercapai",IF(J75&gt;='13_Setting'!$H$6,"On Track","Tertinggal")))</f>
        <v/>
      </c>
      <c r="N75" s="20"/>
      <c r="O75" s="1"/>
      <c r="P75" s="1"/>
      <c r="Q75" s="1"/>
      <c r="R75" s="1"/>
      <c r="S75" s="1"/>
      <c r="T75" s="1"/>
      <c r="U75" s="1"/>
      <c r="V75" s="1"/>
      <c r="W75" s="1"/>
      <c r="X75" s="1"/>
      <c r="Y75" s="1"/>
      <c r="Z75" s="1"/>
    </row>
    <row r="76" spans="1:26">
      <c r="A76" s="20"/>
      <c r="B76" s="20"/>
      <c r="C76" s="21"/>
      <c r="D76" s="20"/>
      <c r="E76" s="9" t="str">
        <f>IFERROR(VLOOKUP(D76,'04_Master Karyawan'!$A$5:$F$50,2,FALSE),"")</f>
        <v/>
      </c>
      <c r="F76" s="20"/>
      <c r="G76" s="9" t="str">
        <f>IFERROR(VLOOKUP(F76,'05_Master KPI'!$B$5:$G$100,2,FALSE)&amp;" ("&amp;VLOOKUP(F76,'05_Master KPI'!$B$5:$G$100,3,FALSE)&amp;")","")</f>
        <v/>
      </c>
      <c r="H76" s="9">
        <f>IFERROR(IF(B76&lt;&gt;'06_Target KPI'!$B$3,0,IF(VLOOKUP(F76,'05_Master KPI'!$B$5:$G$100,6,FALSE)="Kumulatif",INDEX('06_Target KPI'!$E$5:$P$100,MATCH(F76,'06_Target KPI'!$B$5:$B$100,0),MATCH(A76,'06_Target KPI'!$E$4:$P$4,0))*DAY(C76)/DAY(EOMONTH(C76,0)),INDEX('06_Target KPI'!$E$5:$P$100,MATCH(F76,'06_Target KPI'!$B$5:$B$100,0),MATCH(A76,'06_Target KPI'!$E$4:$P$4,0)))),0)</f>
        <v>0</v>
      </c>
      <c r="I76" s="20"/>
      <c r="J76" s="22">
        <f>IFERROR(MIN(IF(VLOOKUP(F76,'05_Master KPI'!$B$5:$G$100,5,FALSE)="Lower",H76/I76,I76/H76),1),0)</f>
        <v>0</v>
      </c>
      <c r="K76" s="9">
        <f>IFERROR(VLOOKUP(F76,'05_Master KPI'!$B$5:$G$100,4,FALSE),0)</f>
        <v>0</v>
      </c>
      <c r="L76" s="23">
        <f t="shared" si="1"/>
        <v>0</v>
      </c>
      <c r="M76" s="9" t="str">
        <f>IF(D76="","",IF(J76&gt;='13_Setting'!$H$7,"Tercapai",IF(J76&gt;='13_Setting'!$H$6,"On Track","Tertinggal")))</f>
        <v/>
      </c>
      <c r="N76" s="20"/>
      <c r="O76" s="1"/>
      <c r="P76" s="1"/>
      <c r="Q76" s="1"/>
      <c r="R76" s="1"/>
      <c r="S76" s="1"/>
      <c r="T76" s="1"/>
      <c r="U76" s="1"/>
      <c r="V76" s="1"/>
      <c r="W76" s="1"/>
      <c r="X76" s="1"/>
      <c r="Y76" s="1"/>
      <c r="Z76" s="1"/>
    </row>
    <row r="77" spans="1:26">
      <c r="A77" s="20"/>
      <c r="B77" s="20"/>
      <c r="C77" s="21"/>
      <c r="D77" s="20"/>
      <c r="E77" s="9" t="str">
        <f>IFERROR(VLOOKUP(D77,'04_Master Karyawan'!$A$5:$F$50,2,FALSE),"")</f>
        <v/>
      </c>
      <c r="F77" s="20"/>
      <c r="G77" s="9" t="str">
        <f>IFERROR(VLOOKUP(F77,'05_Master KPI'!$B$5:$G$100,2,FALSE)&amp;" ("&amp;VLOOKUP(F77,'05_Master KPI'!$B$5:$G$100,3,FALSE)&amp;")","")</f>
        <v/>
      </c>
      <c r="H77" s="9">
        <f>IFERROR(IF(B77&lt;&gt;'06_Target KPI'!$B$3,0,IF(VLOOKUP(F77,'05_Master KPI'!$B$5:$G$100,6,FALSE)="Kumulatif",INDEX('06_Target KPI'!$E$5:$P$100,MATCH(F77,'06_Target KPI'!$B$5:$B$100,0),MATCH(A77,'06_Target KPI'!$E$4:$P$4,0))*DAY(C77)/DAY(EOMONTH(C77,0)),INDEX('06_Target KPI'!$E$5:$P$100,MATCH(F77,'06_Target KPI'!$B$5:$B$100,0),MATCH(A77,'06_Target KPI'!$E$4:$P$4,0)))),0)</f>
        <v>0</v>
      </c>
      <c r="I77" s="20"/>
      <c r="J77" s="22">
        <f>IFERROR(MIN(IF(VLOOKUP(F77,'05_Master KPI'!$B$5:$G$100,5,FALSE)="Lower",H77/I77,I77/H77),1),0)</f>
        <v>0</v>
      </c>
      <c r="K77" s="9">
        <f>IFERROR(VLOOKUP(F77,'05_Master KPI'!$B$5:$G$100,4,FALSE),0)</f>
        <v>0</v>
      </c>
      <c r="L77" s="23">
        <f t="shared" si="1"/>
        <v>0</v>
      </c>
      <c r="M77" s="9" t="str">
        <f>IF(D77="","",IF(J77&gt;='13_Setting'!$H$7,"Tercapai",IF(J77&gt;='13_Setting'!$H$6,"On Track","Tertinggal")))</f>
        <v/>
      </c>
      <c r="N77" s="20"/>
      <c r="O77" s="1"/>
      <c r="P77" s="1"/>
      <c r="Q77" s="1"/>
      <c r="R77" s="1"/>
      <c r="S77" s="1"/>
      <c r="T77" s="1"/>
      <c r="U77" s="1"/>
      <c r="V77" s="1"/>
      <c r="W77" s="1"/>
      <c r="X77" s="1"/>
      <c r="Y77" s="1"/>
      <c r="Z77" s="1"/>
    </row>
    <row r="78" spans="1:26">
      <c r="A78" s="20"/>
      <c r="B78" s="20"/>
      <c r="C78" s="21"/>
      <c r="D78" s="20"/>
      <c r="E78" s="9" t="str">
        <f>IFERROR(VLOOKUP(D78,'04_Master Karyawan'!$A$5:$F$50,2,FALSE),"")</f>
        <v/>
      </c>
      <c r="F78" s="20"/>
      <c r="G78" s="9" t="str">
        <f>IFERROR(VLOOKUP(F78,'05_Master KPI'!$B$5:$G$100,2,FALSE)&amp;" ("&amp;VLOOKUP(F78,'05_Master KPI'!$B$5:$G$100,3,FALSE)&amp;")","")</f>
        <v/>
      </c>
      <c r="H78" s="9">
        <f>IFERROR(IF(B78&lt;&gt;'06_Target KPI'!$B$3,0,IF(VLOOKUP(F78,'05_Master KPI'!$B$5:$G$100,6,FALSE)="Kumulatif",INDEX('06_Target KPI'!$E$5:$P$100,MATCH(F78,'06_Target KPI'!$B$5:$B$100,0),MATCH(A78,'06_Target KPI'!$E$4:$P$4,0))*DAY(C78)/DAY(EOMONTH(C78,0)),INDEX('06_Target KPI'!$E$5:$P$100,MATCH(F78,'06_Target KPI'!$B$5:$B$100,0),MATCH(A78,'06_Target KPI'!$E$4:$P$4,0)))),0)</f>
        <v>0</v>
      </c>
      <c r="I78" s="20"/>
      <c r="J78" s="22">
        <f>IFERROR(MIN(IF(VLOOKUP(F78,'05_Master KPI'!$B$5:$G$100,5,FALSE)="Lower",H78/I78,I78/H78),1),0)</f>
        <v>0</v>
      </c>
      <c r="K78" s="9">
        <f>IFERROR(VLOOKUP(F78,'05_Master KPI'!$B$5:$G$100,4,FALSE),0)</f>
        <v>0</v>
      </c>
      <c r="L78" s="23">
        <f t="shared" si="1"/>
        <v>0</v>
      </c>
      <c r="M78" s="9" t="str">
        <f>IF(D78="","",IF(J78&gt;='13_Setting'!$H$7,"Tercapai",IF(J78&gt;='13_Setting'!$H$6,"On Track","Tertinggal")))</f>
        <v/>
      </c>
      <c r="N78" s="20"/>
      <c r="O78" s="1"/>
      <c r="P78" s="1"/>
      <c r="Q78" s="1"/>
      <c r="R78" s="1"/>
      <c r="S78" s="1"/>
      <c r="T78" s="1"/>
      <c r="U78" s="1"/>
      <c r="V78" s="1"/>
      <c r="W78" s="1"/>
      <c r="X78" s="1"/>
      <c r="Y78" s="1"/>
      <c r="Z78" s="1"/>
    </row>
    <row r="79" spans="1:26">
      <c r="A79" s="20"/>
      <c r="B79" s="20"/>
      <c r="C79" s="21"/>
      <c r="D79" s="20"/>
      <c r="E79" s="9" t="str">
        <f>IFERROR(VLOOKUP(D79,'04_Master Karyawan'!$A$5:$F$50,2,FALSE),"")</f>
        <v/>
      </c>
      <c r="F79" s="20"/>
      <c r="G79" s="9" t="str">
        <f>IFERROR(VLOOKUP(F79,'05_Master KPI'!$B$5:$G$100,2,FALSE)&amp;" ("&amp;VLOOKUP(F79,'05_Master KPI'!$B$5:$G$100,3,FALSE)&amp;")","")</f>
        <v/>
      </c>
      <c r="H79" s="9">
        <f>IFERROR(IF(B79&lt;&gt;'06_Target KPI'!$B$3,0,IF(VLOOKUP(F79,'05_Master KPI'!$B$5:$G$100,6,FALSE)="Kumulatif",INDEX('06_Target KPI'!$E$5:$P$100,MATCH(F79,'06_Target KPI'!$B$5:$B$100,0),MATCH(A79,'06_Target KPI'!$E$4:$P$4,0))*DAY(C79)/DAY(EOMONTH(C79,0)),INDEX('06_Target KPI'!$E$5:$P$100,MATCH(F79,'06_Target KPI'!$B$5:$B$100,0),MATCH(A79,'06_Target KPI'!$E$4:$P$4,0)))),0)</f>
        <v>0</v>
      </c>
      <c r="I79" s="20"/>
      <c r="J79" s="22">
        <f>IFERROR(MIN(IF(VLOOKUP(F79,'05_Master KPI'!$B$5:$G$100,5,FALSE)="Lower",H79/I79,I79/H79),1),0)</f>
        <v>0</v>
      </c>
      <c r="K79" s="9">
        <f>IFERROR(VLOOKUP(F79,'05_Master KPI'!$B$5:$G$100,4,FALSE),0)</f>
        <v>0</v>
      </c>
      <c r="L79" s="23">
        <f t="shared" si="1"/>
        <v>0</v>
      </c>
      <c r="M79" s="9" t="str">
        <f>IF(D79="","",IF(J79&gt;='13_Setting'!$H$7,"Tercapai",IF(J79&gt;='13_Setting'!$H$6,"On Track","Tertinggal")))</f>
        <v/>
      </c>
      <c r="N79" s="20"/>
      <c r="O79" s="1"/>
      <c r="P79" s="1"/>
      <c r="Q79" s="1"/>
      <c r="R79" s="1"/>
      <c r="S79" s="1"/>
      <c r="T79" s="1"/>
      <c r="U79" s="1"/>
      <c r="V79" s="1"/>
      <c r="W79" s="1"/>
      <c r="X79" s="1"/>
      <c r="Y79" s="1"/>
      <c r="Z79" s="1"/>
    </row>
    <row r="80" spans="1:26">
      <c r="A80" s="20"/>
      <c r="B80" s="20"/>
      <c r="C80" s="21"/>
      <c r="D80" s="20"/>
      <c r="E80" s="9" t="str">
        <f>IFERROR(VLOOKUP(D80,'04_Master Karyawan'!$A$5:$F$50,2,FALSE),"")</f>
        <v/>
      </c>
      <c r="F80" s="20"/>
      <c r="G80" s="9" t="str">
        <f>IFERROR(VLOOKUP(F80,'05_Master KPI'!$B$5:$G$100,2,FALSE)&amp;" ("&amp;VLOOKUP(F80,'05_Master KPI'!$B$5:$G$100,3,FALSE)&amp;")","")</f>
        <v/>
      </c>
      <c r="H80" s="9">
        <f>IFERROR(IF(B80&lt;&gt;'06_Target KPI'!$B$3,0,IF(VLOOKUP(F80,'05_Master KPI'!$B$5:$G$100,6,FALSE)="Kumulatif",INDEX('06_Target KPI'!$E$5:$P$100,MATCH(F80,'06_Target KPI'!$B$5:$B$100,0),MATCH(A80,'06_Target KPI'!$E$4:$P$4,0))*DAY(C80)/DAY(EOMONTH(C80,0)),INDEX('06_Target KPI'!$E$5:$P$100,MATCH(F80,'06_Target KPI'!$B$5:$B$100,0),MATCH(A80,'06_Target KPI'!$E$4:$P$4,0)))),0)</f>
        <v>0</v>
      </c>
      <c r="I80" s="20"/>
      <c r="J80" s="22">
        <f>IFERROR(MIN(IF(VLOOKUP(F80,'05_Master KPI'!$B$5:$G$100,5,FALSE)="Lower",H80/I80,I80/H80),1),0)</f>
        <v>0</v>
      </c>
      <c r="K80" s="9">
        <f>IFERROR(VLOOKUP(F80,'05_Master KPI'!$B$5:$G$100,4,FALSE),0)</f>
        <v>0</v>
      </c>
      <c r="L80" s="23">
        <f t="shared" si="1"/>
        <v>0</v>
      </c>
      <c r="M80" s="9" t="str">
        <f>IF(D80="","",IF(J80&gt;='13_Setting'!$H$7,"Tercapai",IF(J80&gt;='13_Setting'!$H$6,"On Track","Tertinggal")))</f>
        <v/>
      </c>
      <c r="N80" s="20"/>
      <c r="O80" s="1"/>
      <c r="P80" s="1"/>
      <c r="Q80" s="1"/>
      <c r="R80" s="1"/>
      <c r="S80" s="1"/>
      <c r="T80" s="1"/>
      <c r="U80" s="1"/>
      <c r="V80" s="1"/>
      <c r="W80" s="1"/>
      <c r="X80" s="1"/>
      <c r="Y80" s="1"/>
      <c r="Z80" s="1"/>
    </row>
    <row r="81" spans="1:14">
      <c r="A81" s="24"/>
      <c r="B81" s="24"/>
      <c r="C81" s="25"/>
      <c r="D81" s="24"/>
      <c r="E81" s="26" t="str">
        <f>IFERROR(VLOOKUP(D81,'04_Master Karyawan'!$A$5:$F$50,2,FALSE),"")</f>
        <v/>
      </c>
      <c r="F81" s="24"/>
      <c r="G81" s="26" t="str">
        <f>IFERROR(VLOOKUP(F81,'05_Master KPI'!$B$5:$G$100,2,FALSE)&amp;" ("&amp;VLOOKUP(F81,'05_Master KPI'!$B$5:$G$100,3,FALSE)&amp;")","")</f>
        <v/>
      </c>
      <c r="H81" s="26">
        <f>IFERROR(IF(B81&lt;&gt;'06_Target KPI'!$B$3,0,IF(VLOOKUP(F81,'05_Master KPI'!$B$5:$G$100,6,FALSE)="Kumulatif",INDEX('06_Target KPI'!$E$5:$P$100,MATCH(F81,'06_Target KPI'!$B$5:$B$100,0),MATCH(A81,'06_Target KPI'!$E$4:$P$4,0))*DAY(C81)/DAY(EOMONTH(C81,0)),INDEX('06_Target KPI'!$E$5:$P$100,MATCH(F81,'06_Target KPI'!$B$5:$B$100,0),MATCH(A81,'06_Target KPI'!$E$4:$P$4,0)))),0)</f>
        <v>0</v>
      </c>
      <c r="I81" s="24"/>
      <c r="J81" s="27">
        <f>IFERROR(MIN(IF(VLOOKUP(F81,'05_Master KPI'!$B$5:$G$100,5,FALSE)="Lower",H81/I81,I81/H81),1),0)</f>
        <v>0</v>
      </c>
      <c r="K81" s="26">
        <f>IFERROR(VLOOKUP(F81,'05_Master KPI'!$B$5:$G$100,4,FALSE),0)</f>
        <v>0</v>
      </c>
      <c r="L81" s="28">
        <f t="shared" si="1"/>
        <v>0</v>
      </c>
      <c r="M81" s="26" t="str">
        <f>IF(D81="","",IF(J81&gt;='13_Setting'!$H$7,"Tercapai",IF(J81&gt;='13_Setting'!$H$6,"On Track","Tertinggal")))</f>
        <v/>
      </c>
      <c r="N81" s="24"/>
    </row>
    <row r="82" spans="1:14">
      <c r="A82" s="24"/>
      <c r="B82" s="24"/>
      <c r="C82" s="25"/>
      <c r="D82" s="24"/>
      <c r="E82" s="26" t="str">
        <f>IFERROR(VLOOKUP(D82,'04_Master Karyawan'!$A$5:$F$50,2,FALSE),"")</f>
        <v/>
      </c>
      <c r="F82" s="24"/>
      <c r="G82" s="26" t="str">
        <f>IFERROR(VLOOKUP(F82,'05_Master KPI'!$B$5:$G$100,2,FALSE)&amp;" ("&amp;VLOOKUP(F82,'05_Master KPI'!$B$5:$G$100,3,FALSE)&amp;")","")</f>
        <v/>
      </c>
      <c r="H82" s="26">
        <f>IFERROR(IF(B82&lt;&gt;'06_Target KPI'!$B$3,0,IF(VLOOKUP(F82,'05_Master KPI'!$B$5:$G$100,6,FALSE)="Kumulatif",INDEX('06_Target KPI'!$E$5:$P$100,MATCH(F82,'06_Target KPI'!$B$5:$B$100,0),MATCH(A82,'06_Target KPI'!$E$4:$P$4,0))*DAY(C82)/DAY(EOMONTH(C82,0)),INDEX('06_Target KPI'!$E$5:$P$100,MATCH(F82,'06_Target KPI'!$B$5:$B$100,0),MATCH(A82,'06_Target KPI'!$E$4:$P$4,0)))),0)</f>
        <v>0</v>
      </c>
      <c r="I82" s="24"/>
      <c r="J82" s="27">
        <f>IFERROR(MIN(IF(VLOOKUP(F82,'05_Master KPI'!$B$5:$G$100,5,FALSE)="Lower",H82/I82,I82/H82),1),0)</f>
        <v>0</v>
      </c>
      <c r="K82" s="26">
        <f>IFERROR(VLOOKUP(F82,'05_Master KPI'!$B$5:$G$100,4,FALSE),0)</f>
        <v>0</v>
      </c>
      <c r="L82" s="28">
        <f t="shared" si="1"/>
        <v>0</v>
      </c>
      <c r="M82" s="26" t="str">
        <f>IF(D82="","",IF(J82&gt;='13_Setting'!$H$7,"Tercapai",IF(J82&gt;='13_Setting'!$H$6,"On Track","Tertinggal")))</f>
        <v/>
      </c>
      <c r="N82" s="24"/>
    </row>
    <row r="83" spans="1:14">
      <c r="A83" s="24"/>
      <c r="B83" s="24"/>
      <c r="C83" s="25"/>
      <c r="D83" s="24"/>
      <c r="E83" s="26" t="str">
        <f>IFERROR(VLOOKUP(D83,'04_Master Karyawan'!$A$5:$F$50,2,FALSE),"")</f>
        <v/>
      </c>
      <c r="F83" s="24"/>
      <c r="G83" s="26" t="str">
        <f>IFERROR(VLOOKUP(F83,'05_Master KPI'!$B$5:$G$100,2,FALSE)&amp;" ("&amp;VLOOKUP(F83,'05_Master KPI'!$B$5:$G$100,3,FALSE)&amp;")","")</f>
        <v/>
      </c>
      <c r="H83" s="26">
        <f>IFERROR(IF(B83&lt;&gt;'06_Target KPI'!$B$3,0,IF(VLOOKUP(F83,'05_Master KPI'!$B$5:$G$100,6,FALSE)="Kumulatif",INDEX('06_Target KPI'!$E$5:$P$100,MATCH(F83,'06_Target KPI'!$B$5:$B$100,0),MATCH(A83,'06_Target KPI'!$E$4:$P$4,0))*DAY(C83)/DAY(EOMONTH(C83,0)),INDEX('06_Target KPI'!$E$5:$P$100,MATCH(F83,'06_Target KPI'!$B$5:$B$100,0),MATCH(A83,'06_Target KPI'!$E$4:$P$4,0)))),0)</f>
        <v>0</v>
      </c>
      <c r="I83" s="24"/>
      <c r="J83" s="27">
        <f>IFERROR(MIN(IF(VLOOKUP(F83,'05_Master KPI'!$B$5:$G$100,5,FALSE)="Lower",H83/I83,I83/H83),1),0)</f>
        <v>0</v>
      </c>
      <c r="K83" s="26">
        <f>IFERROR(VLOOKUP(F83,'05_Master KPI'!$B$5:$G$100,4,FALSE),0)</f>
        <v>0</v>
      </c>
      <c r="L83" s="28">
        <f t="shared" si="1"/>
        <v>0</v>
      </c>
      <c r="M83" s="26" t="str">
        <f>IF(D83="","",IF(J83&gt;='13_Setting'!$H$7,"Tercapai",IF(J83&gt;='13_Setting'!$H$6,"On Track","Tertinggal")))</f>
        <v/>
      </c>
      <c r="N83" s="24"/>
    </row>
    <row r="84" spans="1:14">
      <c r="A84" s="24"/>
      <c r="B84" s="24"/>
      <c r="C84" s="25"/>
      <c r="D84" s="24"/>
      <c r="E84" s="26" t="str">
        <f>IFERROR(VLOOKUP(D84,'04_Master Karyawan'!$A$5:$F$50,2,FALSE),"")</f>
        <v/>
      </c>
      <c r="F84" s="24"/>
      <c r="G84" s="26" t="str">
        <f>IFERROR(VLOOKUP(F84,'05_Master KPI'!$B$5:$G$100,2,FALSE)&amp;" ("&amp;VLOOKUP(F84,'05_Master KPI'!$B$5:$G$100,3,FALSE)&amp;")","")</f>
        <v/>
      </c>
      <c r="H84" s="26">
        <f>IFERROR(IF(B84&lt;&gt;'06_Target KPI'!$B$3,0,IF(VLOOKUP(F84,'05_Master KPI'!$B$5:$G$100,6,FALSE)="Kumulatif",INDEX('06_Target KPI'!$E$5:$P$100,MATCH(F84,'06_Target KPI'!$B$5:$B$100,0),MATCH(A84,'06_Target KPI'!$E$4:$P$4,0))*DAY(C84)/DAY(EOMONTH(C84,0)),INDEX('06_Target KPI'!$E$5:$P$100,MATCH(F84,'06_Target KPI'!$B$5:$B$100,0),MATCH(A84,'06_Target KPI'!$E$4:$P$4,0)))),0)</f>
        <v>0</v>
      </c>
      <c r="I84" s="24"/>
      <c r="J84" s="27">
        <f>IFERROR(MIN(IF(VLOOKUP(F84,'05_Master KPI'!$B$5:$G$100,5,FALSE)="Lower",H84/I84,I84/H84),1),0)</f>
        <v>0</v>
      </c>
      <c r="K84" s="26">
        <f>IFERROR(VLOOKUP(F84,'05_Master KPI'!$B$5:$G$100,4,FALSE),0)</f>
        <v>0</v>
      </c>
      <c r="L84" s="28">
        <f t="shared" si="1"/>
        <v>0</v>
      </c>
      <c r="M84" s="26" t="str">
        <f>IF(D84="","",IF(J84&gt;='13_Setting'!$H$7,"Tercapai",IF(J84&gt;='13_Setting'!$H$6,"On Track","Tertinggal")))</f>
        <v/>
      </c>
      <c r="N84" s="24"/>
    </row>
    <row r="85" spans="1:14">
      <c r="A85" s="24"/>
      <c r="B85" s="24"/>
      <c r="C85" s="25"/>
      <c r="D85" s="24"/>
      <c r="E85" s="26" t="str">
        <f>IFERROR(VLOOKUP(D85,'04_Master Karyawan'!$A$5:$F$50,2,FALSE),"")</f>
        <v/>
      </c>
      <c r="F85" s="24"/>
      <c r="G85" s="26" t="str">
        <f>IFERROR(VLOOKUP(F85,'05_Master KPI'!$B$5:$G$100,2,FALSE)&amp;" ("&amp;VLOOKUP(F85,'05_Master KPI'!$B$5:$G$100,3,FALSE)&amp;")","")</f>
        <v/>
      </c>
      <c r="H85" s="26">
        <f>IFERROR(IF(B85&lt;&gt;'06_Target KPI'!$B$3,0,IF(VLOOKUP(F85,'05_Master KPI'!$B$5:$G$100,6,FALSE)="Kumulatif",INDEX('06_Target KPI'!$E$5:$P$100,MATCH(F85,'06_Target KPI'!$B$5:$B$100,0),MATCH(A85,'06_Target KPI'!$E$4:$P$4,0))*DAY(C85)/DAY(EOMONTH(C85,0)),INDEX('06_Target KPI'!$E$5:$P$100,MATCH(F85,'06_Target KPI'!$B$5:$B$100,0),MATCH(A85,'06_Target KPI'!$E$4:$P$4,0)))),0)</f>
        <v>0</v>
      </c>
      <c r="I85" s="24"/>
      <c r="J85" s="27">
        <f>IFERROR(MIN(IF(VLOOKUP(F85,'05_Master KPI'!$B$5:$G$100,5,FALSE)="Lower",H85/I85,I85/H85),1),0)</f>
        <v>0</v>
      </c>
      <c r="K85" s="26">
        <f>IFERROR(VLOOKUP(F85,'05_Master KPI'!$B$5:$G$100,4,FALSE),0)</f>
        <v>0</v>
      </c>
      <c r="L85" s="28">
        <f t="shared" si="1"/>
        <v>0</v>
      </c>
      <c r="M85" s="26" t="str">
        <f>IF(D85="","",IF(J85&gt;='13_Setting'!$H$7,"Tercapai",IF(J85&gt;='13_Setting'!$H$6,"On Track","Tertinggal")))</f>
        <v/>
      </c>
      <c r="N85" s="24"/>
    </row>
    <row r="86" spans="1:14">
      <c r="A86" s="24"/>
      <c r="B86" s="24"/>
      <c r="C86" s="25"/>
      <c r="D86" s="24"/>
      <c r="E86" s="26" t="str">
        <f>IFERROR(VLOOKUP(D86,'04_Master Karyawan'!$A$5:$F$50,2,FALSE),"")</f>
        <v/>
      </c>
      <c r="F86" s="24"/>
      <c r="G86" s="26" t="str">
        <f>IFERROR(VLOOKUP(F86,'05_Master KPI'!$B$5:$G$100,2,FALSE)&amp;" ("&amp;VLOOKUP(F86,'05_Master KPI'!$B$5:$G$100,3,FALSE)&amp;")","")</f>
        <v/>
      </c>
      <c r="H86" s="26">
        <f>IFERROR(IF(B86&lt;&gt;'06_Target KPI'!$B$3,0,IF(VLOOKUP(F86,'05_Master KPI'!$B$5:$G$100,6,FALSE)="Kumulatif",INDEX('06_Target KPI'!$E$5:$P$100,MATCH(F86,'06_Target KPI'!$B$5:$B$100,0),MATCH(A86,'06_Target KPI'!$E$4:$P$4,0))*DAY(C86)/DAY(EOMONTH(C86,0)),INDEX('06_Target KPI'!$E$5:$P$100,MATCH(F86,'06_Target KPI'!$B$5:$B$100,0),MATCH(A86,'06_Target KPI'!$E$4:$P$4,0)))),0)</f>
        <v>0</v>
      </c>
      <c r="I86" s="24"/>
      <c r="J86" s="27">
        <f>IFERROR(MIN(IF(VLOOKUP(F86,'05_Master KPI'!$B$5:$G$100,5,FALSE)="Lower",H86/I86,I86/H86),1),0)</f>
        <v>0</v>
      </c>
      <c r="K86" s="26">
        <f>IFERROR(VLOOKUP(F86,'05_Master KPI'!$B$5:$G$100,4,FALSE),0)</f>
        <v>0</v>
      </c>
      <c r="L86" s="28">
        <f t="shared" si="1"/>
        <v>0</v>
      </c>
      <c r="M86" s="26" t="str">
        <f>IF(D86="","",IF(J86&gt;='13_Setting'!$H$7,"Tercapai",IF(J86&gt;='13_Setting'!$H$6,"On Track","Tertinggal")))</f>
        <v/>
      </c>
      <c r="N86" s="24"/>
    </row>
    <row r="87" spans="1:14">
      <c r="A87" s="24"/>
      <c r="B87" s="24"/>
      <c r="C87" s="25"/>
      <c r="D87" s="24"/>
      <c r="E87" s="26" t="str">
        <f>IFERROR(VLOOKUP(D87,'04_Master Karyawan'!$A$5:$F$50,2,FALSE),"")</f>
        <v/>
      </c>
      <c r="F87" s="24"/>
      <c r="G87" s="26" t="str">
        <f>IFERROR(VLOOKUP(F87,'05_Master KPI'!$B$5:$G$100,2,FALSE)&amp;" ("&amp;VLOOKUP(F87,'05_Master KPI'!$B$5:$G$100,3,FALSE)&amp;")","")</f>
        <v/>
      </c>
      <c r="H87" s="26">
        <f>IFERROR(IF(B87&lt;&gt;'06_Target KPI'!$B$3,0,IF(VLOOKUP(F87,'05_Master KPI'!$B$5:$G$100,6,FALSE)="Kumulatif",INDEX('06_Target KPI'!$E$5:$P$100,MATCH(F87,'06_Target KPI'!$B$5:$B$100,0),MATCH(A87,'06_Target KPI'!$E$4:$P$4,0))*DAY(C87)/DAY(EOMONTH(C87,0)),INDEX('06_Target KPI'!$E$5:$P$100,MATCH(F87,'06_Target KPI'!$B$5:$B$100,0),MATCH(A87,'06_Target KPI'!$E$4:$P$4,0)))),0)</f>
        <v>0</v>
      </c>
      <c r="I87" s="24"/>
      <c r="J87" s="27">
        <f>IFERROR(MIN(IF(VLOOKUP(F87,'05_Master KPI'!$B$5:$G$100,5,FALSE)="Lower",H87/I87,I87/H87),1),0)</f>
        <v>0</v>
      </c>
      <c r="K87" s="26">
        <f>IFERROR(VLOOKUP(F87,'05_Master KPI'!$B$5:$G$100,4,FALSE),0)</f>
        <v>0</v>
      </c>
      <c r="L87" s="28">
        <f t="shared" si="1"/>
        <v>0</v>
      </c>
      <c r="M87" s="26" t="str">
        <f>IF(D87="","",IF(J87&gt;='13_Setting'!$H$7,"Tercapai",IF(J87&gt;='13_Setting'!$H$6,"On Track","Tertinggal")))</f>
        <v/>
      </c>
      <c r="N87" s="24"/>
    </row>
    <row r="88" spans="1:14">
      <c r="A88" s="24"/>
      <c r="B88" s="24"/>
      <c r="C88" s="25"/>
      <c r="D88" s="24"/>
      <c r="E88" s="26" t="str">
        <f>IFERROR(VLOOKUP(D88,'04_Master Karyawan'!$A$5:$F$50,2,FALSE),"")</f>
        <v/>
      </c>
      <c r="F88" s="24"/>
      <c r="G88" s="26" t="str">
        <f>IFERROR(VLOOKUP(F88,'05_Master KPI'!$B$5:$G$100,2,FALSE)&amp;" ("&amp;VLOOKUP(F88,'05_Master KPI'!$B$5:$G$100,3,FALSE)&amp;")","")</f>
        <v/>
      </c>
      <c r="H88" s="26">
        <f>IFERROR(IF(B88&lt;&gt;'06_Target KPI'!$B$3,0,IF(VLOOKUP(F88,'05_Master KPI'!$B$5:$G$100,6,FALSE)="Kumulatif",INDEX('06_Target KPI'!$E$5:$P$100,MATCH(F88,'06_Target KPI'!$B$5:$B$100,0),MATCH(A88,'06_Target KPI'!$E$4:$P$4,0))*DAY(C88)/DAY(EOMONTH(C88,0)),INDEX('06_Target KPI'!$E$5:$P$100,MATCH(F88,'06_Target KPI'!$B$5:$B$100,0),MATCH(A88,'06_Target KPI'!$E$4:$P$4,0)))),0)</f>
        <v>0</v>
      </c>
      <c r="I88" s="24"/>
      <c r="J88" s="27">
        <f>IFERROR(MIN(IF(VLOOKUP(F88,'05_Master KPI'!$B$5:$G$100,5,FALSE)="Lower",H88/I88,I88/H88),1),0)</f>
        <v>0</v>
      </c>
      <c r="K88" s="26">
        <f>IFERROR(VLOOKUP(F88,'05_Master KPI'!$B$5:$G$100,4,FALSE),0)</f>
        <v>0</v>
      </c>
      <c r="L88" s="28">
        <f t="shared" si="1"/>
        <v>0</v>
      </c>
      <c r="M88" s="26" t="str">
        <f>IF(D88="","",IF(J88&gt;='13_Setting'!$H$7,"Tercapai",IF(J88&gt;='13_Setting'!$H$6,"On Track","Tertinggal")))</f>
        <v/>
      </c>
      <c r="N88" s="24"/>
    </row>
    <row r="89" spans="1:14">
      <c r="A89" s="24"/>
      <c r="B89" s="24"/>
      <c r="C89" s="25"/>
      <c r="D89" s="24"/>
      <c r="E89" s="26" t="str">
        <f>IFERROR(VLOOKUP(D89,'04_Master Karyawan'!$A$5:$F$50,2,FALSE),"")</f>
        <v/>
      </c>
      <c r="F89" s="24"/>
      <c r="G89" s="26" t="str">
        <f>IFERROR(VLOOKUP(F89,'05_Master KPI'!$B$5:$G$100,2,FALSE)&amp;" ("&amp;VLOOKUP(F89,'05_Master KPI'!$B$5:$G$100,3,FALSE)&amp;")","")</f>
        <v/>
      </c>
      <c r="H89" s="26">
        <f>IFERROR(IF(B89&lt;&gt;'06_Target KPI'!$B$3,0,IF(VLOOKUP(F89,'05_Master KPI'!$B$5:$G$100,6,FALSE)="Kumulatif",INDEX('06_Target KPI'!$E$5:$P$100,MATCH(F89,'06_Target KPI'!$B$5:$B$100,0),MATCH(A89,'06_Target KPI'!$E$4:$P$4,0))*DAY(C89)/DAY(EOMONTH(C89,0)),INDEX('06_Target KPI'!$E$5:$P$100,MATCH(F89,'06_Target KPI'!$B$5:$B$100,0),MATCH(A89,'06_Target KPI'!$E$4:$P$4,0)))),0)</f>
        <v>0</v>
      </c>
      <c r="I89" s="24"/>
      <c r="J89" s="27">
        <f>IFERROR(MIN(IF(VLOOKUP(F89,'05_Master KPI'!$B$5:$G$100,5,FALSE)="Lower",H89/I89,I89/H89),1),0)</f>
        <v>0</v>
      </c>
      <c r="K89" s="26">
        <f>IFERROR(VLOOKUP(F89,'05_Master KPI'!$B$5:$G$100,4,FALSE),0)</f>
        <v>0</v>
      </c>
      <c r="L89" s="28">
        <f t="shared" si="1"/>
        <v>0</v>
      </c>
      <c r="M89" s="26" t="str">
        <f>IF(D89="","",IF(J89&gt;='13_Setting'!$H$7,"Tercapai",IF(J89&gt;='13_Setting'!$H$6,"On Track","Tertinggal")))</f>
        <v/>
      </c>
      <c r="N89" s="24"/>
    </row>
    <row r="90" spans="1:14">
      <c r="A90" s="24"/>
      <c r="B90" s="24"/>
      <c r="C90" s="25"/>
      <c r="D90" s="24"/>
      <c r="E90" s="26" t="str">
        <f>IFERROR(VLOOKUP(D90,'04_Master Karyawan'!$A$5:$F$50,2,FALSE),"")</f>
        <v/>
      </c>
      <c r="F90" s="24"/>
      <c r="G90" s="26" t="str">
        <f>IFERROR(VLOOKUP(F90,'05_Master KPI'!$B$5:$G$100,2,FALSE)&amp;" ("&amp;VLOOKUP(F90,'05_Master KPI'!$B$5:$G$100,3,FALSE)&amp;")","")</f>
        <v/>
      </c>
      <c r="H90" s="26">
        <f>IFERROR(IF(B90&lt;&gt;'06_Target KPI'!$B$3,0,IF(VLOOKUP(F90,'05_Master KPI'!$B$5:$G$100,6,FALSE)="Kumulatif",INDEX('06_Target KPI'!$E$5:$P$100,MATCH(F90,'06_Target KPI'!$B$5:$B$100,0),MATCH(A90,'06_Target KPI'!$E$4:$P$4,0))*DAY(C90)/DAY(EOMONTH(C90,0)),INDEX('06_Target KPI'!$E$5:$P$100,MATCH(F90,'06_Target KPI'!$B$5:$B$100,0),MATCH(A90,'06_Target KPI'!$E$4:$P$4,0)))),0)</f>
        <v>0</v>
      </c>
      <c r="I90" s="24"/>
      <c r="J90" s="27">
        <f>IFERROR(MIN(IF(VLOOKUP(F90,'05_Master KPI'!$B$5:$G$100,5,FALSE)="Lower",H90/I90,I90/H90),1),0)</f>
        <v>0</v>
      </c>
      <c r="K90" s="26">
        <f>IFERROR(VLOOKUP(F90,'05_Master KPI'!$B$5:$G$100,4,FALSE),0)</f>
        <v>0</v>
      </c>
      <c r="L90" s="28">
        <f t="shared" si="1"/>
        <v>0</v>
      </c>
      <c r="M90" s="26" t="str">
        <f>IF(D90="","",IF(J90&gt;='13_Setting'!$H$7,"Tercapai",IF(J90&gt;='13_Setting'!$H$6,"On Track","Tertinggal")))</f>
        <v/>
      </c>
      <c r="N90" s="24"/>
    </row>
    <row r="91" spans="1:14">
      <c r="A91" s="24"/>
      <c r="B91" s="24"/>
      <c r="C91" s="25"/>
      <c r="D91" s="24"/>
      <c r="E91" s="26" t="str">
        <f>IFERROR(VLOOKUP(D91,'04_Master Karyawan'!$A$5:$F$50,2,FALSE),"")</f>
        <v/>
      </c>
      <c r="F91" s="24"/>
      <c r="G91" s="26" t="str">
        <f>IFERROR(VLOOKUP(F91,'05_Master KPI'!$B$5:$G$100,2,FALSE)&amp;" ("&amp;VLOOKUP(F91,'05_Master KPI'!$B$5:$G$100,3,FALSE)&amp;")","")</f>
        <v/>
      </c>
      <c r="H91" s="26">
        <f>IFERROR(IF(B91&lt;&gt;'06_Target KPI'!$B$3,0,IF(VLOOKUP(F91,'05_Master KPI'!$B$5:$G$100,6,FALSE)="Kumulatif",INDEX('06_Target KPI'!$E$5:$P$100,MATCH(F91,'06_Target KPI'!$B$5:$B$100,0),MATCH(A91,'06_Target KPI'!$E$4:$P$4,0))*DAY(C91)/DAY(EOMONTH(C91,0)),INDEX('06_Target KPI'!$E$5:$P$100,MATCH(F91,'06_Target KPI'!$B$5:$B$100,0),MATCH(A91,'06_Target KPI'!$E$4:$P$4,0)))),0)</f>
        <v>0</v>
      </c>
      <c r="I91" s="24"/>
      <c r="J91" s="27">
        <f>IFERROR(MIN(IF(VLOOKUP(F91,'05_Master KPI'!$B$5:$G$100,5,FALSE)="Lower",H91/I91,I91/H91),1),0)</f>
        <v>0</v>
      </c>
      <c r="K91" s="26">
        <f>IFERROR(VLOOKUP(F91,'05_Master KPI'!$B$5:$G$100,4,FALSE),0)</f>
        <v>0</v>
      </c>
      <c r="L91" s="28">
        <f t="shared" si="1"/>
        <v>0</v>
      </c>
      <c r="M91" s="26" t="str">
        <f>IF(D91="","",IF(J91&gt;='13_Setting'!$H$7,"Tercapai",IF(J91&gt;='13_Setting'!$H$6,"On Track","Tertinggal")))</f>
        <v/>
      </c>
      <c r="N91" s="24"/>
    </row>
    <row r="92" spans="1:14">
      <c r="A92" s="24"/>
      <c r="B92" s="24"/>
      <c r="C92" s="25"/>
      <c r="D92" s="24"/>
      <c r="E92" s="26" t="str">
        <f>IFERROR(VLOOKUP(D92,'04_Master Karyawan'!$A$5:$F$50,2,FALSE),"")</f>
        <v/>
      </c>
      <c r="F92" s="24"/>
      <c r="G92" s="26" t="str">
        <f>IFERROR(VLOOKUP(F92,'05_Master KPI'!$B$5:$G$100,2,FALSE)&amp;" ("&amp;VLOOKUP(F92,'05_Master KPI'!$B$5:$G$100,3,FALSE)&amp;")","")</f>
        <v/>
      </c>
      <c r="H92" s="26">
        <f>IFERROR(IF(B92&lt;&gt;'06_Target KPI'!$B$3,0,IF(VLOOKUP(F92,'05_Master KPI'!$B$5:$G$100,6,FALSE)="Kumulatif",INDEX('06_Target KPI'!$E$5:$P$100,MATCH(F92,'06_Target KPI'!$B$5:$B$100,0),MATCH(A92,'06_Target KPI'!$E$4:$P$4,0))*DAY(C92)/DAY(EOMONTH(C92,0)),INDEX('06_Target KPI'!$E$5:$P$100,MATCH(F92,'06_Target KPI'!$B$5:$B$100,0),MATCH(A92,'06_Target KPI'!$E$4:$P$4,0)))),0)</f>
        <v>0</v>
      </c>
      <c r="I92" s="24"/>
      <c r="J92" s="27">
        <f>IFERROR(MIN(IF(VLOOKUP(F92,'05_Master KPI'!$B$5:$G$100,5,FALSE)="Lower",H92/I92,I92/H92),1),0)</f>
        <v>0</v>
      </c>
      <c r="K92" s="26">
        <f>IFERROR(VLOOKUP(F92,'05_Master KPI'!$B$5:$G$100,4,FALSE),0)</f>
        <v>0</v>
      </c>
      <c r="L92" s="28">
        <f t="shared" si="1"/>
        <v>0</v>
      </c>
      <c r="M92" s="26" t="str">
        <f>IF(D92="","",IF(J92&gt;='13_Setting'!$H$7,"Tercapai",IF(J92&gt;='13_Setting'!$H$6,"On Track","Tertinggal")))</f>
        <v/>
      </c>
      <c r="N92" s="24"/>
    </row>
    <row r="93" spans="1:14">
      <c r="A93" s="24"/>
      <c r="B93" s="24"/>
      <c r="C93" s="25"/>
      <c r="D93" s="24"/>
      <c r="E93" s="26" t="str">
        <f>IFERROR(VLOOKUP(D93,'04_Master Karyawan'!$A$5:$F$50,2,FALSE),"")</f>
        <v/>
      </c>
      <c r="F93" s="24"/>
      <c r="G93" s="26" t="str">
        <f>IFERROR(VLOOKUP(F93,'05_Master KPI'!$B$5:$G$100,2,FALSE)&amp;" ("&amp;VLOOKUP(F93,'05_Master KPI'!$B$5:$G$100,3,FALSE)&amp;")","")</f>
        <v/>
      </c>
      <c r="H93" s="26">
        <f>IFERROR(IF(B93&lt;&gt;'06_Target KPI'!$B$3,0,IF(VLOOKUP(F93,'05_Master KPI'!$B$5:$G$100,6,FALSE)="Kumulatif",INDEX('06_Target KPI'!$E$5:$P$100,MATCH(F93,'06_Target KPI'!$B$5:$B$100,0),MATCH(A93,'06_Target KPI'!$E$4:$P$4,0))*DAY(C93)/DAY(EOMONTH(C93,0)),INDEX('06_Target KPI'!$E$5:$P$100,MATCH(F93,'06_Target KPI'!$B$5:$B$100,0),MATCH(A93,'06_Target KPI'!$E$4:$P$4,0)))),0)</f>
        <v>0</v>
      </c>
      <c r="I93" s="24"/>
      <c r="J93" s="27">
        <f>IFERROR(MIN(IF(VLOOKUP(F93,'05_Master KPI'!$B$5:$G$100,5,FALSE)="Lower",H93/I93,I93/H93),1),0)</f>
        <v>0</v>
      </c>
      <c r="K93" s="26">
        <f>IFERROR(VLOOKUP(F93,'05_Master KPI'!$B$5:$G$100,4,FALSE),0)</f>
        <v>0</v>
      </c>
      <c r="L93" s="28">
        <f t="shared" si="1"/>
        <v>0</v>
      </c>
      <c r="M93" s="26" t="str">
        <f>IF(D93="","",IF(J93&gt;='13_Setting'!$H$7,"Tercapai",IF(J93&gt;='13_Setting'!$H$6,"On Track","Tertinggal")))</f>
        <v/>
      </c>
      <c r="N93" s="24"/>
    </row>
    <row r="94" spans="1:14">
      <c r="A94" s="24"/>
      <c r="B94" s="24"/>
      <c r="C94" s="25"/>
      <c r="D94" s="24"/>
      <c r="E94" s="26" t="str">
        <f>IFERROR(VLOOKUP(D94,'04_Master Karyawan'!$A$5:$F$50,2,FALSE),"")</f>
        <v/>
      </c>
      <c r="F94" s="24"/>
      <c r="G94" s="26" t="str">
        <f>IFERROR(VLOOKUP(F94,'05_Master KPI'!$B$5:$G$100,2,FALSE)&amp;" ("&amp;VLOOKUP(F94,'05_Master KPI'!$B$5:$G$100,3,FALSE)&amp;")","")</f>
        <v/>
      </c>
      <c r="H94" s="26">
        <f>IFERROR(IF(B94&lt;&gt;'06_Target KPI'!$B$3,0,IF(VLOOKUP(F94,'05_Master KPI'!$B$5:$G$100,6,FALSE)="Kumulatif",INDEX('06_Target KPI'!$E$5:$P$100,MATCH(F94,'06_Target KPI'!$B$5:$B$100,0),MATCH(A94,'06_Target KPI'!$E$4:$P$4,0))*DAY(C94)/DAY(EOMONTH(C94,0)),INDEX('06_Target KPI'!$E$5:$P$100,MATCH(F94,'06_Target KPI'!$B$5:$B$100,0),MATCH(A94,'06_Target KPI'!$E$4:$P$4,0)))),0)</f>
        <v>0</v>
      </c>
      <c r="I94" s="24"/>
      <c r="J94" s="27">
        <f>IFERROR(MIN(IF(VLOOKUP(F94,'05_Master KPI'!$B$5:$G$100,5,FALSE)="Lower",H94/I94,I94/H94),1),0)</f>
        <v>0</v>
      </c>
      <c r="K94" s="26">
        <f>IFERROR(VLOOKUP(F94,'05_Master KPI'!$B$5:$G$100,4,FALSE),0)</f>
        <v>0</v>
      </c>
      <c r="L94" s="28">
        <f t="shared" si="1"/>
        <v>0</v>
      </c>
      <c r="M94" s="26" t="str">
        <f>IF(D94="","",IF(J94&gt;='13_Setting'!$H$7,"Tercapai",IF(J94&gt;='13_Setting'!$H$6,"On Track","Tertinggal")))</f>
        <v/>
      </c>
      <c r="N94" s="24"/>
    </row>
    <row r="95" spans="1:14">
      <c r="A95" s="24"/>
      <c r="B95" s="24"/>
      <c r="C95" s="25"/>
      <c r="D95" s="24"/>
      <c r="E95" s="26" t="str">
        <f>IFERROR(VLOOKUP(D95,'04_Master Karyawan'!$A$5:$F$50,2,FALSE),"")</f>
        <v/>
      </c>
      <c r="F95" s="24"/>
      <c r="G95" s="26" t="str">
        <f>IFERROR(VLOOKUP(F95,'05_Master KPI'!$B$5:$G$100,2,FALSE)&amp;" ("&amp;VLOOKUP(F95,'05_Master KPI'!$B$5:$G$100,3,FALSE)&amp;")","")</f>
        <v/>
      </c>
      <c r="H95" s="26">
        <f>IFERROR(IF(B95&lt;&gt;'06_Target KPI'!$B$3,0,IF(VLOOKUP(F95,'05_Master KPI'!$B$5:$G$100,6,FALSE)="Kumulatif",INDEX('06_Target KPI'!$E$5:$P$100,MATCH(F95,'06_Target KPI'!$B$5:$B$100,0),MATCH(A95,'06_Target KPI'!$E$4:$P$4,0))*DAY(C95)/DAY(EOMONTH(C95,0)),INDEX('06_Target KPI'!$E$5:$P$100,MATCH(F95,'06_Target KPI'!$B$5:$B$100,0),MATCH(A95,'06_Target KPI'!$E$4:$P$4,0)))),0)</f>
        <v>0</v>
      </c>
      <c r="I95" s="24"/>
      <c r="J95" s="27">
        <f>IFERROR(MIN(IF(VLOOKUP(F95,'05_Master KPI'!$B$5:$G$100,5,FALSE)="Lower",H95/I95,I95/H95),1),0)</f>
        <v>0</v>
      </c>
      <c r="K95" s="26">
        <f>IFERROR(VLOOKUP(F95,'05_Master KPI'!$B$5:$G$100,4,FALSE),0)</f>
        <v>0</v>
      </c>
      <c r="L95" s="28">
        <f t="shared" si="1"/>
        <v>0</v>
      </c>
      <c r="M95" s="26" t="str">
        <f>IF(D95="","",IF(J95&gt;='13_Setting'!$H$7,"Tercapai",IF(J95&gt;='13_Setting'!$H$6,"On Track","Tertinggal")))</f>
        <v/>
      </c>
      <c r="N95" s="24"/>
    </row>
    <row r="96" spans="1:14">
      <c r="A96" s="24"/>
      <c r="B96" s="24"/>
      <c r="C96" s="25"/>
      <c r="D96" s="24"/>
      <c r="E96" s="26" t="str">
        <f>IFERROR(VLOOKUP(D96,'04_Master Karyawan'!$A$5:$F$50,2,FALSE),"")</f>
        <v/>
      </c>
      <c r="F96" s="24"/>
      <c r="G96" s="26" t="str">
        <f>IFERROR(VLOOKUP(F96,'05_Master KPI'!$B$5:$G$100,2,FALSE)&amp;" ("&amp;VLOOKUP(F96,'05_Master KPI'!$B$5:$G$100,3,FALSE)&amp;")","")</f>
        <v/>
      </c>
      <c r="H96" s="26">
        <f>IFERROR(IF(B96&lt;&gt;'06_Target KPI'!$B$3,0,IF(VLOOKUP(F96,'05_Master KPI'!$B$5:$G$100,6,FALSE)="Kumulatif",INDEX('06_Target KPI'!$E$5:$P$100,MATCH(F96,'06_Target KPI'!$B$5:$B$100,0),MATCH(A96,'06_Target KPI'!$E$4:$P$4,0))*DAY(C96)/DAY(EOMONTH(C96,0)),INDEX('06_Target KPI'!$E$5:$P$100,MATCH(F96,'06_Target KPI'!$B$5:$B$100,0),MATCH(A96,'06_Target KPI'!$E$4:$P$4,0)))),0)</f>
        <v>0</v>
      </c>
      <c r="I96" s="24"/>
      <c r="J96" s="27">
        <f>IFERROR(MIN(IF(VLOOKUP(F96,'05_Master KPI'!$B$5:$G$100,5,FALSE)="Lower",H96/I96,I96/H96),1),0)</f>
        <v>0</v>
      </c>
      <c r="K96" s="26">
        <f>IFERROR(VLOOKUP(F96,'05_Master KPI'!$B$5:$G$100,4,FALSE),0)</f>
        <v>0</v>
      </c>
      <c r="L96" s="28">
        <f t="shared" si="1"/>
        <v>0</v>
      </c>
      <c r="M96" s="26" t="str">
        <f>IF(D96="","",IF(J96&gt;='13_Setting'!$H$7,"Tercapai",IF(J96&gt;='13_Setting'!$H$6,"On Track","Tertinggal")))</f>
        <v/>
      </c>
      <c r="N96" s="24"/>
    </row>
    <row r="97" spans="1:14">
      <c r="A97" s="24"/>
      <c r="B97" s="24"/>
      <c r="C97" s="25"/>
      <c r="D97" s="24"/>
      <c r="E97" s="26" t="str">
        <f>IFERROR(VLOOKUP(D97,'04_Master Karyawan'!$A$5:$F$50,2,FALSE),"")</f>
        <v/>
      </c>
      <c r="F97" s="24"/>
      <c r="G97" s="26" t="str">
        <f>IFERROR(VLOOKUP(F97,'05_Master KPI'!$B$5:$G$100,2,FALSE)&amp;" ("&amp;VLOOKUP(F97,'05_Master KPI'!$B$5:$G$100,3,FALSE)&amp;")","")</f>
        <v/>
      </c>
      <c r="H97" s="26">
        <f>IFERROR(IF(B97&lt;&gt;'06_Target KPI'!$B$3,0,IF(VLOOKUP(F97,'05_Master KPI'!$B$5:$G$100,6,FALSE)="Kumulatif",INDEX('06_Target KPI'!$E$5:$P$100,MATCH(F97,'06_Target KPI'!$B$5:$B$100,0),MATCH(A97,'06_Target KPI'!$E$4:$P$4,0))*DAY(C97)/DAY(EOMONTH(C97,0)),INDEX('06_Target KPI'!$E$5:$P$100,MATCH(F97,'06_Target KPI'!$B$5:$B$100,0),MATCH(A97,'06_Target KPI'!$E$4:$P$4,0)))),0)</f>
        <v>0</v>
      </c>
      <c r="I97" s="24"/>
      <c r="J97" s="27">
        <f>IFERROR(MIN(IF(VLOOKUP(F97,'05_Master KPI'!$B$5:$G$100,5,FALSE)="Lower",H97/I97,I97/H97),1),0)</f>
        <v>0</v>
      </c>
      <c r="K97" s="26">
        <f>IFERROR(VLOOKUP(F97,'05_Master KPI'!$B$5:$G$100,4,FALSE),0)</f>
        <v>0</v>
      </c>
      <c r="L97" s="28">
        <f t="shared" si="1"/>
        <v>0</v>
      </c>
      <c r="M97" s="26" t="str">
        <f>IF(D97="","",IF(J97&gt;='13_Setting'!$H$7,"Tercapai",IF(J97&gt;='13_Setting'!$H$6,"On Track","Tertinggal")))</f>
        <v/>
      </c>
      <c r="N97" s="24"/>
    </row>
    <row r="98" spans="1:14">
      <c r="A98" s="24"/>
      <c r="B98" s="24"/>
      <c r="C98" s="25"/>
      <c r="D98" s="24"/>
      <c r="E98" s="26" t="str">
        <f>IFERROR(VLOOKUP(D98,'04_Master Karyawan'!$A$5:$F$50,2,FALSE),"")</f>
        <v/>
      </c>
      <c r="F98" s="24"/>
      <c r="G98" s="26" t="str">
        <f>IFERROR(VLOOKUP(F98,'05_Master KPI'!$B$5:$G$100,2,FALSE)&amp;" ("&amp;VLOOKUP(F98,'05_Master KPI'!$B$5:$G$100,3,FALSE)&amp;")","")</f>
        <v/>
      </c>
      <c r="H98" s="26">
        <f>IFERROR(IF(B98&lt;&gt;'06_Target KPI'!$B$3,0,IF(VLOOKUP(F98,'05_Master KPI'!$B$5:$G$100,6,FALSE)="Kumulatif",INDEX('06_Target KPI'!$E$5:$P$100,MATCH(F98,'06_Target KPI'!$B$5:$B$100,0),MATCH(A98,'06_Target KPI'!$E$4:$P$4,0))*DAY(C98)/DAY(EOMONTH(C98,0)),INDEX('06_Target KPI'!$E$5:$P$100,MATCH(F98,'06_Target KPI'!$B$5:$B$100,0),MATCH(A98,'06_Target KPI'!$E$4:$P$4,0)))),0)</f>
        <v>0</v>
      </c>
      <c r="I98" s="24"/>
      <c r="J98" s="27">
        <f>IFERROR(MIN(IF(VLOOKUP(F98,'05_Master KPI'!$B$5:$G$100,5,FALSE)="Lower",H98/I98,I98/H98),1),0)</f>
        <v>0</v>
      </c>
      <c r="K98" s="26">
        <f>IFERROR(VLOOKUP(F98,'05_Master KPI'!$B$5:$G$100,4,FALSE),0)</f>
        <v>0</v>
      </c>
      <c r="L98" s="28">
        <f t="shared" si="1"/>
        <v>0</v>
      </c>
      <c r="M98" s="26" t="str">
        <f>IF(D98="","",IF(J98&gt;='13_Setting'!$H$7,"Tercapai",IF(J98&gt;='13_Setting'!$H$6,"On Track","Tertinggal")))</f>
        <v/>
      </c>
      <c r="N98" s="24"/>
    </row>
    <row r="99" spans="1:14">
      <c r="A99" s="24"/>
      <c r="B99" s="24"/>
      <c r="C99" s="25"/>
      <c r="D99" s="24"/>
      <c r="E99" s="26" t="str">
        <f>IFERROR(VLOOKUP(D99,'04_Master Karyawan'!$A$5:$F$50,2,FALSE),"")</f>
        <v/>
      </c>
      <c r="F99" s="24"/>
      <c r="G99" s="26" t="str">
        <f>IFERROR(VLOOKUP(F99,'05_Master KPI'!$B$5:$G$100,2,FALSE)&amp;" ("&amp;VLOOKUP(F99,'05_Master KPI'!$B$5:$G$100,3,FALSE)&amp;")","")</f>
        <v/>
      </c>
      <c r="H99" s="26">
        <f>IFERROR(IF(B99&lt;&gt;'06_Target KPI'!$B$3,0,IF(VLOOKUP(F99,'05_Master KPI'!$B$5:$G$100,6,FALSE)="Kumulatif",INDEX('06_Target KPI'!$E$5:$P$100,MATCH(F99,'06_Target KPI'!$B$5:$B$100,0),MATCH(A99,'06_Target KPI'!$E$4:$P$4,0))*DAY(C99)/DAY(EOMONTH(C99,0)),INDEX('06_Target KPI'!$E$5:$P$100,MATCH(F99,'06_Target KPI'!$B$5:$B$100,0),MATCH(A99,'06_Target KPI'!$E$4:$P$4,0)))),0)</f>
        <v>0</v>
      </c>
      <c r="I99" s="24"/>
      <c r="J99" s="27">
        <f>IFERROR(MIN(IF(VLOOKUP(F99,'05_Master KPI'!$B$5:$G$100,5,FALSE)="Lower",H99/I99,I99/H99),1),0)</f>
        <v>0</v>
      </c>
      <c r="K99" s="26">
        <f>IFERROR(VLOOKUP(F99,'05_Master KPI'!$B$5:$G$100,4,FALSE),0)</f>
        <v>0</v>
      </c>
      <c r="L99" s="28">
        <f t="shared" si="1"/>
        <v>0</v>
      </c>
      <c r="M99" s="26" t="str">
        <f>IF(D99="","",IF(J99&gt;='13_Setting'!$H$7,"Tercapai",IF(J99&gt;='13_Setting'!$H$6,"On Track","Tertinggal")))</f>
        <v/>
      </c>
      <c r="N99" s="24"/>
    </row>
    <row r="100" spans="1:14">
      <c r="A100" s="24"/>
      <c r="B100" s="24"/>
      <c r="C100" s="25"/>
      <c r="D100" s="24"/>
      <c r="E100" s="26" t="str">
        <f>IFERROR(VLOOKUP(D100,'04_Master Karyawan'!$A$5:$F$50,2,FALSE),"")</f>
        <v/>
      </c>
      <c r="F100" s="24"/>
      <c r="G100" s="26" t="str">
        <f>IFERROR(VLOOKUP(F100,'05_Master KPI'!$B$5:$G$100,2,FALSE)&amp;" ("&amp;VLOOKUP(F100,'05_Master KPI'!$B$5:$G$100,3,FALSE)&amp;")","")</f>
        <v/>
      </c>
      <c r="H100" s="26">
        <f>IFERROR(IF(B100&lt;&gt;'06_Target KPI'!$B$3,0,IF(VLOOKUP(F100,'05_Master KPI'!$B$5:$G$100,6,FALSE)="Kumulatif",INDEX('06_Target KPI'!$E$5:$P$100,MATCH(F100,'06_Target KPI'!$B$5:$B$100,0),MATCH(A100,'06_Target KPI'!$E$4:$P$4,0))*DAY(C100)/DAY(EOMONTH(C100,0)),INDEX('06_Target KPI'!$E$5:$P$100,MATCH(F100,'06_Target KPI'!$B$5:$B$100,0),MATCH(A100,'06_Target KPI'!$E$4:$P$4,0)))),0)</f>
        <v>0</v>
      </c>
      <c r="I100" s="24"/>
      <c r="J100" s="27">
        <f>IFERROR(MIN(IF(VLOOKUP(F100,'05_Master KPI'!$B$5:$G$100,5,FALSE)="Lower",H100/I100,I100/H100),1),0)</f>
        <v>0</v>
      </c>
      <c r="K100" s="26">
        <f>IFERROR(VLOOKUP(F100,'05_Master KPI'!$B$5:$G$100,4,FALSE),0)</f>
        <v>0</v>
      </c>
      <c r="L100" s="28">
        <f t="shared" si="1"/>
        <v>0</v>
      </c>
      <c r="M100" s="26" t="str">
        <f>IF(D100="","",IF(J100&gt;='13_Setting'!$H$7,"Tercapai",IF(J100&gt;='13_Setting'!$H$6,"On Track","Tertinggal")))</f>
        <v/>
      </c>
      <c r="N100" s="24"/>
    </row>
    <row r="101" spans="1:14">
      <c r="A101" s="24"/>
      <c r="B101" s="24"/>
      <c r="C101" s="25"/>
      <c r="D101" s="24"/>
      <c r="E101" s="26" t="str">
        <f>IFERROR(VLOOKUP(D101,'04_Master Karyawan'!$A$5:$F$50,2,FALSE),"")</f>
        <v/>
      </c>
      <c r="F101" s="24"/>
      <c r="G101" s="26" t="str">
        <f>IFERROR(VLOOKUP(F101,'05_Master KPI'!$B$5:$G$100,2,FALSE)&amp;" ("&amp;VLOOKUP(F101,'05_Master KPI'!$B$5:$G$100,3,FALSE)&amp;")","")</f>
        <v/>
      </c>
      <c r="H101" s="26">
        <f>IFERROR(IF(B101&lt;&gt;'06_Target KPI'!$B$3,0,IF(VLOOKUP(F101,'05_Master KPI'!$B$5:$G$100,6,FALSE)="Kumulatif",INDEX('06_Target KPI'!$E$5:$P$100,MATCH(F101,'06_Target KPI'!$B$5:$B$100,0),MATCH(A101,'06_Target KPI'!$E$4:$P$4,0))*DAY(C101)/DAY(EOMONTH(C101,0)),INDEX('06_Target KPI'!$E$5:$P$100,MATCH(F101,'06_Target KPI'!$B$5:$B$100,0),MATCH(A101,'06_Target KPI'!$E$4:$P$4,0)))),0)</f>
        <v>0</v>
      </c>
      <c r="I101" s="24"/>
      <c r="J101" s="27">
        <f>IFERROR(MIN(IF(VLOOKUP(F101,'05_Master KPI'!$B$5:$G$100,5,FALSE)="Lower",H101/I101,I101/H101),1),0)</f>
        <v>0</v>
      </c>
      <c r="K101" s="26">
        <f>IFERROR(VLOOKUP(F101,'05_Master KPI'!$B$5:$G$100,4,FALSE),0)</f>
        <v>0</v>
      </c>
      <c r="L101" s="28">
        <f t="shared" si="1"/>
        <v>0</v>
      </c>
      <c r="M101" s="26" t="str">
        <f>IF(D101="","",IF(J101&gt;='13_Setting'!$H$7,"Tercapai",IF(J101&gt;='13_Setting'!$H$6,"On Track","Tertinggal")))</f>
        <v/>
      </c>
      <c r="N101" s="24"/>
    </row>
    <row r="102" spans="1:14">
      <c r="A102" s="24"/>
      <c r="B102" s="24"/>
      <c r="C102" s="25"/>
      <c r="D102" s="24"/>
      <c r="E102" s="26" t="str">
        <f>IFERROR(VLOOKUP(D102,'04_Master Karyawan'!$A$5:$F$50,2,FALSE),"")</f>
        <v/>
      </c>
      <c r="F102" s="24"/>
      <c r="G102" s="26" t="str">
        <f>IFERROR(VLOOKUP(F102,'05_Master KPI'!$B$5:$G$100,2,FALSE)&amp;" ("&amp;VLOOKUP(F102,'05_Master KPI'!$B$5:$G$100,3,FALSE)&amp;")","")</f>
        <v/>
      </c>
      <c r="H102" s="26">
        <f>IFERROR(IF(B102&lt;&gt;'06_Target KPI'!$B$3,0,IF(VLOOKUP(F102,'05_Master KPI'!$B$5:$G$100,6,FALSE)="Kumulatif",INDEX('06_Target KPI'!$E$5:$P$100,MATCH(F102,'06_Target KPI'!$B$5:$B$100,0),MATCH(A102,'06_Target KPI'!$E$4:$P$4,0))*DAY(C102)/DAY(EOMONTH(C102,0)),INDEX('06_Target KPI'!$E$5:$P$100,MATCH(F102,'06_Target KPI'!$B$5:$B$100,0),MATCH(A102,'06_Target KPI'!$E$4:$P$4,0)))),0)</f>
        <v>0</v>
      </c>
      <c r="I102" s="24"/>
      <c r="J102" s="27">
        <f>IFERROR(MIN(IF(VLOOKUP(F102,'05_Master KPI'!$B$5:$G$100,5,FALSE)="Lower",H102/I102,I102/H102),1),0)</f>
        <v>0</v>
      </c>
      <c r="K102" s="26">
        <f>IFERROR(VLOOKUP(F102,'05_Master KPI'!$B$5:$G$100,4,FALSE),0)</f>
        <v>0</v>
      </c>
      <c r="L102" s="28">
        <f t="shared" si="1"/>
        <v>0</v>
      </c>
      <c r="M102" s="26" t="str">
        <f>IF(D102="","",IF(J102&gt;='13_Setting'!$H$7,"Tercapai",IF(J102&gt;='13_Setting'!$H$6,"On Track","Tertinggal")))</f>
        <v/>
      </c>
      <c r="N102" s="24"/>
    </row>
    <row r="103" spans="1:14">
      <c r="A103" s="24"/>
      <c r="B103" s="24"/>
      <c r="C103" s="25"/>
      <c r="D103" s="24"/>
      <c r="E103" s="26" t="str">
        <f>IFERROR(VLOOKUP(D103,'04_Master Karyawan'!$A$5:$F$50,2,FALSE),"")</f>
        <v/>
      </c>
      <c r="F103" s="24"/>
      <c r="G103" s="26" t="str">
        <f>IFERROR(VLOOKUP(F103,'05_Master KPI'!$B$5:$G$100,2,FALSE)&amp;" ("&amp;VLOOKUP(F103,'05_Master KPI'!$B$5:$G$100,3,FALSE)&amp;")","")</f>
        <v/>
      </c>
      <c r="H103" s="26">
        <f>IFERROR(IF(B103&lt;&gt;'06_Target KPI'!$B$3,0,IF(VLOOKUP(F103,'05_Master KPI'!$B$5:$G$100,6,FALSE)="Kumulatif",INDEX('06_Target KPI'!$E$5:$P$100,MATCH(F103,'06_Target KPI'!$B$5:$B$100,0),MATCH(A103,'06_Target KPI'!$E$4:$P$4,0))*DAY(C103)/DAY(EOMONTH(C103,0)),INDEX('06_Target KPI'!$E$5:$P$100,MATCH(F103,'06_Target KPI'!$B$5:$B$100,0),MATCH(A103,'06_Target KPI'!$E$4:$P$4,0)))),0)</f>
        <v>0</v>
      </c>
      <c r="I103" s="24"/>
      <c r="J103" s="27">
        <f>IFERROR(MIN(IF(VLOOKUP(F103,'05_Master KPI'!$B$5:$G$100,5,FALSE)="Lower",H103/I103,I103/H103),1),0)</f>
        <v>0</v>
      </c>
      <c r="K103" s="26">
        <f>IFERROR(VLOOKUP(F103,'05_Master KPI'!$B$5:$G$100,4,FALSE),0)</f>
        <v>0</v>
      </c>
      <c r="L103" s="28">
        <f t="shared" si="1"/>
        <v>0</v>
      </c>
      <c r="M103" s="26" t="str">
        <f>IF(D103="","",IF(J103&gt;='13_Setting'!$H$7,"Tercapai",IF(J103&gt;='13_Setting'!$H$6,"On Track","Tertinggal")))</f>
        <v/>
      </c>
      <c r="N103" s="24"/>
    </row>
    <row r="104" spans="1:14">
      <c r="A104" s="24"/>
      <c r="B104" s="24"/>
      <c r="C104" s="25"/>
      <c r="D104" s="24"/>
      <c r="E104" s="26" t="str">
        <f>IFERROR(VLOOKUP(D104,'04_Master Karyawan'!$A$5:$F$50,2,FALSE),"")</f>
        <v/>
      </c>
      <c r="F104" s="24"/>
      <c r="G104" s="26" t="str">
        <f>IFERROR(VLOOKUP(F104,'05_Master KPI'!$B$5:$G$100,2,FALSE)&amp;" ("&amp;VLOOKUP(F104,'05_Master KPI'!$B$5:$G$100,3,FALSE)&amp;")","")</f>
        <v/>
      </c>
      <c r="H104" s="26">
        <f>IFERROR(IF(B104&lt;&gt;'06_Target KPI'!$B$3,0,IF(VLOOKUP(F104,'05_Master KPI'!$B$5:$G$100,6,FALSE)="Kumulatif",INDEX('06_Target KPI'!$E$5:$P$100,MATCH(F104,'06_Target KPI'!$B$5:$B$100,0),MATCH(A104,'06_Target KPI'!$E$4:$P$4,0))*DAY(C104)/DAY(EOMONTH(C104,0)),INDEX('06_Target KPI'!$E$5:$P$100,MATCH(F104,'06_Target KPI'!$B$5:$B$100,0),MATCH(A104,'06_Target KPI'!$E$4:$P$4,0)))),0)</f>
        <v>0</v>
      </c>
      <c r="I104" s="24"/>
      <c r="J104" s="27">
        <f>IFERROR(MIN(IF(VLOOKUP(F104,'05_Master KPI'!$B$5:$G$100,5,FALSE)="Lower",H104/I104,I104/H104),1),0)</f>
        <v>0</v>
      </c>
      <c r="K104" s="26">
        <f>IFERROR(VLOOKUP(F104,'05_Master KPI'!$B$5:$G$100,4,FALSE),0)</f>
        <v>0</v>
      </c>
      <c r="L104" s="28">
        <f t="shared" si="1"/>
        <v>0</v>
      </c>
      <c r="M104" s="26" t="str">
        <f>IF(D104="","",IF(J104&gt;='13_Setting'!$H$7,"Tercapai",IF(J104&gt;='13_Setting'!$H$6,"On Track","Tertinggal")))</f>
        <v/>
      </c>
      <c r="N104" s="24"/>
    </row>
    <row r="105" spans="1:14">
      <c r="A105" s="24"/>
      <c r="B105" s="24"/>
      <c r="C105" s="25"/>
      <c r="D105" s="24"/>
      <c r="E105" s="26" t="str">
        <f>IFERROR(VLOOKUP(D105,'04_Master Karyawan'!$A$5:$F$50,2,FALSE),"")</f>
        <v/>
      </c>
      <c r="F105" s="24"/>
      <c r="G105" s="26" t="str">
        <f>IFERROR(VLOOKUP(F105,'05_Master KPI'!$B$5:$G$100,2,FALSE)&amp;" ("&amp;VLOOKUP(F105,'05_Master KPI'!$B$5:$G$100,3,FALSE)&amp;")","")</f>
        <v/>
      </c>
      <c r="H105" s="26">
        <f>IFERROR(IF(B105&lt;&gt;'06_Target KPI'!$B$3,0,IF(VLOOKUP(F105,'05_Master KPI'!$B$5:$G$100,6,FALSE)="Kumulatif",INDEX('06_Target KPI'!$E$5:$P$100,MATCH(F105,'06_Target KPI'!$B$5:$B$100,0),MATCH(A105,'06_Target KPI'!$E$4:$P$4,0))*DAY(C105)/DAY(EOMONTH(C105,0)),INDEX('06_Target KPI'!$E$5:$P$100,MATCH(F105,'06_Target KPI'!$B$5:$B$100,0),MATCH(A105,'06_Target KPI'!$E$4:$P$4,0)))),0)</f>
        <v>0</v>
      </c>
      <c r="I105" s="24"/>
      <c r="J105" s="27">
        <f>IFERROR(MIN(IF(VLOOKUP(F105,'05_Master KPI'!$B$5:$G$100,5,FALSE)="Lower",H105/I105,I105/H105),1),0)</f>
        <v>0</v>
      </c>
      <c r="K105" s="26">
        <f>IFERROR(VLOOKUP(F105,'05_Master KPI'!$B$5:$G$100,4,FALSE),0)</f>
        <v>0</v>
      </c>
      <c r="L105" s="28">
        <f t="shared" si="1"/>
        <v>0</v>
      </c>
      <c r="M105" s="26" t="str">
        <f>IF(D105="","",IF(J105&gt;='13_Setting'!$H$7,"Tercapai",IF(J105&gt;='13_Setting'!$H$6,"On Track","Tertinggal")))</f>
        <v/>
      </c>
      <c r="N105" s="24"/>
    </row>
    <row r="106" spans="1:14">
      <c r="A106" s="24"/>
      <c r="B106" s="24"/>
      <c r="C106" s="25"/>
      <c r="D106" s="24"/>
      <c r="E106" s="26" t="str">
        <f>IFERROR(VLOOKUP(D106,'04_Master Karyawan'!$A$5:$F$50,2,FALSE),"")</f>
        <v/>
      </c>
      <c r="F106" s="24"/>
      <c r="G106" s="26" t="str">
        <f>IFERROR(VLOOKUP(F106,'05_Master KPI'!$B$5:$G$100,2,FALSE)&amp;" ("&amp;VLOOKUP(F106,'05_Master KPI'!$B$5:$G$100,3,FALSE)&amp;")","")</f>
        <v/>
      </c>
      <c r="H106" s="26">
        <f>IFERROR(IF(B106&lt;&gt;'06_Target KPI'!$B$3,0,IF(VLOOKUP(F106,'05_Master KPI'!$B$5:$G$100,6,FALSE)="Kumulatif",INDEX('06_Target KPI'!$E$5:$P$100,MATCH(F106,'06_Target KPI'!$B$5:$B$100,0),MATCH(A106,'06_Target KPI'!$E$4:$P$4,0))*DAY(C106)/DAY(EOMONTH(C106,0)),INDEX('06_Target KPI'!$E$5:$P$100,MATCH(F106,'06_Target KPI'!$B$5:$B$100,0),MATCH(A106,'06_Target KPI'!$E$4:$P$4,0)))),0)</f>
        <v>0</v>
      </c>
      <c r="I106" s="24"/>
      <c r="J106" s="27">
        <f>IFERROR(MIN(IF(VLOOKUP(F106,'05_Master KPI'!$B$5:$G$100,5,FALSE)="Lower",H106/I106,I106/H106),1),0)</f>
        <v>0</v>
      </c>
      <c r="K106" s="26">
        <f>IFERROR(VLOOKUP(F106,'05_Master KPI'!$B$5:$G$100,4,FALSE),0)</f>
        <v>0</v>
      </c>
      <c r="L106" s="28">
        <f t="shared" si="1"/>
        <v>0</v>
      </c>
      <c r="M106" s="26" t="str">
        <f>IF(D106="","",IF(J106&gt;='13_Setting'!$H$7,"Tercapai",IF(J106&gt;='13_Setting'!$H$6,"On Track","Tertinggal")))</f>
        <v/>
      </c>
      <c r="N106" s="24"/>
    </row>
    <row r="107" spans="1:14">
      <c r="A107" s="24"/>
      <c r="B107" s="24"/>
      <c r="C107" s="25"/>
      <c r="D107" s="24"/>
      <c r="E107" s="26" t="str">
        <f>IFERROR(VLOOKUP(D107,'04_Master Karyawan'!$A$5:$F$50,2,FALSE),"")</f>
        <v/>
      </c>
      <c r="F107" s="24"/>
      <c r="G107" s="26" t="str">
        <f>IFERROR(VLOOKUP(F107,'05_Master KPI'!$B$5:$G$100,2,FALSE)&amp;" ("&amp;VLOOKUP(F107,'05_Master KPI'!$B$5:$G$100,3,FALSE)&amp;")","")</f>
        <v/>
      </c>
      <c r="H107" s="26">
        <f>IFERROR(IF(B107&lt;&gt;'06_Target KPI'!$B$3,0,IF(VLOOKUP(F107,'05_Master KPI'!$B$5:$G$100,6,FALSE)="Kumulatif",INDEX('06_Target KPI'!$E$5:$P$100,MATCH(F107,'06_Target KPI'!$B$5:$B$100,0),MATCH(A107,'06_Target KPI'!$E$4:$P$4,0))*DAY(C107)/DAY(EOMONTH(C107,0)),INDEX('06_Target KPI'!$E$5:$P$100,MATCH(F107,'06_Target KPI'!$B$5:$B$100,0),MATCH(A107,'06_Target KPI'!$E$4:$P$4,0)))),0)</f>
        <v>0</v>
      </c>
      <c r="I107" s="24"/>
      <c r="J107" s="27">
        <f>IFERROR(MIN(IF(VLOOKUP(F107,'05_Master KPI'!$B$5:$G$100,5,FALSE)="Lower",H107/I107,I107/H107),1),0)</f>
        <v>0</v>
      </c>
      <c r="K107" s="26">
        <f>IFERROR(VLOOKUP(F107,'05_Master KPI'!$B$5:$G$100,4,FALSE),0)</f>
        <v>0</v>
      </c>
      <c r="L107" s="28">
        <f t="shared" si="1"/>
        <v>0</v>
      </c>
      <c r="M107" s="26" t="str">
        <f>IF(D107="","",IF(J107&gt;='13_Setting'!$H$7,"Tercapai",IF(J107&gt;='13_Setting'!$H$6,"On Track","Tertinggal")))</f>
        <v/>
      </c>
      <c r="N107" s="24"/>
    </row>
    <row r="108" spans="1:14">
      <c r="A108" s="24"/>
      <c r="B108" s="24"/>
      <c r="C108" s="25"/>
      <c r="D108" s="24"/>
      <c r="E108" s="26" t="str">
        <f>IFERROR(VLOOKUP(D108,'04_Master Karyawan'!$A$5:$F$50,2,FALSE),"")</f>
        <v/>
      </c>
      <c r="F108" s="24"/>
      <c r="G108" s="26" t="str">
        <f>IFERROR(VLOOKUP(F108,'05_Master KPI'!$B$5:$G$100,2,FALSE)&amp;" ("&amp;VLOOKUP(F108,'05_Master KPI'!$B$5:$G$100,3,FALSE)&amp;")","")</f>
        <v/>
      </c>
      <c r="H108" s="26">
        <f>IFERROR(IF(B108&lt;&gt;'06_Target KPI'!$B$3,0,IF(VLOOKUP(F108,'05_Master KPI'!$B$5:$G$100,6,FALSE)="Kumulatif",INDEX('06_Target KPI'!$E$5:$P$100,MATCH(F108,'06_Target KPI'!$B$5:$B$100,0),MATCH(A108,'06_Target KPI'!$E$4:$P$4,0))*DAY(C108)/DAY(EOMONTH(C108,0)),INDEX('06_Target KPI'!$E$5:$P$100,MATCH(F108,'06_Target KPI'!$B$5:$B$100,0),MATCH(A108,'06_Target KPI'!$E$4:$P$4,0)))),0)</f>
        <v>0</v>
      </c>
      <c r="I108" s="24"/>
      <c r="J108" s="27">
        <f>IFERROR(MIN(IF(VLOOKUP(F108,'05_Master KPI'!$B$5:$G$100,5,FALSE)="Lower",H108/I108,I108/H108),1),0)</f>
        <v>0</v>
      </c>
      <c r="K108" s="26">
        <f>IFERROR(VLOOKUP(F108,'05_Master KPI'!$B$5:$G$100,4,FALSE),0)</f>
        <v>0</v>
      </c>
      <c r="L108" s="28">
        <f t="shared" si="1"/>
        <v>0</v>
      </c>
      <c r="M108" s="26" t="str">
        <f>IF(D108="","",IF(J108&gt;='13_Setting'!$H$7,"Tercapai",IF(J108&gt;='13_Setting'!$H$6,"On Track","Tertinggal")))</f>
        <v/>
      </c>
      <c r="N108" s="24"/>
    </row>
    <row r="109" spans="1:14">
      <c r="A109" s="24"/>
      <c r="B109" s="24"/>
      <c r="C109" s="25"/>
      <c r="D109" s="24"/>
      <c r="E109" s="26" t="str">
        <f>IFERROR(VLOOKUP(D109,'04_Master Karyawan'!$A$5:$F$50,2,FALSE),"")</f>
        <v/>
      </c>
      <c r="F109" s="24"/>
      <c r="G109" s="26" t="str">
        <f>IFERROR(VLOOKUP(F109,'05_Master KPI'!$B$5:$G$100,2,FALSE)&amp;" ("&amp;VLOOKUP(F109,'05_Master KPI'!$B$5:$G$100,3,FALSE)&amp;")","")</f>
        <v/>
      </c>
      <c r="H109" s="26">
        <f>IFERROR(IF(B109&lt;&gt;'06_Target KPI'!$B$3,0,IF(VLOOKUP(F109,'05_Master KPI'!$B$5:$G$100,6,FALSE)="Kumulatif",INDEX('06_Target KPI'!$E$5:$P$100,MATCH(F109,'06_Target KPI'!$B$5:$B$100,0),MATCH(A109,'06_Target KPI'!$E$4:$P$4,0))*DAY(C109)/DAY(EOMONTH(C109,0)),INDEX('06_Target KPI'!$E$5:$P$100,MATCH(F109,'06_Target KPI'!$B$5:$B$100,0),MATCH(A109,'06_Target KPI'!$E$4:$P$4,0)))),0)</f>
        <v>0</v>
      </c>
      <c r="I109" s="24"/>
      <c r="J109" s="27">
        <f>IFERROR(MIN(IF(VLOOKUP(F109,'05_Master KPI'!$B$5:$G$100,5,FALSE)="Lower",H109/I109,I109/H109),1),0)</f>
        <v>0</v>
      </c>
      <c r="K109" s="26">
        <f>IFERROR(VLOOKUP(F109,'05_Master KPI'!$B$5:$G$100,4,FALSE),0)</f>
        <v>0</v>
      </c>
      <c r="L109" s="28">
        <f t="shared" si="1"/>
        <v>0</v>
      </c>
      <c r="M109" s="26" t="str">
        <f>IF(D109="","",IF(J109&gt;='13_Setting'!$H$7,"Tercapai",IF(J109&gt;='13_Setting'!$H$6,"On Track","Tertinggal")))</f>
        <v/>
      </c>
      <c r="N109" s="24"/>
    </row>
    <row r="110" spans="1:14">
      <c r="A110" s="24"/>
      <c r="B110" s="24"/>
      <c r="C110" s="25"/>
      <c r="D110" s="24"/>
      <c r="E110" s="26" t="str">
        <f>IFERROR(VLOOKUP(D110,'04_Master Karyawan'!$A$5:$F$50,2,FALSE),"")</f>
        <v/>
      </c>
      <c r="F110" s="24"/>
      <c r="G110" s="26" t="str">
        <f>IFERROR(VLOOKUP(F110,'05_Master KPI'!$B$5:$G$100,2,FALSE)&amp;" ("&amp;VLOOKUP(F110,'05_Master KPI'!$B$5:$G$100,3,FALSE)&amp;")","")</f>
        <v/>
      </c>
      <c r="H110" s="26">
        <f>IFERROR(IF(B110&lt;&gt;'06_Target KPI'!$B$3,0,IF(VLOOKUP(F110,'05_Master KPI'!$B$5:$G$100,6,FALSE)="Kumulatif",INDEX('06_Target KPI'!$E$5:$P$100,MATCH(F110,'06_Target KPI'!$B$5:$B$100,0),MATCH(A110,'06_Target KPI'!$E$4:$P$4,0))*DAY(C110)/DAY(EOMONTH(C110,0)),INDEX('06_Target KPI'!$E$5:$P$100,MATCH(F110,'06_Target KPI'!$B$5:$B$100,0),MATCH(A110,'06_Target KPI'!$E$4:$P$4,0)))),0)</f>
        <v>0</v>
      </c>
      <c r="I110" s="24"/>
      <c r="J110" s="27">
        <f>IFERROR(MIN(IF(VLOOKUP(F110,'05_Master KPI'!$B$5:$G$100,5,FALSE)="Lower",H110/I110,I110/H110),1),0)</f>
        <v>0</v>
      </c>
      <c r="K110" s="26">
        <f>IFERROR(VLOOKUP(F110,'05_Master KPI'!$B$5:$G$100,4,FALSE),0)</f>
        <v>0</v>
      </c>
      <c r="L110" s="28">
        <f t="shared" si="1"/>
        <v>0</v>
      </c>
      <c r="M110" s="26" t="str">
        <f>IF(D110="","",IF(J110&gt;='13_Setting'!$H$7,"Tercapai",IF(J110&gt;='13_Setting'!$H$6,"On Track","Tertinggal")))</f>
        <v/>
      </c>
      <c r="N110" s="24"/>
    </row>
    <row r="111" spans="1:14">
      <c r="A111" s="24"/>
      <c r="B111" s="24"/>
      <c r="C111" s="25"/>
      <c r="D111" s="24"/>
      <c r="E111" s="26" t="str">
        <f>IFERROR(VLOOKUP(D111,'04_Master Karyawan'!$A$5:$F$50,2,FALSE),"")</f>
        <v/>
      </c>
      <c r="F111" s="24"/>
      <c r="G111" s="26" t="str">
        <f>IFERROR(VLOOKUP(F111,'05_Master KPI'!$B$5:$G$100,2,FALSE)&amp;" ("&amp;VLOOKUP(F111,'05_Master KPI'!$B$5:$G$100,3,FALSE)&amp;")","")</f>
        <v/>
      </c>
      <c r="H111" s="26">
        <f>IFERROR(IF(B111&lt;&gt;'06_Target KPI'!$B$3,0,IF(VLOOKUP(F111,'05_Master KPI'!$B$5:$G$100,6,FALSE)="Kumulatif",INDEX('06_Target KPI'!$E$5:$P$100,MATCH(F111,'06_Target KPI'!$B$5:$B$100,0),MATCH(A111,'06_Target KPI'!$E$4:$P$4,0))*DAY(C111)/DAY(EOMONTH(C111,0)),INDEX('06_Target KPI'!$E$5:$P$100,MATCH(F111,'06_Target KPI'!$B$5:$B$100,0),MATCH(A111,'06_Target KPI'!$E$4:$P$4,0)))),0)</f>
        <v>0</v>
      </c>
      <c r="I111" s="24"/>
      <c r="J111" s="27">
        <f>IFERROR(MIN(IF(VLOOKUP(F111,'05_Master KPI'!$B$5:$G$100,5,FALSE)="Lower",H111/I111,I111/H111),1),0)</f>
        <v>0</v>
      </c>
      <c r="K111" s="26">
        <f>IFERROR(VLOOKUP(F111,'05_Master KPI'!$B$5:$G$100,4,FALSE),0)</f>
        <v>0</v>
      </c>
      <c r="L111" s="28">
        <f t="shared" si="1"/>
        <v>0</v>
      </c>
      <c r="M111" s="26" t="str">
        <f>IF(D111="","",IF(J111&gt;='13_Setting'!$H$7,"Tercapai",IF(J111&gt;='13_Setting'!$H$6,"On Track","Tertinggal")))</f>
        <v/>
      </c>
      <c r="N111" s="24"/>
    </row>
    <row r="112" spans="1:14">
      <c r="A112" s="24"/>
      <c r="B112" s="24"/>
      <c r="C112" s="25"/>
      <c r="D112" s="24"/>
      <c r="E112" s="26" t="str">
        <f>IFERROR(VLOOKUP(D112,'04_Master Karyawan'!$A$5:$F$50,2,FALSE),"")</f>
        <v/>
      </c>
      <c r="F112" s="24"/>
      <c r="G112" s="26" t="str">
        <f>IFERROR(VLOOKUP(F112,'05_Master KPI'!$B$5:$G$100,2,FALSE)&amp;" ("&amp;VLOOKUP(F112,'05_Master KPI'!$B$5:$G$100,3,FALSE)&amp;")","")</f>
        <v/>
      </c>
      <c r="H112" s="26">
        <f>IFERROR(IF(B112&lt;&gt;'06_Target KPI'!$B$3,0,IF(VLOOKUP(F112,'05_Master KPI'!$B$5:$G$100,6,FALSE)="Kumulatif",INDEX('06_Target KPI'!$E$5:$P$100,MATCH(F112,'06_Target KPI'!$B$5:$B$100,0),MATCH(A112,'06_Target KPI'!$E$4:$P$4,0))*DAY(C112)/DAY(EOMONTH(C112,0)),INDEX('06_Target KPI'!$E$5:$P$100,MATCH(F112,'06_Target KPI'!$B$5:$B$100,0),MATCH(A112,'06_Target KPI'!$E$4:$P$4,0)))),0)</f>
        <v>0</v>
      </c>
      <c r="I112" s="24"/>
      <c r="J112" s="27">
        <f>IFERROR(MIN(IF(VLOOKUP(F112,'05_Master KPI'!$B$5:$G$100,5,FALSE)="Lower",H112/I112,I112/H112),1),0)</f>
        <v>0</v>
      </c>
      <c r="K112" s="26">
        <f>IFERROR(VLOOKUP(F112,'05_Master KPI'!$B$5:$G$100,4,FALSE),0)</f>
        <v>0</v>
      </c>
      <c r="L112" s="28">
        <f t="shared" si="1"/>
        <v>0</v>
      </c>
      <c r="M112" s="26" t="str">
        <f>IF(D112="","",IF(J112&gt;='13_Setting'!$H$7,"Tercapai",IF(J112&gt;='13_Setting'!$H$6,"On Track","Tertinggal")))</f>
        <v/>
      </c>
      <c r="N112" s="24"/>
    </row>
    <row r="113" spans="1:14">
      <c r="A113" s="24"/>
      <c r="B113" s="24"/>
      <c r="C113" s="25"/>
      <c r="D113" s="24"/>
      <c r="E113" s="26" t="str">
        <f>IFERROR(VLOOKUP(D113,'04_Master Karyawan'!$A$5:$F$50,2,FALSE),"")</f>
        <v/>
      </c>
      <c r="F113" s="24"/>
      <c r="G113" s="26" t="str">
        <f>IFERROR(VLOOKUP(F113,'05_Master KPI'!$B$5:$G$100,2,FALSE)&amp;" ("&amp;VLOOKUP(F113,'05_Master KPI'!$B$5:$G$100,3,FALSE)&amp;")","")</f>
        <v/>
      </c>
      <c r="H113" s="26">
        <f>IFERROR(IF(B113&lt;&gt;'06_Target KPI'!$B$3,0,IF(VLOOKUP(F113,'05_Master KPI'!$B$5:$G$100,6,FALSE)="Kumulatif",INDEX('06_Target KPI'!$E$5:$P$100,MATCH(F113,'06_Target KPI'!$B$5:$B$100,0),MATCH(A113,'06_Target KPI'!$E$4:$P$4,0))*DAY(C113)/DAY(EOMONTH(C113,0)),INDEX('06_Target KPI'!$E$5:$P$100,MATCH(F113,'06_Target KPI'!$B$5:$B$100,0),MATCH(A113,'06_Target KPI'!$E$4:$P$4,0)))),0)</f>
        <v>0</v>
      </c>
      <c r="I113" s="24"/>
      <c r="J113" s="27">
        <f>IFERROR(MIN(IF(VLOOKUP(F113,'05_Master KPI'!$B$5:$G$100,5,FALSE)="Lower",H113/I113,I113/H113),1),0)</f>
        <v>0</v>
      </c>
      <c r="K113" s="26">
        <f>IFERROR(VLOOKUP(F113,'05_Master KPI'!$B$5:$G$100,4,FALSE),0)</f>
        <v>0</v>
      </c>
      <c r="L113" s="28">
        <f t="shared" si="1"/>
        <v>0</v>
      </c>
      <c r="M113" s="26" t="str">
        <f>IF(D113="","",IF(J113&gt;='13_Setting'!$H$7,"Tercapai",IF(J113&gt;='13_Setting'!$H$6,"On Track","Tertinggal")))</f>
        <v/>
      </c>
      <c r="N113" s="24"/>
    </row>
    <row r="114" spans="1:14">
      <c r="A114" s="24"/>
      <c r="B114" s="24"/>
      <c r="C114" s="25"/>
      <c r="D114" s="24"/>
      <c r="E114" s="26" t="str">
        <f>IFERROR(VLOOKUP(D114,'04_Master Karyawan'!$A$5:$F$50,2,FALSE),"")</f>
        <v/>
      </c>
      <c r="F114" s="24"/>
      <c r="G114" s="26" t="str">
        <f>IFERROR(VLOOKUP(F114,'05_Master KPI'!$B$5:$G$100,2,FALSE)&amp;" ("&amp;VLOOKUP(F114,'05_Master KPI'!$B$5:$G$100,3,FALSE)&amp;")","")</f>
        <v/>
      </c>
      <c r="H114" s="26">
        <f>IFERROR(IF(B114&lt;&gt;'06_Target KPI'!$B$3,0,IF(VLOOKUP(F114,'05_Master KPI'!$B$5:$G$100,6,FALSE)="Kumulatif",INDEX('06_Target KPI'!$E$5:$P$100,MATCH(F114,'06_Target KPI'!$B$5:$B$100,0),MATCH(A114,'06_Target KPI'!$E$4:$P$4,0))*DAY(C114)/DAY(EOMONTH(C114,0)),INDEX('06_Target KPI'!$E$5:$P$100,MATCH(F114,'06_Target KPI'!$B$5:$B$100,0),MATCH(A114,'06_Target KPI'!$E$4:$P$4,0)))),0)</f>
        <v>0</v>
      </c>
      <c r="I114" s="24"/>
      <c r="J114" s="27">
        <f>IFERROR(MIN(IF(VLOOKUP(F114,'05_Master KPI'!$B$5:$G$100,5,FALSE)="Lower",H114/I114,I114/H114),1),0)</f>
        <v>0</v>
      </c>
      <c r="K114" s="26">
        <f>IFERROR(VLOOKUP(F114,'05_Master KPI'!$B$5:$G$100,4,FALSE),0)</f>
        <v>0</v>
      </c>
      <c r="L114" s="28">
        <f t="shared" si="1"/>
        <v>0</v>
      </c>
      <c r="M114" s="26" t="str">
        <f>IF(D114="","",IF(J114&gt;='13_Setting'!$H$7,"Tercapai",IF(J114&gt;='13_Setting'!$H$6,"On Track","Tertinggal")))</f>
        <v/>
      </c>
      <c r="N114" s="24"/>
    </row>
    <row r="115" spans="1:14">
      <c r="A115" s="24"/>
      <c r="B115" s="24"/>
      <c r="C115" s="25"/>
      <c r="D115" s="24"/>
      <c r="E115" s="26" t="str">
        <f>IFERROR(VLOOKUP(D115,'04_Master Karyawan'!$A$5:$F$50,2,FALSE),"")</f>
        <v/>
      </c>
      <c r="F115" s="24"/>
      <c r="G115" s="26" t="str">
        <f>IFERROR(VLOOKUP(F115,'05_Master KPI'!$B$5:$G$100,2,FALSE)&amp;" ("&amp;VLOOKUP(F115,'05_Master KPI'!$B$5:$G$100,3,FALSE)&amp;")","")</f>
        <v/>
      </c>
      <c r="H115" s="26">
        <f>IFERROR(IF(B115&lt;&gt;'06_Target KPI'!$B$3,0,IF(VLOOKUP(F115,'05_Master KPI'!$B$5:$G$100,6,FALSE)="Kumulatif",INDEX('06_Target KPI'!$E$5:$P$100,MATCH(F115,'06_Target KPI'!$B$5:$B$100,0),MATCH(A115,'06_Target KPI'!$E$4:$P$4,0))*DAY(C115)/DAY(EOMONTH(C115,0)),INDEX('06_Target KPI'!$E$5:$P$100,MATCH(F115,'06_Target KPI'!$B$5:$B$100,0),MATCH(A115,'06_Target KPI'!$E$4:$P$4,0)))),0)</f>
        <v>0</v>
      </c>
      <c r="I115" s="24"/>
      <c r="J115" s="27">
        <f>IFERROR(MIN(IF(VLOOKUP(F115,'05_Master KPI'!$B$5:$G$100,5,FALSE)="Lower",H115/I115,I115/H115),1),0)</f>
        <v>0</v>
      </c>
      <c r="K115" s="26">
        <f>IFERROR(VLOOKUP(F115,'05_Master KPI'!$B$5:$G$100,4,FALSE),0)</f>
        <v>0</v>
      </c>
      <c r="L115" s="28">
        <f t="shared" si="1"/>
        <v>0</v>
      </c>
      <c r="M115" s="26" t="str">
        <f>IF(D115="","",IF(J115&gt;='13_Setting'!$H$7,"Tercapai",IF(J115&gt;='13_Setting'!$H$6,"On Track","Tertinggal")))</f>
        <v/>
      </c>
      <c r="N115" s="24"/>
    </row>
    <row r="116" spans="1:14">
      <c r="A116" s="24"/>
      <c r="B116" s="24"/>
      <c r="C116" s="25"/>
      <c r="D116" s="24"/>
      <c r="E116" s="26" t="str">
        <f>IFERROR(VLOOKUP(D116,'04_Master Karyawan'!$A$5:$F$50,2,FALSE),"")</f>
        <v/>
      </c>
      <c r="F116" s="24"/>
      <c r="G116" s="26" t="str">
        <f>IFERROR(VLOOKUP(F116,'05_Master KPI'!$B$5:$G$100,2,FALSE)&amp;" ("&amp;VLOOKUP(F116,'05_Master KPI'!$B$5:$G$100,3,FALSE)&amp;")","")</f>
        <v/>
      </c>
      <c r="H116" s="26">
        <f>IFERROR(IF(B116&lt;&gt;'06_Target KPI'!$B$3,0,IF(VLOOKUP(F116,'05_Master KPI'!$B$5:$G$100,6,FALSE)="Kumulatif",INDEX('06_Target KPI'!$E$5:$P$100,MATCH(F116,'06_Target KPI'!$B$5:$B$100,0),MATCH(A116,'06_Target KPI'!$E$4:$P$4,0))*DAY(C116)/DAY(EOMONTH(C116,0)),INDEX('06_Target KPI'!$E$5:$P$100,MATCH(F116,'06_Target KPI'!$B$5:$B$100,0),MATCH(A116,'06_Target KPI'!$E$4:$P$4,0)))),0)</f>
        <v>0</v>
      </c>
      <c r="I116" s="24"/>
      <c r="J116" s="27">
        <f>IFERROR(MIN(IF(VLOOKUP(F116,'05_Master KPI'!$B$5:$G$100,5,FALSE)="Lower",H116/I116,I116/H116),1),0)</f>
        <v>0</v>
      </c>
      <c r="K116" s="26">
        <f>IFERROR(VLOOKUP(F116,'05_Master KPI'!$B$5:$G$100,4,FALSE),0)</f>
        <v>0</v>
      </c>
      <c r="L116" s="28">
        <f t="shared" si="1"/>
        <v>0</v>
      </c>
      <c r="M116" s="26" t="str">
        <f>IF(D116="","",IF(J116&gt;='13_Setting'!$H$7,"Tercapai",IF(J116&gt;='13_Setting'!$H$6,"On Track","Tertinggal")))</f>
        <v/>
      </c>
      <c r="N116" s="24"/>
    </row>
    <row r="117" spans="1:14">
      <c r="A117" s="24"/>
      <c r="B117" s="24"/>
      <c r="C117" s="25"/>
      <c r="D117" s="24"/>
      <c r="E117" s="26" t="str">
        <f>IFERROR(VLOOKUP(D117,'04_Master Karyawan'!$A$5:$F$50,2,FALSE),"")</f>
        <v/>
      </c>
      <c r="F117" s="24"/>
      <c r="G117" s="26" t="str">
        <f>IFERROR(VLOOKUP(F117,'05_Master KPI'!$B$5:$G$100,2,FALSE)&amp;" ("&amp;VLOOKUP(F117,'05_Master KPI'!$B$5:$G$100,3,FALSE)&amp;")","")</f>
        <v/>
      </c>
      <c r="H117" s="26">
        <f>IFERROR(IF(B117&lt;&gt;'06_Target KPI'!$B$3,0,IF(VLOOKUP(F117,'05_Master KPI'!$B$5:$G$100,6,FALSE)="Kumulatif",INDEX('06_Target KPI'!$E$5:$P$100,MATCH(F117,'06_Target KPI'!$B$5:$B$100,0),MATCH(A117,'06_Target KPI'!$E$4:$P$4,0))*DAY(C117)/DAY(EOMONTH(C117,0)),INDEX('06_Target KPI'!$E$5:$P$100,MATCH(F117,'06_Target KPI'!$B$5:$B$100,0),MATCH(A117,'06_Target KPI'!$E$4:$P$4,0)))),0)</f>
        <v>0</v>
      </c>
      <c r="I117" s="24"/>
      <c r="J117" s="27">
        <f>IFERROR(MIN(IF(VLOOKUP(F117,'05_Master KPI'!$B$5:$G$100,5,FALSE)="Lower",H117/I117,I117/H117),1),0)</f>
        <v>0</v>
      </c>
      <c r="K117" s="26">
        <f>IFERROR(VLOOKUP(F117,'05_Master KPI'!$B$5:$G$100,4,FALSE),0)</f>
        <v>0</v>
      </c>
      <c r="L117" s="28">
        <f t="shared" si="1"/>
        <v>0</v>
      </c>
      <c r="M117" s="26" t="str">
        <f>IF(D117="","",IF(J117&gt;='13_Setting'!$H$7,"Tercapai",IF(J117&gt;='13_Setting'!$H$6,"On Track","Tertinggal")))</f>
        <v/>
      </c>
      <c r="N117" s="24"/>
    </row>
    <row r="118" spans="1:14">
      <c r="A118" s="24"/>
      <c r="B118" s="24"/>
      <c r="C118" s="25"/>
      <c r="D118" s="24"/>
      <c r="E118" s="26" t="str">
        <f>IFERROR(VLOOKUP(D118,'04_Master Karyawan'!$A$5:$F$50,2,FALSE),"")</f>
        <v/>
      </c>
      <c r="F118" s="24"/>
      <c r="G118" s="26" t="str">
        <f>IFERROR(VLOOKUP(F118,'05_Master KPI'!$B$5:$G$100,2,FALSE)&amp;" ("&amp;VLOOKUP(F118,'05_Master KPI'!$B$5:$G$100,3,FALSE)&amp;")","")</f>
        <v/>
      </c>
      <c r="H118" s="26">
        <f>IFERROR(IF(B118&lt;&gt;'06_Target KPI'!$B$3,0,IF(VLOOKUP(F118,'05_Master KPI'!$B$5:$G$100,6,FALSE)="Kumulatif",INDEX('06_Target KPI'!$E$5:$P$100,MATCH(F118,'06_Target KPI'!$B$5:$B$100,0),MATCH(A118,'06_Target KPI'!$E$4:$P$4,0))*DAY(C118)/DAY(EOMONTH(C118,0)),INDEX('06_Target KPI'!$E$5:$P$100,MATCH(F118,'06_Target KPI'!$B$5:$B$100,0),MATCH(A118,'06_Target KPI'!$E$4:$P$4,0)))),0)</f>
        <v>0</v>
      </c>
      <c r="I118" s="24"/>
      <c r="J118" s="27">
        <f>IFERROR(MIN(IF(VLOOKUP(F118,'05_Master KPI'!$B$5:$G$100,5,FALSE)="Lower",H118/I118,I118/H118),1),0)</f>
        <v>0</v>
      </c>
      <c r="K118" s="26">
        <f>IFERROR(VLOOKUP(F118,'05_Master KPI'!$B$5:$G$100,4,FALSE),0)</f>
        <v>0</v>
      </c>
      <c r="L118" s="28">
        <f t="shared" si="1"/>
        <v>0</v>
      </c>
      <c r="M118" s="26" t="str">
        <f>IF(D118="","",IF(J118&gt;='13_Setting'!$H$7,"Tercapai",IF(J118&gt;='13_Setting'!$H$6,"On Track","Tertinggal")))</f>
        <v/>
      </c>
      <c r="N118" s="24"/>
    </row>
    <row r="119" spans="1:14">
      <c r="A119" s="24"/>
      <c r="B119" s="24"/>
      <c r="C119" s="25"/>
      <c r="D119" s="24"/>
      <c r="E119" s="26" t="str">
        <f>IFERROR(VLOOKUP(D119,'04_Master Karyawan'!$A$5:$F$50,2,FALSE),"")</f>
        <v/>
      </c>
      <c r="F119" s="24"/>
      <c r="G119" s="26" t="str">
        <f>IFERROR(VLOOKUP(F119,'05_Master KPI'!$B$5:$G$100,2,FALSE)&amp;" ("&amp;VLOOKUP(F119,'05_Master KPI'!$B$5:$G$100,3,FALSE)&amp;")","")</f>
        <v/>
      </c>
      <c r="H119" s="26">
        <f>IFERROR(IF(B119&lt;&gt;'06_Target KPI'!$B$3,0,IF(VLOOKUP(F119,'05_Master KPI'!$B$5:$G$100,6,FALSE)="Kumulatif",INDEX('06_Target KPI'!$E$5:$P$100,MATCH(F119,'06_Target KPI'!$B$5:$B$100,0),MATCH(A119,'06_Target KPI'!$E$4:$P$4,0))*DAY(C119)/DAY(EOMONTH(C119,0)),INDEX('06_Target KPI'!$E$5:$P$100,MATCH(F119,'06_Target KPI'!$B$5:$B$100,0),MATCH(A119,'06_Target KPI'!$E$4:$P$4,0)))),0)</f>
        <v>0</v>
      </c>
      <c r="I119" s="24"/>
      <c r="J119" s="27">
        <f>IFERROR(MIN(IF(VLOOKUP(F119,'05_Master KPI'!$B$5:$G$100,5,FALSE)="Lower",H119/I119,I119/H119),1),0)</f>
        <v>0</v>
      </c>
      <c r="K119" s="26">
        <f>IFERROR(VLOOKUP(F119,'05_Master KPI'!$B$5:$G$100,4,FALSE),0)</f>
        <v>0</v>
      </c>
      <c r="L119" s="28">
        <f t="shared" si="1"/>
        <v>0</v>
      </c>
      <c r="M119" s="26" t="str">
        <f>IF(D119="","",IF(J119&gt;='13_Setting'!$H$7,"Tercapai",IF(J119&gt;='13_Setting'!$H$6,"On Track","Tertinggal")))</f>
        <v/>
      </c>
      <c r="N119" s="24"/>
    </row>
    <row r="120" spans="1:14">
      <c r="A120" s="24"/>
      <c r="B120" s="24"/>
      <c r="C120" s="25"/>
      <c r="D120" s="24"/>
      <c r="E120" s="26" t="str">
        <f>IFERROR(VLOOKUP(D120,'04_Master Karyawan'!$A$5:$F$50,2,FALSE),"")</f>
        <v/>
      </c>
      <c r="F120" s="24"/>
      <c r="G120" s="26" t="str">
        <f>IFERROR(VLOOKUP(F120,'05_Master KPI'!$B$5:$G$100,2,FALSE)&amp;" ("&amp;VLOOKUP(F120,'05_Master KPI'!$B$5:$G$100,3,FALSE)&amp;")","")</f>
        <v/>
      </c>
      <c r="H120" s="26">
        <f>IFERROR(IF(B120&lt;&gt;'06_Target KPI'!$B$3,0,IF(VLOOKUP(F120,'05_Master KPI'!$B$5:$G$100,6,FALSE)="Kumulatif",INDEX('06_Target KPI'!$E$5:$P$100,MATCH(F120,'06_Target KPI'!$B$5:$B$100,0),MATCH(A120,'06_Target KPI'!$E$4:$P$4,0))*DAY(C120)/DAY(EOMONTH(C120,0)),INDEX('06_Target KPI'!$E$5:$P$100,MATCH(F120,'06_Target KPI'!$B$5:$B$100,0),MATCH(A120,'06_Target KPI'!$E$4:$P$4,0)))),0)</f>
        <v>0</v>
      </c>
      <c r="I120" s="24"/>
      <c r="J120" s="27">
        <f>IFERROR(MIN(IF(VLOOKUP(F120,'05_Master KPI'!$B$5:$G$100,5,FALSE)="Lower",H120/I120,I120/H120),1),0)</f>
        <v>0</v>
      </c>
      <c r="K120" s="26">
        <f>IFERROR(VLOOKUP(F120,'05_Master KPI'!$B$5:$G$100,4,FALSE),0)</f>
        <v>0</v>
      </c>
      <c r="L120" s="28">
        <f t="shared" si="1"/>
        <v>0</v>
      </c>
      <c r="M120" s="26" t="str">
        <f>IF(D120="","",IF(J120&gt;='13_Setting'!$H$7,"Tercapai",IF(J120&gt;='13_Setting'!$H$6,"On Track","Tertinggal")))</f>
        <v/>
      </c>
      <c r="N120" s="24"/>
    </row>
    <row r="121" spans="1:14">
      <c r="A121" s="24"/>
      <c r="B121" s="24"/>
      <c r="C121" s="25"/>
      <c r="D121" s="24"/>
      <c r="E121" s="26" t="str">
        <f>IFERROR(VLOOKUP(D121,'04_Master Karyawan'!$A$5:$F$50,2,FALSE),"")</f>
        <v/>
      </c>
      <c r="F121" s="24"/>
      <c r="G121" s="26" t="str">
        <f>IFERROR(VLOOKUP(F121,'05_Master KPI'!$B$5:$G$100,2,FALSE)&amp;" ("&amp;VLOOKUP(F121,'05_Master KPI'!$B$5:$G$100,3,FALSE)&amp;")","")</f>
        <v/>
      </c>
      <c r="H121" s="26">
        <f>IFERROR(IF(B121&lt;&gt;'06_Target KPI'!$B$3,0,IF(VLOOKUP(F121,'05_Master KPI'!$B$5:$G$100,6,FALSE)="Kumulatif",INDEX('06_Target KPI'!$E$5:$P$100,MATCH(F121,'06_Target KPI'!$B$5:$B$100,0),MATCH(A121,'06_Target KPI'!$E$4:$P$4,0))*DAY(C121)/DAY(EOMONTH(C121,0)),INDEX('06_Target KPI'!$E$5:$P$100,MATCH(F121,'06_Target KPI'!$B$5:$B$100,0),MATCH(A121,'06_Target KPI'!$E$4:$P$4,0)))),0)</f>
        <v>0</v>
      </c>
      <c r="I121" s="24"/>
      <c r="J121" s="27">
        <f>IFERROR(MIN(IF(VLOOKUP(F121,'05_Master KPI'!$B$5:$G$100,5,FALSE)="Lower",H121/I121,I121/H121),1),0)</f>
        <v>0</v>
      </c>
      <c r="K121" s="26">
        <f>IFERROR(VLOOKUP(F121,'05_Master KPI'!$B$5:$G$100,4,FALSE),0)</f>
        <v>0</v>
      </c>
      <c r="L121" s="28">
        <f t="shared" si="1"/>
        <v>0</v>
      </c>
      <c r="M121" s="26" t="str">
        <f>IF(D121="","",IF(J121&gt;='13_Setting'!$H$7,"Tercapai",IF(J121&gt;='13_Setting'!$H$6,"On Track","Tertinggal")))</f>
        <v/>
      </c>
      <c r="N121" s="24"/>
    </row>
    <row r="122" spans="1:14">
      <c r="A122" s="24"/>
      <c r="B122" s="24"/>
      <c r="C122" s="25"/>
      <c r="D122" s="24"/>
      <c r="E122" s="26" t="str">
        <f>IFERROR(VLOOKUP(D122,'04_Master Karyawan'!$A$5:$F$50,2,FALSE),"")</f>
        <v/>
      </c>
      <c r="F122" s="24"/>
      <c r="G122" s="26" t="str">
        <f>IFERROR(VLOOKUP(F122,'05_Master KPI'!$B$5:$G$100,2,FALSE)&amp;" ("&amp;VLOOKUP(F122,'05_Master KPI'!$B$5:$G$100,3,FALSE)&amp;")","")</f>
        <v/>
      </c>
      <c r="H122" s="26">
        <f>IFERROR(IF(B122&lt;&gt;'06_Target KPI'!$B$3,0,IF(VLOOKUP(F122,'05_Master KPI'!$B$5:$G$100,6,FALSE)="Kumulatif",INDEX('06_Target KPI'!$E$5:$P$100,MATCH(F122,'06_Target KPI'!$B$5:$B$100,0),MATCH(A122,'06_Target KPI'!$E$4:$P$4,0))*DAY(C122)/DAY(EOMONTH(C122,0)),INDEX('06_Target KPI'!$E$5:$P$100,MATCH(F122,'06_Target KPI'!$B$5:$B$100,0),MATCH(A122,'06_Target KPI'!$E$4:$P$4,0)))),0)</f>
        <v>0</v>
      </c>
      <c r="I122" s="24"/>
      <c r="J122" s="27">
        <f>IFERROR(MIN(IF(VLOOKUP(F122,'05_Master KPI'!$B$5:$G$100,5,FALSE)="Lower",H122/I122,I122/H122),1),0)</f>
        <v>0</v>
      </c>
      <c r="K122" s="26">
        <f>IFERROR(VLOOKUP(F122,'05_Master KPI'!$B$5:$G$100,4,FALSE),0)</f>
        <v>0</v>
      </c>
      <c r="L122" s="28">
        <f t="shared" si="1"/>
        <v>0</v>
      </c>
      <c r="M122" s="26" t="str">
        <f>IF(D122="","",IF(J122&gt;='13_Setting'!$H$7,"Tercapai",IF(J122&gt;='13_Setting'!$H$6,"On Track","Tertinggal")))</f>
        <v/>
      </c>
      <c r="N122" s="24"/>
    </row>
    <row r="123" spans="1:14">
      <c r="A123" s="24"/>
      <c r="B123" s="24"/>
      <c r="C123" s="25"/>
      <c r="D123" s="24"/>
      <c r="E123" s="26" t="str">
        <f>IFERROR(VLOOKUP(D123,'04_Master Karyawan'!$A$5:$F$50,2,FALSE),"")</f>
        <v/>
      </c>
      <c r="F123" s="24"/>
      <c r="G123" s="26" t="str">
        <f>IFERROR(VLOOKUP(F123,'05_Master KPI'!$B$5:$G$100,2,FALSE)&amp;" ("&amp;VLOOKUP(F123,'05_Master KPI'!$B$5:$G$100,3,FALSE)&amp;")","")</f>
        <v/>
      </c>
      <c r="H123" s="26">
        <f>IFERROR(IF(B123&lt;&gt;'06_Target KPI'!$B$3,0,IF(VLOOKUP(F123,'05_Master KPI'!$B$5:$G$100,6,FALSE)="Kumulatif",INDEX('06_Target KPI'!$E$5:$P$100,MATCH(F123,'06_Target KPI'!$B$5:$B$100,0),MATCH(A123,'06_Target KPI'!$E$4:$P$4,0))*DAY(C123)/DAY(EOMONTH(C123,0)),INDEX('06_Target KPI'!$E$5:$P$100,MATCH(F123,'06_Target KPI'!$B$5:$B$100,0),MATCH(A123,'06_Target KPI'!$E$4:$P$4,0)))),0)</f>
        <v>0</v>
      </c>
      <c r="I123" s="24"/>
      <c r="J123" s="27">
        <f>IFERROR(MIN(IF(VLOOKUP(F123,'05_Master KPI'!$B$5:$G$100,5,FALSE)="Lower",H123/I123,I123/H123),1),0)</f>
        <v>0</v>
      </c>
      <c r="K123" s="26">
        <f>IFERROR(VLOOKUP(F123,'05_Master KPI'!$B$5:$G$100,4,FALSE),0)</f>
        <v>0</v>
      </c>
      <c r="L123" s="28">
        <f t="shared" si="1"/>
        <v>0</v>
      </c>
      <c r="M123" s="26" t="str">
        <f>IF(D123="","",IF(J123&gt;='13_Setting'!$H$7,"Tercapai",IF(J123&gt;='13_Setting'!$H$6,"On Track","Tertinggal")))</f>
        <v/>
      </c>
      <c r="N123" s="24"/>
    </row>
    <row r="124" spans="1:14">
      <c r="A124" s="24"/>
      <c r="B124" s="24"/>
      <c r="C124" s="25"/>
      <c r="D124" s="24"/>
      <c r="E124" s="26" t="str">
        <f>IFERROR(VLOOKUP(D124,'04_Master Karyawan'!$A$5:$F$50,2,FALSE),"")</f>
        <v/>
      </c>
      <c r="F124" s="24"/>
      <c r="G124" s="26" t="str">
        <f>IFERROR(VLOOKUP(F124,'05_Master KPI'!$B$5:$G$100,2,FALSE)&amp;" ("&amp;VLOOKUP(F124,'05_Master KPI'!$B$5:$G$100,3,FALSE)&amp;")","")</f>
        <v/>
      </c>
      <c r="H124" s="26">
        <f>IFERROR(IF(B124&lt;&gt;'06_Target KPI'!$B$3,0,IF(VLOOKUP(F124,'05_Master KPI'!$B$5:$G$100,6,FALSE)="Kumulatif",INDEX('06_Target KPI'!$E$5:$P$100,MATCH(F124,'06_Target KPI'!$B$5:$B$100,0),MATCH(A124,'06_Target KPI'!$E$4:$P$4,0))*DAY(C124)/DAY(EOMONTH(C124,0)),INDEX('06_Target KPI'!$E$5:$P$100,MATCH(F124,'06_Target KPI'!$B$5:$B$100,0),MATCH(A124,'06_Target KPI'!$E$4:$P$4,0)))),0)</f>
        <v>0</v>
      </c>
      <c r="I124" s="24"/>
      <c r="J124" s="27">
        <f>IFERROR(MIN(IF(VLOOKUP(F124,'05_Master KPI'!$B$5:$G$100,5,FALSE)="Lower",H124/I124,I124/H124),1),0)</f>
        <v>0</v>
      </c>
      <c r="K124" s="26">
        <f>IFERROR(VLOOKUP(F124,'05_Master KPI'!$B$5:$G$100,4,FALSE),0)</f>
        <v>0</v>
      </c>
      <c r="L124" s="28">
        <f t="shared" si="1"/>
        <v>0</v>
      </c>
      <c r="M124" s="26" t="str">
        <f>IF(D124="","",IF(J124&gt;='13_Setting'!$H$7,"Tercapai",IF(J124&gt;='13_Setting'!$H$6,"On Track","Tertinggal")))</f>
        <v/>
      </c>
      <c r="N124" s="24"/>
    </row>
    <row r="125" spans="1:14">
      <c r="A125" s="24"/>
      <c r="B125" s="24"/>
      <c r="C125" s="25"/>
      <c r="D125" s="24"/>
      <c r="E125" s="26" t="str">
        <f>IFERROR(VLOOKUP(D125,'04_Master Karyawan'!$A$5:$F$50,2,FALSE),"")</f>
        <v/>
      </c>
      <c r="F125" s="24"/>
      <c r="G125" s="26" t="str">
        <f>IFERROR(VLOOKUP(F125,'05_Master KPI'!$B$5:$G$100,2,FALSE)&amp;" ("&amp;VLOOKUP(F125,'05_Master KPI'!$B$5:$G$100,3,FALSE)&amp;")","")</f>
        <v/>
      </c>
      <c r="H125" s="26">
        <f>IFERROR(IF(B125&lt;&gt;'06_Target KPI'!$B$3,0,IF(VLOOKUP(F125,'05_Master KPI'!$B$5:$G$100,6,FALSE)="Kumulatif",INDEX('06_Target KPI'!$E$5:$P$100,MATCH(F125,'06_Target KPI'!$B$5:$B$100,0),MATCH(A125,'06_Target KPI'!$E$4:$P$4,0))*DAY(C125)/DAY(EOMONTH(C125,0)),INDEX('06_Target KPI'!$E$5:$P$100,MATCH(F125,'06_Target KPI'!$B$5:$B$100,0),MATCH(A125,'06_Target KPI'!$E$4:$P$4,0)))),0)</f>
        <v>0</v>
      </c>
      <c r="I125" s="24"/>
      <c r="J125" s="27">
        <f>IFERROR(MIN(IF(VLOOKUP(F125,'05_Master KPI'!$B$5:$G$100,5,FALSE)="Lower",H125/I125,I125/H125),1),0)</f>
        <v>0</v>
      </c>
      <c r="K125" s="26">
        <f>IFERROR(VLOOKUP(F125,'05_Master KPI'!$B$5:$G$100,4,FALSE),0)</f>
        <v>0</v>
      </c>
      <c r="L125" s="28">
        <f t="shared" si="1"/>
        <v>0</v>
      </c>
      <c r="M125" s="26" t="str">
        <f>IF(D125="","",IF(J125&gt;='13_Setting'!$H$7,"Tercapai",IF(J125&gt;='13_Setting'!$H$6,"On Track","Tertinggal")))</f>
        <v/>
      </c>
      <c r="N125" s="24"/>
    </row>
    <row r="126" spans="1:14">
      <c r="A126" s="24"/>
      <c r="B126" s="24"/>
      <c r="C126" s="25"/>
      <c r="D126" s="24"/>
      <c r="E126" s="26" t="str">
        <f>IFERROR(VLOOKUP(D126,'04_Master Karyawan'!$A$5:$F$50,2,FALSE),"")</f>
        <v/>
      </c>
      <c r="F126" s="24"/>
      <c r="G126" s="26" t="str">
        <f>IFERROR(VLOOKUP(F126,'05_Master KPI'!$B$5:$G$100,2,FALSE)&amp;" ("&amp;VLOOKUP(F126,'05_Master KPI'!$B$5:$G$100,3,FALSE)&amp;")","")</f>
        <v/>
      </c>
      <c r="H126" s="26">
        <f>IFERROR(IF(B126&lt;&gt;'06_Target KPI'!$B$3,0,IF(VLOOKUP(F126,'05_Master KPI'!$B$5:$G$100,6,FALSE)="Kumulatif",INDEX('06_Target KPI'!$E$5:$P$100,MATCH(F126,'06_Target KPI'!$B$5:$B$100,0),MATCH(A126,'06_Target KPI'!$E$4:$P$4,0))*DAY(C126)/DAY(EOMONTH(C126,0)),INDEX('06_Target KPI'!$E$5:$P$100,MATCH(F126,'06_Target KPI'!$B$5:$B$100,0),MATCH(A126,'06_Target KPI'!$E$4:$P$4,0)))),0)</f>
        <v>0</v>
      </c>
      <c r="I126" s="24"/>
      <c r="J126" s="27">
        <f>IFERROR(MIN(IF(VLOOKUP(F126,'05_Master KPI'!$B$5:$G$100,5,FALSE)="Lower",H126/I126,I126/H126),1),0)</f>
        <v>0</v>
      </c>
      <c r="K126" s="26">
        <f>IFERROR(VLOOKUP(F126,'05_Master KPI'!$B$5:$G$100,4,FALSE),0)</f>
        <v>0</v>
      </c>
      <c r="L126" s="28">
        <f t="shared" si="1"/>
        <v>0</v>
      </c>
      <c r="M126" s="26" t="str">
        <f>IF(D126="","",IF(J126&gt;='13_Setting'!$H$7,"Tercapai",IF(J126&gt;='13_Setting'!$H$6,"On Track","Tertinggal")))</f>
        <v/>
      </c>
      <c r="N126" s="24"/>
    </row>
    <row r="127" spans="1:14">
      <c r="A127" s="24"/>
      <c r="B127" s="24"/>
      <c r="C127" s="25"/>
      <c r="D127" s="24"/>
      <c r="E127" s="26" t="str">
        <f>IFERROR(VLOOKUP(D127,'04_Master Karyawan'!$A$5:$F$50,2,FALSE),"")</f>
        <v/>
      </c>
      <c r="F127" s="24"/>
      <c r="G127" s="26" t="str">
        <f>IFERROR(VLOOKUP(F127,'05_Master KPI'!$B$5:$G$100,2,FALSE)&amp;" ("&amp;VLOOKUP(F127,'05_Master KPI'!$B$5:$G$100,3,FALSE)&amp;")","")</f>
        <v/>
      </c>
      <c r="H127" s="26">
        <f>IFERROR(IF(B127&lt;&gt;'06_Target KPI'!$B$3,0,IF(VLOOKUP(F127,'05_Master KPI'!$B$5:$G$100,6,FALSE)="Kumulatif",INDEX('06_Target KPI'!$E$5:$P$100,MATCH(F127,'06_Target KPI'!$B$5:$B$100,0),MATCH(A127,'06_Target KPI'!$E$4:$P$4,0))*DAY(C127)/DAY(EOMONTH(C127,0)),INDEX('06_Target KPI'!$E$5:$P$100,MATCH(F127,'06_Target KPI'!$B$5:$B$100,0),MATCH(A127,'06_Target KPI'!$E$4:$P$4,0)))),0)</f>
        <v>0</v>
      </c>
      <c r="I127" s="24"/>
      <c r="J127" s="27">
        <f>IFERROR(MIN(IF(VLOOKUP(F127,'05_Master KPI'!$B$5:$G$100,5,FALSE)="Lower",H127/I127,I127/H127),1),0)</f>
        <v>0</v>
      </c>
      <c r="K127" s="26">
        <f>IFERROR(VLOOKUP(F127,'05_Master KPI'!$B$5:$G$100,4,FALSE),0)</f>
        <v>0</v>
      </c>
      <c r="L127" s="28">
        <f t="shared" si="1"/>
        <v>0</v>
      </c>
      <c r="M127" s="26" t="str">
        <f>IF(D127="","",IF(J127&gt;='13_Setting'!$H$7,"Tercapai",IF(J127&gt;='13_Setting'!$H$6,"On Track","Tertinggal")))</f>
        <v/>
      </c>
      <c r="N127" s="24"/>
    </row>
    <row r="128" spans="1:14">
      <c r="A128" s="24"/>
      <c r="B128" s="24"/>
      <c r="C128" s="25"/>
      <c r="D128" s="24"/>
      <c r="E128" s="26" t="str">
        <f>IFERROR(VLOOKUP(D128,'04_Master Karyawan'!$A$5:$F$50,2,FALSE),"")</f>
        <v/>
      </c>
      <c r="F128" s="24"/>
      <c r="G128" s="26" t="str">
        <f>IFERROR(VLOOKUP(F128,'05_Master KPI'!$B$5:$G$100,2,FALSE)&amp;" ("&amp;VLOOKUP(F128,'05_Master KPI'!$B$5:$G$100,3,FALSE)&amp;")","")</f>
        <v/>
      </c>
      <c r="H128" s="26">
        <f>IFERROR(IF(B128&lt;&gt;'06_Target KPI'!$B$3,0,IF(VLOOKUP(F128,'05_Master KPI'!$B$5:$G$100,6,FALSE)="Kumulatif",INDEX('06_Target KPI'!$E$5:$P$100,MATCH(F128,'06_Target KPI'!$B$5:$B$100,0),MATCH(A128,'06_Target KPI'!$E$4:$P$4,0))*DAY(C128)/DAY(EOMONTH(C128,0)),INDEX('06_Target KPI'!$E$5:$P$100,MATCH(F128,'06_Target KPI'!$B$5:$B$100,0),MATCH(A128,'06_Target KPI'!$E$4:$P$4,0)))),0)</f>
        <v>0</v>
      </c>
      <c r="I128" s="24"/>
      <c r="J128" s="27">
        <f>IFERROR(MIN(IF(VLOOKUP(F128,'05_Master KPI'!$B$5:$G$100,5,FALSE)="Lower",H128/I128,I128/H128),1),0)</f>
        <v>0</v>
      </c>
      <c r="K128" s="26">
        <f>IFERROR(VLOOKUP(F128,'05_Master KPI'!$B$5:$G$100,4,FALSE),0)</f>
        <v>0</v>
      </c>
      <c r="L128" s="28">
        <f t="shared" si="1"/>
        <v>0</v>
      </c>
      <c r="M128" s="26" t="str">
        <f>IF(D128="","",IF(J128&gt;='13_Setting'!$H$7,"Tercapai",IF(J128&gt;='13_Setting'!$H$6,"On Track","Tertinggal")))</f>
        <v/>
      </c>
      <c r="N128" s="24"/>
    </row>
    <row r="129" spans="1:14">
      <c r="A129" s="24"/>
      <c r="B129" s="24"/>
      <c r="C129" s="25"/>
      <c r="D129" s="24"/>
      <c r="E129" s="26" t="str">
        <f>IFERROR(VLOOKUP(D129,'04_Master Karyawan'!$A$5:$F$50,2,FALSE),"")</f>
        <v/>
      </c>
      <c r="F129" s="24"/>
      <c r="G129" s="26" t="str">
        <f>IFERROR(VLOOKUP(F129,'05_Master KPI'!$B$5:$G$100,2,FALSE)&amp;" ("&amp;VLOOKUP(F129,'05_Master KPI'!$B$5:$G$100,3,FALSE)&amp;")","")</f>
        <v/>
      </c>
      <c r="H129" s="26">
        <f>IFERROR(IF(B129&lt;&gt;'06_Target KPI'!$B$3,0,IF(VLOOKUP(F129,'05_Master KPI'!$B$5:$G$100,6,FALSE)="Kumulatif",INDEX('06_Target KPI'!$E$5:$P$100,MATCH(F129,'06_Target KPI'!$B$5:$B$100,0),MATCH(A129,'06_Target KPI'!$E$4:$P$4,0))*DAY(C129)/DAY(EOMONTH(C129,0)),INDEX('06_Target KPI'!$E$5:$P$100,MATCH(F129,'06_Target KPI'!$B$5:$B$100,0),MATCH(A129,'06_Target KPI'!$E$4:$P$4,0)))),0)</f>
        <v>0</v>
      </c>
      <c r="I129" s="24"/>
      <c r="J129" s="27">
        <f>IFERROR(MIN(IF(VLOOKUP(F129,'05_Master KPI'!$B$5:$G$100,5,FALSE)="Lower",H129/I129,I129/H129),1),0)</f>
        <v>0</v>
      </c>
      <c r="K129" s="26">
        <f>IFERROR(VLOOKUP(F129,'05_Master KPI'!$B$5:$G$100,4,FALSE),0)</f>
        <v>0</v>
      </c>
      <c r="L129" s="28">
        <f t="shared" si="1"/>
        <v>0</v>
      </c>
      <c r="M129" s="26" t="str">
        <f>IF(D129="","",IF(J129&gt;='13_Setting'!$H$7,"Tercapai",IF(J129&gt;='13_Setting'!$H$6,"On Track","Tertinggal")))</f>
        <v/>
      </c>
      <c r="N129" s="24"/>
    </row>
    <row r="130" spans="1:14">
      <c r="A130" s="24"/>
      <c r="B130" s="24"/>
      <c r="C130" s="25"/>
      <c r="D130" s="24"/>
      <c r="E130" s="26" t="str">
        <f>IFERROR(VLOOKUP(D130,'04_Master Karyawan'!$A$5:$F$50,2,FALSE),"")</f>
        <v/>
      </c>
      <c r="F130" s="24"/>
      <c r="G130" s="26" t="str">
        <f>IFERROR(VLOOKUP(F130,'05_Master KPI'!$B$5:$G$100,2,FALSE)&amp;" ("&amp;VLOOKUP(F130,'05_Master KPI'!$B$5:$G$100,3,FALSE)&amp;")","")</f>
        <v/>
      </c>
      <c r="H130" s="26">
        <f>IFERROR(IF(B130&lt;&gt;'06_Target KPI'!$B$3,0,IF(VLOOKUP(F130,'05_Master KPI'!$B$5:$G$100,6,FALSE)="Kumulatif",INDEX('06_Target KPI'!$E$5:$P$100,MATCH(F130,'06_Target KPI'!$B$5:$B$100,0),MATCH(A130,'06_Target KPI'!$E$4:$P$4,0))*DAY(C130)/DAY(EOMONTH(C130,0)),INDEX('06_Target KPI'!$E$5:$P$100,MATCH(F130,'06_Target KPI'!$B$5:$B$100,0),MATCH(A130,'06_Target KPI'!$E$4:$P$4,0)))),0)</f>
        <v>0</v>
      </c>
      <c r="I130" s="24"/>
      <c r="J130" s="27">
        <f>IFERROR(MIN(IF(VLOOKUP(F130,'05_Master KPI'!$B$5:$G$100,5,FALSE)="Lower",H130/I130,I130/H130),1),0)</f>
        <v>0</v>
      </c>
      <c r="K130" s="26">
        <f>IFERROR(VLOOKUP(F130,'05_Master KPI'!$B$5:$G$100,4,FALSE),0)</f>
        <v>0</v>
      </c>
      <c r="L130" s="28">
        <f t="shared" si="1"/>
        <v>0</v>
      </c>
      <c r="M130" s="26" t="str">
        <f>IF(D130="","",IF(J130&gt;='13_Setting'!$H$7,"Tercapai",IF(J130&gt;='13_Setting'!$H$6,"On Track","Tertinggal")))</f>
        <v/>
      </c>
      <c r="N130" s="24"/>
    </row>
    <row r="131" spans="1:14">
      <c r="A131" s="24"/>
      <c r="B131" s="24"/>
      <c r="C131" s="25"/>
      <c r="D131" s="24"/>
      <c r="E131" s="26" t="str">
        <f>IFERROR(VLOOKUP(D131,'04_Master Karyawan'!$A$5:$F$50,2,FALSE),"")</f>
        <v/>
      </c>
      <c r="F131" s="24"/>
      <c r="G131" s="26" t="str">
        <f>IFERROR(VLOOKUP(F131,'05_Master KPI'!$B$5:$G$100,2,FALSE)&amp;" ("&amp;VLOOKUP(F131,'05_Master KPI'!$B$5:$G$100,3,FALSE)&amp;")","")</f>
        <v/>
      </c>
      <c r="H131" s="26">
        <f>IFERROR(IF(B131&lt;&gt;'06_Target KPI'!$B$3,0,IF(VLOOKUP(F131,'05_Master KPI'!$B$5:$G$100,6,FALSE)="Kumulatif",INDEX('06_Target KPI'!$E$5:$P$100,MATCH(F131,'06_Target KPI'!$B$5:$B$100,0),MATCH(A131,'06_Target KPI'!$E$4:$P$4,0))*DAY(C131)/DAY(EOMONTH(C131,0)),INDEX('06_Target KPI'!$E$5:$P$100,MATCH(F131,'06_Target KPI'!$B$5:$B$100,0),MATCH(A131,'06_Target KPI'!$E$4:$P$4,0)))),0)</f>
        <v>0</v>
      </c>
      <c r="I131" s="24"/>
      <c r="J131" s="27">
        <f>IFERROR(MIN(IF(VLOOKUP(F131,'05_Master KPI'!$B$5:$G$100,5,FALSE)="Lower",H131/I131,I131/H131),1),0)</f>
        <v>0</v>
      </c>
      <c r="K131" s="26">
        <f>IFERROR(VLOOKUP(F131,'05_Master KPI'!$B$5:$G$100,4,FALSE),0)</f>
        <v>0</v>
      </c>
      <c r="L131" s="28">
        <f t="shared" si="1"/>
        <v>0</v>
      </c>
      <c r="M131" s="26" t="str">
        <f>IF(D131="","",IF(J131&gt;='13_Setting'!$H$7,"Tercapai",IF(J131&gt;='13_Setting'!$H$6,"On Track","Tertinggal")))</f>
        <v/>
      </c>
      <c r="N131" s="24"/>
    </row>
    <row r="132" spans="1:14">
      <c r="A132" s="24"/>
      <c r="B132" s="24"/>
      <c r="C132" s="25"/>
      <c r="D132" s="24"/>
      <c r="E132" s="26" t="str">
        <f>IFERROR(VLOOKUP(D132,'04_Master Karyawan'!$A$5:$F$50,2,FALSE),"")</f>
        <v/>
      </c>
      <c r="F132" s="24"/>
      <c r="G132" s="26" t="str">
        <f>IFERROR(VLOOKUP(F132,'05_Master KPI'!$B$5:$G$100,2,FALSE)&amp;" ("&amp;VLOOKUP(F132,'05_Master KPI'!$B$5:$G$100,3,FALSE)&amp;")","")</f>
        <v/>
      </c>
      <c r="H132" s="26">
        <f>IFERROR(IF(B132&lt;&gt;'06_Target KPI'!$B$3,0,IF(VLOOKUP(F132,'05_Master KPI'!$B$5:$G$100,6,FALSE)="Kumulatif",INDEX('06_Target KPI'!$E$5:$P$100,MATCH(F132,'06_Target KPI'!$B$5:$B$100,0),MATCH(A132,'06_Target KPI'!$E$4:$P$4,0))*DAY(C132)/DAY(EOMONTH(C132,0)),INDEX('06_Target KPI'!$E$5:$P$100,MATCH(F132,'06_Target KPI'!$B$5:$B$100,0),MATCH(A132,'06_Target KPI'!$E$4:$P$4,0)))),0)</f>
        <v>0</v>
      </c>
      <c r="I132" s="24"/>
      <c r="J132" s="27">
        <f>IFERROR(MIN(IF(VLOOKUP(F132,'05_Master KPI'!$B$5:$G$100,5,FALSE)="Lower",H132/I132,I132/H132),1),0)</f>
        <v>0</v>
      </c>
      <c r="K132" s="26">
        <f>IFERROR(VLOOKUP(F132,'05_Master KPI'!$B$5:$G$100,4,FALSE),0)</f>
        <v>0</v>
      </c>
      <c r="L132" s="28">
        <f t="shared" si="1"/>
        <v>0</v>
      </c>
      <c r="M132" s="26" t="str">
        <f>IF(D132="","",IF(J132&gt;='13_Setting'!$H$7,"Tercapai",IF(J132&gt;='13_Setting'!$H$6,"On Track","Tertinggal")))</f>
        <v/>
      </c>
      <c r="N132" s="24"/>
    </row>
    <row r="133" spans="1:14">
      <c r="A133" s="24"/>
      <c r="B133" s="24"/>
      <c r="C133" s="25"/>
      <c r="D133" s="24"/>
      <c r="E133" s="26" t="str">
        <f>IFERROR(VLOOKUP(D133,'04_Master Karyawan'!$A$5:$F$50,2,FALSE),"")</f>
        <v/>
      </c>
      <c r="F133" s="24"/>
      <c r="G133" s="26" t="str">
        <f>IFERROR(VLOOKUP(F133,'05_Master KPI'!$B$5:$G$100,2,FALSE)&amp;" ("&amp;VLOOKUP(F133,'05_Master KPI'!$B$5:$G$100,3,FALSE)&amp;")","")</f>
        <v/>
      </c>
      <c r="H133" s="26">
        <f>IFERROR(IF(B133&lt;&gt;'06_Target KPI'!$B$3,0,IF(VLOOKUP(F133,'05_Master KPI'!$B$5:$G$100,6,FALSE)="Kumulatif",INDEX('06_Target KPI'!$E$5:$P$100,MATCH(F133,'06_Target KPI'!$B$5:$B$100,0),MATCH(A133,'06_Target KPI'!$E$4:$P$4,0))*DAY(C133)/DAY(EOMONTH(C133,0)),INDEX('06_Target KPI'!$E$5:$P$100,MATCH(F133,'06_Target KPI'!$B$5:$B$100,0),MATCH(A133,'06_Target KPI'!$E$4:$P$4,0)))),0)</f>
        <v>0</v>
      </c>
      <c r="I133" s="24"/>
      <c r="J133" s="27">
        <f>IFERROR(MIN(IF(VLOOKUP(F133,'05_Master KPI'!$B$5:$G$100,5,FALSE)="Lower",H133/I133,I133/H133),1),0)</f>
        <v>0</v>
      </c>
      <c r="K133" s="26">
        <f>IFERROR(VLOOKUP(F133,'05_Master KPI'!$B$5:$G$100,4,FALSE),0)</f>
        <v>0</v>
      </c>
      <c r="L133" s="28">
        <f t="shared" ref="L133:L196" si="2">J133*K133</f>
        <v>0</v>
      </c>
      <c r="M133" s="26" t="str">
        <f>IF(D133="","",IF(J133&gt;='13_Setting'!$H$7,"Tercapai",IF(J133&gt;='13_Setting'!$H$6,"On Track","Tertinggal")))</f>
        <v/>
      </c>
      <c r="N133" s="24"/>
    </row>
    <row r="134" spans="1:14">
      <c r="A134" s="24"/>
      <c r="B134" s="24"/>
      <c r="C134" s="25"/>
      <c r="D134" s="24"/>
      <c r="E134" s="26" t="str">
        <f>IFERROR(VLOOKUP(D134,'04_Master Karyawan'!$A$5:$F$50,2,FALSE),"")</f>
        <v/>
      </c>
      <c r="F134" s="24"/>
      <c r="G134" s="26" t="str">
        <f>IFERROR(VLOOKUP(F134,'05_Master KPI'!$B$5:$G$100,2,FALSE)&amp;" ("&amp;VLOOKUP(F134,'05_Master KPI'!$B$5:$G$100,3,FALSE)&amp;")","")</f>
        <v/>
      </c>
      <c r="H134" s="26">
        <f>IFERROR(IF(B134&lt;&gt;'06_Target KPI'!$B$3,0,IF(VLOOKUP(F134,'05_Master KPI'!$B$5:$G$100,6,FALSE)="Kumulatif",INDEX('06_Target KPI'!$E$5:$P$100,MATCH(F134,'06_Target KPI'!$B$5:$B$100,0),MATCH(A134,'06_Target KPI'!$E$4:$P$4,0))*DAY(C134)/DAY(EOMONTH(C134,0)),INDEX('06_Target KPI'!$E$5:$P$100,MATCH(F134,'06_Target KPI'!$B$5:$B$100,0),MATCH(A134,'06_Target KPI'!$E$4:$P$4,0)))),0)</f>
        <v>0</v>
      </c>
      <c r="I134" s="24"/>
      <c r="J134" s="27">
        <f>IFERROR(MIN(IF(VLOOKUP(F134,'05_Master KPI'!$B$5:$G$100,5,FALSE)="Lower",H134/I134,I134/H134),1),0)</f>
        <v>0</v>
      </c>
      <c r="K134" s="26">
        <f>IFERROR(VLOOKUP(F134,'05_Master KPI'!$B$5:$G$100,4,FALSE),0)</f>
        <v>0</v>
      </c>
      <c r="L134" s="28">
        <f t="shared" si="2"/>
        <v>0</v>
      </c>
      <c r="M134" s="26" t="str">
        <f>IF(D134="","",IF(J134&gt;='13_Setting'!$H$7,"Tercapai",IF(J134&gt;='13_Setting'!$H$6,"On Track","Tertinggal")))</f>
        <v/>
      </c>
      <c r="N134" s="24"/>
    </row>
    <row r="135" spans="1:14">
      <c r="A135" s="24"/>
      <c r="B135" s="24"/>
      <c r="C135" s="25"/>
      <c r="D135" s="24"/>
      <c r="E135" s="26" t="str">
        <f>IFERROR(VLOOKUP(D135,'04_Master Karyawan'!$A$5:$F$50,2,FALSE),"")</f>
        <v/>
      </c>
      <c r="F135" s="24"/>
      <c r="G135" s="26" t="str">
        <f>IFERROR(VLOOKUP(F135,'05_Master KPI'!$B$5:$G$100,2,FALSE)&amp;" ("&amp;VLOOKUP(F135,'05_Master KPI'!$B$5:$G$100,3,FALSE)&amp;")","")</f>
        <v/>
      </c>
      <c r="H135" s="26">
        <f>IFERROR(IF(B135&lt;&gt;'06_Target KPI'!$B$3,0,IF(VLOOKUP(F135,'05_Master KPI'!$B$5:$G$100,6,FALSE)="Kumulatif",INDEX('06_Target KPI'!$E$5:$P$100,MATCH(F135,'06_Target KPI'!$B$5:$B$100,0),MATCH(A135,'06_Target KPI'!$E$4:$P$4,0))*DAY(C135)/DAY(EOMONTH(C135,0)),INDEX('06_Target KPI'!$E$5:$P$100,MATCH(F135,'06_Target KPI'!$B$5:$B$100,0),MATCH(A135,'06_Target KPI'!$E$4:$P$4,0)))),0)</f>
        <v>0</v>
      </c>
      <c r="I135" s="24"/>
      <c r="J135" s="27">
        <f>IFERROR(MIN(IF(VLOOKUP(F135,'05_Master KPI'!$B$5:$G$100,5,FALSE)="Lower",H135/I135,I135/H135),1),0)</f>
        <v>0</v>
      </c>
      <c r="K135" s="26">
        <f>IFERROR(VLOOKUP(F135,'05_Master KPI'!$B$5:$G$100,4,FALSE),0)</f>
        <v>0</v>
      </c>
      <c r="L135" s="28">
        <f t="shared" si="2"/>
        <v>0</v>
      </c>
      <c r="M135" s="26" t="str">
        <f>IF(D135="","",IF(J135&gt;='13_Setting'!$H$7,"Tercapai",IF(J135&gt;='13_Setting'!$H$6,"On Track","Tertinggal")))</f>
        <v/>
      </c>
      <c r="N135" s="24"/>
    </row>
    <row r="136" spans="1:14">
      <c r="A136" s="24"/>
      <c r="B136" s="24"/>
      <c r="C136" s="25"/>
      <c r="D136" s="24"/>
      <c r="E136" s="26" t="str">
        <f>IFERROR(VLOOKUP(D136,'04_Master Karyawan'!$A$5:$F$50,2,FALSE),"")</f>
        <v/>
      </c>
      <c r="F136" s="24"/>
      <c r="G136" s="26" t="str">
        <f>IFERROR(VLOOKUP(F136,'05_Master KPI'!$B$5:$G$100,2,FALSE)&amp;" ("&amp;VLOOKUP(F136,'05_Master KPI'!$B$5:$G$100,3,FALSE)&amp;")","")</f>
        <v/>
      </c>
      <c r="H136" s="26">
        <f>IFERROR(IF(B136&lt;&gt;'06_Target KPI'!$B$3,0,IF(VLOOKUP(F136,'05_Master KPI'!$B$5:$G$100,6,FALSE)="Kumulatif",INDEX('06_Target KPI'!$E$5:$P$100,MATCH(F136,'06_Target KPI'!$B$5:$B$100,0),MATCH(A136,'06_Target KPI'!$E$4:$P$4,0))*DAY(C136)/DAY(EOMONTH(C136,0)),INDEX('06_Target KPI'!$E$5:$P$100,MATCH(F136,'06_Target KPI'!$B$5:$B$100,0),MATCH(A136,'06_Target KPI'!$E$4:$P$4,0)))),0)</f>
        <v>0</v>
      </c>
      <c r="I136" s="24"/>
      <c r="J136" s="27">
        <f>IFERROR(MIN(IF(VLOOKUP(F136,'05_Master KPI'!$B$5:$G$100,5,FALSE)="Lower",H136/I136,I136/H136),1),0)</f>
        <v>0</v>
      </c>
      <c r="K136" s="26">
        <f>IFERROR(VLOOKUP(F136,'05_Master KPI'!$B$5:$G$100,4,FALSE),0)</f>
        <v>0</v>
      </c>
      <c r="L136" s="28">
        <f t="shared" si="2"/>
        <v>0</v>
      </c>
      <c r="M136" s="26" t="str">
        <f>IF(D136="","",IF(J136&gt;='13_Setting'!$H$7,"Tercapai",IF(J136&gt;='13_Setting'!$H$6,"On Track","Tertinggal")))</f>
        <v/>
      </c>
      <c r="N136" s="24"/>
    </row>
    <row r="137" spans="1:14">
      <c r="A137" s="24"/>
      <c r="B137" s="24"/>
      <c r="C137" s="25"/>
      <c r="D137" s="24"/>
      <c r="E137" s="26" t="str">
        <f>IFERROR(VLOOKUP(D137,'04_Master Karyawan'!$A$5:$F$50,2,FALSE),"")</f>
        <v/>
      </c>
      <c r="F137" s="24"/>
      <c r="G137" s="26" t="str">
        <f>IFERROR(VLOOKUP(F137,'05_Master KPI'!$B$5:$G$100,2,FALSE)&amp;" ("&amp;VLOOKUP(F137,'05_Master KPI'!$B$5:$G$100,3,FALSE)&amp;")","")</f>
        <v/>
      </c>
      <c r="H137" s="26">
        <f>IFERROR(IF(B137&lt;&gt;'06_Target KPI'!$B$3,0,IF(VLOOKUP(F137,'05_Master KPI'!$B$5:$G$100,6,FALSE)="Kumulatif",INDEX('06_Target KPI'!$E$5:$P$100,MATCH(F137,'06_Target KPI'!$B$5:$B$100,0),MATCH(A137,'06_Target KPI'!$E$4:$P$4,0))*DAY(C137)/DAY(EOMONTH(C137,0)),INDEX('06_Target KPI'!$E$5:$P$100,MATCH(F137,'06_Target KPI'!$B$5:$B$100,0),MATCH(A137,'06_Target KPI'!$E$4:$P$4,0)))),0)</f>
        <v>0</v>
      </c>
      <c r="I137" s="24"/>
      <c r="J137" s="27">
        <f>IFERROR(MIN(IF(VLOOKUP(F137,'05_Master KPI'!$B$5:$G$100,5,FALSE)="Lower",H137/I137,I137/H137),1),0)</f>
        <v>0</v>
      </c>
      <c r="K137" s="26">
        <f>IFERROR(VLOOKUP(F137,'05_Master KPI'!$B$5:$G$100,4,FALSE),0)</f>
        <v>0</v>
      </c>
      <c r="L137" s="28">
        <f t="shared" si="2"/>
        <v>0</v>
      </c>
      <c r="M137" s="26" t="str">
        <f>IF(D137="","",IF(J137&gt;='13_Setting'!$H$7,"Tercapai",IF(J137&gt;='13_Setting'!$H$6,"On Track","Tertinggal")))</f>
        <v/>
      </c>
      <c r="N137" s="24"/>
    </row>
    <row r="138" spans="1:14">
      <c r="A138" s="24"/>
      <c r="B138" s="24"/>
      <c r="C138" s="25"/>
      <c r="D138" s="24"/>
      <c r="E138" s="26" t="str">
        <f>IFERROR(VLOOKUP(D138,'04_Master Karyawan'!$A$5:$F$50,2,FALSE),"")</f>
        <v/>
      </c>
      <c r="F138" s="24"/>
      <c r="G138" s="26" t="str">
        <f>IFERROR(VLOOKUP(F138,'05_Master KPI'!$B$5:$G$100,2,FALSE)&amp;" ("&amp;VLOOKUP(F138,'05_Master KPI'!$B$5:$G$100,3,FALSE)&amp;")","")</f>
        <v/>
      </c>
      <c r="H138" s="26">
        <f>IFERROR(IF(B138&lt;&gt;'06_Target KPI'!$B$3,0,IF(VLOOKUP(F138,'05_Master KPI'!$B$5:$G$100,6,FALSE)="Kumulatif",INDEX('06_Target KPI'!$E$5:$P$100,MATCH(F138,'06_Target KPI'!$B$5:$B$100,0),MATCH(A138,'06_Target KPI'!$E$4:$P$4,0))*DAY(C138)/DAY(EOMONTH(C138,0)),INDEX('06_Target KPI'!$E$5:$P$100,MATCH(F138,'06_Target KPI'!$B$5:$B$100,0),MATCH(A138,'06_Target KPI'!$E$4:$P$4,0)))),0)</f>
        <v>0</v>
      </c>
      <c r="I138" s="24"/>
      <c r="J138" s="27">
        <f>IFERROR(MIN(IF(VLOOKUP(F138,'05_Master KPI'!$B$5:$G$100,5,FALSE)="Lower",H138/I138,I138/H138),1),0)</f>
        <v>0</v>
      </c>
      <c r="K138" s="26">
        <f>IFERROR(VLOOKUP(F138,'05_Master KPI'!$B$5:$G$100,4,FALSE),0)</f>
        <v>0</v>
      </c>
      <c r="L138" s="28">
        <f t="shared" si="2"/>
        <v>0</v>
      </c>
      <c r="M138" s="26" t="str">
        <f>IF(D138="","",IF(J138&gt;='13_Setting'!$H$7,"Tercapai",IF(J138&gt;='13_Setting'!$H$6,"On Track","Tertinggal")))</f>
        <v/>
      </c>
      <c r="N138" s="24"/>
    </row>
    <row r="139" spans="1:14">
      <c r="A139" s="24"/>
      <c r="B139" s="24"/>
      <c r="C139" s="25"/>
      <c r="D139" s="24"/>
      <c r="E139" s="26" t="str">
        <f>IFERROR(VLOOKUP(D139,'04_Master Karyawan'!$A$5:$F$50,2,FALSE),"")</f>
        <v/>
      </c>
      <c r="F139" s="24"/>
      <c r="G139" s="26" t="str">
        <f>IFERROR(VLOOKUP(F139,'05_Master KPI'!$B$5:$G$100,2,FALSE)&amp;" ("&amp;VLOOKUP(F139,'05_Master KPI'!$B$5:$G$100,3,FALSE)&amp;")","")</f>
        <v/>
      </c>
      <c r="H139" s="26">
        <f>IFERROR(IF(B139&lt;&gt;'06_Target KPI'!$B$3,0,IF(VLOOKUP(F139,'05_Master KPI'!$B$5:$G$100,6,FALSE)="Kumulatif",INDEX('06_Target KPI'!$E$5:$P$100,MATCH(F139,'06_Target KPI'!$B$5:$B$100,0),MATCH(A139,'06_Target KPI'!$E$4:$P$4,0))*DAY(C139)/DAY(EOMONTH(C139,0)),INDEX('06_Target KPI'!$E$5:$P$100,MATCH(F139,'06_Target KPI'!$B$5:$B$100,0),MATCH(A139,'06_Target KPI'!$E$4:$P$4,0)))),0)</f>
        <v>0</v>
      </c>
      <c r="I139" s="24"/>
      <c r="J139" s="27">
        <f>IFERROR(MIN(IF(VLOOKUP(F139,'05_Master KPI'!$B$5:$G$100,5,FALSE)="Lower",H139/I139,I139/H139),1),0)</f>
        <v>0</v>
      </c>
      <c r="K139" s="26">
        <f>IFERROR(VLOOKUP(F139,'05_Master KPI'!$B$5:$G$100,4,FALSE),0)</f>
        <v>0</v>
      </c>
      <c r="L139" s="28">
        <f t="shared" si="2"/>
        <v>0</v>
      </c>
      <c r="M139" s="26" t="str">
        <f>IF(D139="","",IF(J139&gt;='13_Setting'!$H$7,"Tercapai",IF(J139&gt;='13_Setting'!$H$6,"On Track","Tertinggal")))</f>
        <v/>
      </c>
      <c r="N139" s="24"/>
    </row>
    <row r="140" spans="1:14">
      <c r="A140" s="24"/>
      <c r="B140" s="24"/>
      <c r="C140" s="25"/>
      <c r="D140" s="24"/>
      <c r="E140" s="26" t="str">
        <f>IFERROR(VLOOKUP(D140,'04_Master Karyawan'!$A$5:$F$50,2,FALSE),"")</f>
        <v/>
      </c>
      <c r="F140" s="24"/>
      <c r="G140" s="26" t="str">
        <f>IFERROR(VLOOKUP(F140,'05_Master KPI'!$B$5:$G$100,2,FALSE)&amp;" ("&amp;VLOOKUP(F140,'05_Master KPI'!$B$5:$G$100,3,FALSE)&amp;")","")</f>
        <v/>
      </c>
      <c r="H140" s="26">
        <f>IFERROR(IF(B140&lt;&gt;'06_Target KPI'!$B$3,0,IF(VLOOKUP(F140,'05_Master KPI'!$B$5:$G$100,6,FALSE)="Kumulatif",INDEX('06_Target KPI'!$E$5:$P$100,MATCH(F140,'06_Target KPI'!$B$5:$B$100,0),MATCH(A140,'06_Target KPI'!$E$4:$P$4,0))*DAY(C140)/DAY(EOMONTH(C140,0)),INDEX('06_Target KPI'!$E$5:$P$100,MATCH(F140,'06_Target KPI'!$B$5:$B$100,0),MATCH(A140,'06_Target KPI'!$E$4:$P$4,0)))),0)</f>
        <v>0</v>
      </c>
      <c r="I140" s="24"/>
      <c r="J140" s="27">
        <f>IFERROR(MIN(IF(VLOOKUP(F140,'05_Master KPI'!$B$5:$G$100,5,FALSE)="Lower",H140/I140,I140/H140),1),0)</f>
        <v>0</v>
      </c>
      <c r="K140" s="26">
        <f>IFERROR(VLOOKUP(F140,'05_Master KPI'!$B$5:$G$100,4,FALSE),0)</f>
        <v>0</v>
      </c>
      <c r="L140" s="28">
        <f t="shared" si="2"/>
        <v>0</v>
      </c>
      <c r="M140" s="26" t="str">
        <f>IF(D140="","",IF(J140&gt;='13_Setting'!$H$7,"Tercapai",IF(J140&gt;='13_Setting'!$H$6,"On Track","Tertinggal")))</f>
        <v/>
      </c>
      <c r="N140" s="24"/>
    </row>
    <row r="141" spans="1:14">
      <c r="A141" s="24"/>
      <c r="B141" s="24"/>
      <c r="C141" s="25"/>
      <c r="D141" s="24"/>
      <c r="E141" s="26" t="str">
        <f>IFERROR(VLOOKUP(D141,'04_Master Karyawan'!$A$5:$F$50,2,FALSE),"")</f>
        <v/>
      </c>
      <c r="F141" s="24"/>
      <c r="G141" s="26" t="str">
        <f>IFERROR(VLOOKUP(F141,'05_Master KPI'!$B$5:$G$100,2,FALSE)&amp;" ("&amp;VLOOKUP(F141,'05_Master KPI'!$B$5:$G$100,3,FALSE)&amp;")","")</f>
        <v/>
      </c>
      <c r="H141" s="26">
        <f>IFERROR(IF(B141&lt;&gt;'06_Target KPI'!$B$3,0,IF(VLOOKUP(F141,'05_Master KPI'!$B$5:$G$100,6,FALSE)="Kumulatif",INDEX('06_Target KPI'!$E$5:$P$100,MATCH(F141,'06_Target KPI'!$B$5:$B$100,0),MATCH(A141,'06_Target KPI'!$E$4:$P$4,0))*DAY(C141)/DAY(EOMONTH(C141,0)),INDEX('06_Target KPI'!$E$5:$P$100,MATCH(F141,'06_Target KPI'!$B$5:$B$100,0),MATCH(A141,'06_Target KPI'!$E$4:$P$4,0)))),0)</f>
        <v>0</v>
      </c>
      <c r="I141" s="24"/>
      <c r="J141" s="27">
        <f>IFERROR(MIN(IF(VLOOKUP(F141,'05_Master KPI'!$B$5:$G$100,5,FALSE)="Lower",H141/I141,I141/H141),1),0)</f>
        <v>0</v>
      </c>
      <c r="K141" s="26">
        <f>IFERROR(VLOOKUP(F141,'05_Master KPI'!$B$5:$G$100,4,FALSE),0)</f>
        <v>0</v>
      </c>
      <c r="L141" s="28">
        <f t="shared" si="2"/>
        <v>0</v>
      </c>
      <c r="M141" s="26" t="str">
        <f>IF(D141="","",IF(J141&gt;='13_Setting'!$H$7,"Tercapai",IF(J141&gt;='13_Setting'!$H$6,"On Track","Tertinggal")))</f>
        <v/>
      </c>
      <c r="N141" s="24"/>
    </row>
    <row r="142" spans="1:14">
      <c r="A142" s="24"/>
      <c r="B142" s="24"/>
      <c r="C142" s="25"/>
      <c r="D142" s="24"/>
      <c r="E142" s="26" t="str">
        <f>IFERROR(VLOOKUP(D142,'04_Master Karyawan'!$A$5:$F$50,2,FALSE),"")</f>
        <v/>
      </c>
      <c r="F142" s="24"/>
      <c r="G142" s="26" t="str">
        <f>IFERROR(VLOOKUP(F142,'05_Master KPI'!$B$5:$G$100,2,FALSE)&amp;" ("&amp;VLOOKUP(F142,'05_Master KPI'!$B$5:$G$100,3,FALSE)&amp;")","")</f>
        <v/>
      </c>
      <c r="H142" s="26">
        <f>IFERROR(IF(B142&lt;&gt;'06_Target KPI'!$B$3,0,IF(VLOOKUP(F142,'05_Master KPI'!$B$5:$G$100,6,FALSE)="Kumulatif",INDEX('06_Target KPI'!$E$5:$P$100,MATCH(F142,'06_Target KPI'!$B$5:$B$100,0),MATCH(A142,'06_Target KPI'!$E$4:$P$4,0))*DAY(C142)/DAY(EOMONTH(C142,0)),INDEX('06_Target KPI'!$E$5:$P$100,MATCH(F142,'06_Target KPI'!$B$5:$B$100,0),MATCH(A142,'06_Target KPI'!$E$4:$P$4,0)))),0)</f>
        <v>0</v>
      </c>
      <c r="I142" s="24"/>
      <c r="J142" s="27">
        <f>IFERROR(MIN(IF(VLOOKUP(F142,'05_Master KPI'!$B$5:$G$100,5,FALSE)="Lower",H142/I142,I142/H142),1),0)</f>
        <v>0</v>
      </c>
      <c r="K142" s="26">
        <f>IFERROR(VLOOKUP(F142,'05_Master KPI'!$B$5:$G$100,4,FALSE),0)</f>
        <v>0</v>
      </c>
      <c r="L142" s="28">
        <f t="shared" si="2"/>
        <v>0</v>
      </c>
      <c r="M142" s="26" t="str">
        <f>IF(D142="","",IF(J142&gt;='13_Setting'!$H$7,"Tercapai",IF(J142&gt;='13_Setting'!$H$6,"On Track","Tertinggal")))</f>
        <v/>
      </c>
      <c r="N142" s="24"/>
    </row>
    <row r="143" spans="1:14">
      <c r="A143" s="24"/>
      <c r="B143" s="24"/>
      <c r="C143" s="25"/>
      <c r="D143" s="24"/>
      <c r="E143" s="26" t="str">
        <f>IFERROR(VLOOKUP(D143,'04_Master Karyawan'!$A$5:$F$50,2,FALSE),"")</f>
        <v/>
      </c>
      <c r="F143" s="24"/>
      <c r="G143" s="26" t="str">
        <f>IFERROR(VLOOKUP(F143,'05_Master KPI'!$B$5:$G$100,2,FALSE)&amp;" ("&amp;VLOOKUP(F143,'05_Master KPI'!$B$5:$G$100,3,FALSE)&amp;")","")</f>
        <v/>
      </c>
      <c r="H143" s="26">
        <f>IFERROR(IF(B143&lt;&gt;'06_Target KPI'!$B$3,0,IF(VLOOKUP(F143,'05_Master KPI'!$B$5:$G$100,6,FALSE)="Kumulatif",INDEX('06_Target KPI'!$E$5:$P$100,MATCH(F143,'06_Target KPI'!$B$5:$B$100,0),MATCH(A143,'06_Target KPI'!$E$4:$P$4,0))*DAY(C143)/DAY(EOMONTH(C143,0)),INDEX('06_Target KPI'!$E$5:$P$100,MATCH(F143,'06_Target KPI'!$B$5:$B$100,0),MATCH(A143,'06_Target KPI'!$E$4:$P$4,0)))),0)</f>
        <v>0</v>
      </c>
      <c r="I143" s="24"/>
      <c r="J143" s="27">
        <f>IFERROR(MIN(IF(VLOOKUP(F143,'05_Master KPI'!$B$5:$G$100,5,FALSE)="Lower",H143/I143,I143/H143),1),0)</f>
        <v>0</v>
      </c>
      <c r="K143" s="26">
        <f>IFERROR(VLOOKUP(F143,'05_Master KPI'!$B$5:$G$100,4,FALSE),0)</f>
        <v>0</v>
      </c>
      <c r="L143" s="28">
        <f t="shared" si="2"/>
        <v>0</v>
      </c>
      <c r="M143" s="26" t="str">
        <f>IF(D143="","",IF(J143&gt;='13_Setting'!$H$7,"Tercapai",IF(J143&gt;='13_Setting'!$H$6,"On Track","Tertinggal")))</f>
        <v/>
      </c>
      <c r="N143" s="24"/>
    </row>
    <row r="144" spans="1:14">
      <c r="A144" s="24"/>
      <c r="B144" s="24"/>
      <c r="C144" s="25"/>
      <c r="D144" s="24"/>
      <c r="E144" s="26" t="str">
        <f>IFERROR(VLOOKUP(D144,'04_Master Karyawan'!$A$5:$F$50,2,FALSE),"")</f>
        <v/>
      </c>
      <c r="F144" s="24"/>
      <c r="G144" s="26" t="str">
        <f>IFERROR(VLOOKUP(F144,'05_Master KPI'!$B$5:$G$100,2,FALSE)&amp;" ("&amp;VLOOKUP(F144,'05_Master KPI'!$B$5:$G$100,3,FALSE)&amp;")","")</f>
        <v/>
      </c>
      <c r="H144" s="26">
        <f>IFERROR(IF(B144&lt;&gt;'06_Target KPI'!$B$3,0,IF(VLOOKUP(F144,'05_Master KPI'!$B$5:$G$100,6,FALSE)="Kumulatif",INDEX('06_Target KPI'!$E$5:$P$100,MATCH(F144,'06_Target KPI'!$B$5:$B$100,0),MATCH(A144,'06_Target KPI'!$E$4:$P$4,0))*DAY(C144)/DAY(EOMONTH(C144,0)),INDEX('06_Target KPI'!$E$5:$P$100,MATCH(F144,'06_Target KPI'!$B$5:$B$100,0),MATCH(A144,'06_Target KPI'!$E$4:$P$4,0)))),0)</f>
        <v>0</v>
      </c>
      <c r="I144" s="24"/>
      <c r="J144" s="27">
        <f>IFERROR(MIN(IF(VLOOKUP(F144,'05_Master KPI'!$B$5:$G$100,5,FALSE)="Lower",H144/I144,I144/H144),1),0)</f>
        <v>0</v>
      </c>
      <c r="K144" s="26">
        <f>IFERROR(VLOOKUP(F144,'05_Master KPI'!$B$5:$G$100,4,FALSE),0)</f>
        <v>0</v>
      </c>
      <c r="L144" s="28">
        <f t="shared" si="2"/>
        <v>0</v>
      </c>
      <c r="M144" s="26" t="str">
        <f>IF(D144="","",IF(J144&gt;='13_Setting'!$H$7,"Tercapai",IF(J144&gt;='13_Setting'!$H$6,"On Track","Tertinggal")))</f>
        <v/>
      </c>
      <c r="N144" s="24"/>
    </row>
    <row r="145" spans="1:14">
      <c r="A145" s="24"/>
      <c r="B145" s="24"/>
      <c r="C145" s="25"/>
      <c r="D145" s="24"/>
      <c r="E145" s="26" t="str">
        <f>IFERROR(VLOOKUP(D145,'04_Master Karyawan'!$A$5:$F$50,2,FALSE),"")</f>
        <v/>
      </c>
      <c r="F145" s="24"/>
      <c r="G145" s="26" t="str">
        <f>IFERROR(VLOOKUP(F145,'05_Master KPI'!$B$5:$G$100,2,FALSE)&amp;" ("&amp;VLOOKUP(F145,'05_Master KPI'!$B$5:$G$100,3,FALSE)&amp;")","")</f>
        <v/>
      </c>
      <c r="H145" s="26">
        <f>IFERROR(IF(B145&lt;&gt;'06_Target KPI'!$B$3,0,IF(VLOOKUP(F145,'05_Master KPI'!$B$5:$G$100,6,FALSE)="Kumulatif",INDEX('06_Target KPI'!$E$5:$P$100,MATCH(F145,'06_Target KPI'!$B$5:$B$100,0),MATCH(A145,'06_Target KPI'!$E$4:$P$4,0))*DAY(C145)/DAY(EOMONTH(C145,0)),INDEX('06_Target KPI'!$E$5:$P$100,MATCH(F145,'06_Target KPI'!$B$5:$B$100,0),MATCH(A145,'06_Target KPI'!$E$4:$P$4,0)))),0)</f>
        <v>0</v>
      </c>
      <c r="I145" s="24"/>
      <c r="J145" s="27">
        <f>IFERROR(MIN(IF(VLOOKUP(F145,'05_Master KPI'!$B$5:$G$100,5,FALSE)="Lower",H145/I145,I145/H145),1),0)</f>
        <v>0</v>
      </c>
      <c r="K145" s="26">
        <f>IFERROR(VLOOKUP(F145,'05_Master KPI'!$B$5:$G$100,4,FALSE),0)</f>
        <v>0</v>
      </c>
      <c r="L145" s="28">
        <f t="shared" si="2"/>
        <v>0</v>
      </c>
      <c r="M145" s="26" t="str">
        <f>IF(D145="","",IF(J145&gt;='13_Setting'!$H$7,"Tercapai",IF(J145&gt;='13_Setting'!$H$6,"On Track","Tertinggal")))</f>
        <v/>
      </c>
      <c r="N145" s="24"/>
    </row>
    <row r="146" spans="1:14">
      <c r="A146" s="24"/>
      <c r="B146" s="24"/>
      <c r="C146" s="25"/>
      <c r="D146" s="24"/>
      <c r="E146" s="26" t="str">
        <f>IFERROR(VLOOKUP(D146,'04_Master Karyawan'!$A$5:$F$50,2,FALSE),"")</f>
        <v/>
      </c>
      <c r="F146" s="24"/>
      <c r="G146" s="26" t="str">
        <f>IFERROR(VLOOKUP(F146,'05_Master KPI'!$B$5:$G$100,2,FALSE)&amp;" ("&amp;VLOOKUP(F146,'05_Master KPI'!$B$5:$G$100,3,FALSE)&amp;")","")</f>
        <v/>
      </c>
      <c r="H146" s="26">
        <f>IFERROR(IF(B146&lt;&gt;'06_Target KPI'!$B$3,0,IF(VLOOKUP(F146,'05_Master KPI'!$B$5:$G$100,6,FALSE)="Kumulatif",INDEX('06_Target KPI'!$E$5:$P$100,MATCH(F146,'06_Target KPI'!$B$5:$B$100,0),MATCH(A146,'06_Target KPI'!$E$4:$P$4,0))*DAY(C146)/DAY(EOMONTH(C146,0)),INDEX('06_Target KPI'!$E$5:$P$100,MATCH(F146,'06_Target KPI'!$B$5:$B$100,0),MATCH(A146,'06_Target KPI'!$E$4:$P$4,0)))),0)</f>
        <v>0</v>
      </c>
      <c r="I146" s="24"/>
      <c r="J146" s="27">
        <f>IFERROR(MIN(IF(VLOOKUP(F146,'05_Master KPI'!$B$5:$G$100,5,FALSE)="Lower",H146/I146,I146/H146),1),0)</f>
        <v>0</v>
      </c>
      <c r="K146" s="26">
        <f>IFERROR(VLOOKUP(F146,'05_Master KPI'!$B$5:$G$100,4,FALSE),0)</f>
        <v>0</v>
      </c>
      <c r="L146" s="28">
        <f t="shared" si="2"/>
        <v>0</v>
      </c>
      <c r="M146" s="26" t="str">
        <f>IF(D146="","",IF(J146&gt;='13_Setting'!$H$7,"Tercapai",IF(J146&gt;='13_Setting'!$H$6,"On Track","Tertinggal")))</f>
        <v/>
      </c>
      <c r="N146" s="24"/>
    </row>
    <row r="147" spans="1:14">
      <c r="A147" s="24"/>
      <c r="B147" s="24"/>
      <c r="C147" s="25"/>
      <c r="D147" s="24"/>
      <c r="E147" s="26" t="str">
        <f>IFERROR(VLOOKUP(D147,'04_Master Karyawan'!$A$5:$F$50,2,FALSE),"")</f>
        <v/>
      </c>
      <c r="F147" s="24"/>
      <c r="G147" s="26" t="str">
        <f>IFERROR(VLOOKUP(F147,'05_Master KPI'!$B$5:$G$100,2,FALSE)&amp;" ("&amp;VLOOKUP(F147,'05_Master KPI'!$B$5:$G$100,3,FALSE)&amp;")","")</f>
        <v/>
      </c>
      <c r="H147" s="26">
        <f>IFERROR(IF(B147&lt;&gt;'06_Target KPI'!$B$3,0,IF(VLOOKUP(F147,'05_Master KPI'!$B$5:$G$100,6,FALSE)="Kumulatif",INDEX('06_Target KPI'!$E$5:$P$100,MATCH(F147,'06_Target KPI'!$B$5:$B$100,0),MATCH(A147,'06_Target KPI'!$E$4:$P$4,0))*DAY(C147)/DAY(EOMONTH(C147,0)),INDEX('06_Target KPI'!$E$5:$P$100,MATCH(F147,'06_Target KPI'!$B$5:$B$100,0),MATCH(A147,'06_Target KPI'!$E$4:$P$4,0)))),0)</f>
        <v>0</v>
      </c>
      <c r="I147" s="24"/>
      <c r="J147" s="27">
        <f>IFERROR(MIN(IF(VLOOKUP(F147,'05_Master KPI'!$B$5:$G$100,5,FALSE)="Lower",H147/I147,I147/H147),1),0)</f>
        <v>0</v>
      </c>
      <c r="K147" s="26">
        <f>IFERROR(VLOOKUP(F147,'05_Master KPI'!$B$5:$G$100,4,FALSE),0)</f>
        <v>0</v>
      </c>
      <c r="L147" s="28">
        <f t="shared" si="2"/>
        <v>0</v>
      </c>
      <c r="M147" s="26" t="str">
        <f>IF(D147="","",IF(J147&gt;='13_Setting'!$H$7,"Tercapai",IF(J147&gt;='13_Setting'!$H$6,"On Track","Tertinggal")))</f>
        <v/>
      </c>
      <c r="N147" s="24"/>
    </row>
    <row r="148" spans="1:14">
      <c r="A148" s="24"/>
      <c r="B148" s="24"/>
      <c r="C148" s="25"/>
      <c r="D148" s="24"/>
      <c r="E148" s="26" t="str">
        <f>IFERROR(VLOOKUP(D148,'04_Master Karyawan'!$A$5:$F$50,2,FALSE),"")</f>
        <v/>
      </c>
      <c r="F148" s="24"/>
      <c r="G148" s="26" t="str">
        <f>IFERROR(VLOOKUP(F148,'05_Master KPI'!$B$5:$G$100,2,FALSE)&amp;" ("&amp;VLOOKUP(F148,'05_Master KPI'!$B$5:$G$100,3,FALSE)&amp;")","")</f>
        <v/>
      </c>
      <c r="H148" s="26">
        <f>IFERROR(IF(B148&lt;&gt;'06_Target KPI'!$B$3,0,IF(VLOOKUP(F148,'05_Master KPI'!$B$5:$G$100,6,FALSE)="Kumulatif",INDEX('06_Target KPI'!$E$5:$P$100,MATCH(F148,'06_Target KPI'!$B$5:$B$100,0),MATCH(A148,'06_Target KPI'!$E$4:$P$4,0))*DAY(C148)/DAY(EOMONTH(C148,0)),INDEX('06_Target KPI'!$E$5:$P$100,MATCH(F148,'06_Target KPI'!$B$5:$B$100,0),MATCH(A148,'06_Target KPI'!$E$4:$P$4,0)))),0)</f>
        <v>0</v>
      </c>
      <c r="I148" s="24"/>
      <c r="J148" s="27">
        <f>IFERROR(MIN(IF(VLOOKUP(F148,'05_Master KPI'!$B$5:$G$100,5,FALSE)="Lower",H148/I148,I148/H148),1),0)</f>
        <v>0</v>
      </c>
      <c r="K148" s="26">
        <f>IFERROR(VLOOKUP(F148,'05_Master KPI'!$B$5:$G$100,4,FALSE),0)</f>
        <v>0</v>
      </c>
      <c r="L148" s="28">
        <f t="shared" si="2"/>
        <v>0</v>
      </c>
      <c r="M148" s="26" t="str">
        <f>IF(D148="","",IF(J148&gt;='13_Setting'!$H$7,"Tercapai",IF(J148&gt;='13_Setting'!$H$6,"On Track","Tertinggal")))</f>
        <v/>
      </c>
      <c r="N148" s="24"/>
    </row>
    <row r="149" spans="1:14">
      <c r="A149" s="24"/>
      <c r="B149" s="24"/>
      <c r="C149" s="25"/>
      <c r="D149" s="24"/>
      <c r="E149" s="26" t="str">
        <f>IFERROR(VLOOKUP(D149,'04_Master Karyawan'!$A$5:$F$50,2,FALSE),"")</f>
        <v/>
      </c>
      <c r="F149" s="24"/>
      <c r="G149" s="26" t="str">
        <f>IFERROR(VLOOKUP(F149,'05_Master KPI'!$B$5:$G$100,2,FALSE)&amp;" ("&amp;VLOOKUP(F149,'05_Master KPI'!$B$5:$G$100,3,FALSE)&amp;")","")</f>
        <v/>
      </c>
      <c r="H149" s="26">
        <f>IFERROR(IF(B149&lt;&gt;'06_Target KPI'!$B$3,0,IF(VLOOKUP(F149,'05_Master KPI'!$B$5:$G$100,6,FALSE)="Kumulatif",INDEX('06_Target KPI'!$E$5:$P$100,MATCH(F149,'06_Target KPI'!$B$5:$B$100,0),MATCH(A149,'06_Target KPI'!$E$4:$P$4,0))*DAY(C149)/DAY(EOMONTH(C149,0)),INDEX('06_Target KPI'!$E$5:$P$100,MATCH(F149,'06_Target KPI'!$B$5:$B$100,0),MATCH(A149,'06_Target KPI'!$E$4:$P$4,0)))),0)</f>
        <v>0</v>
      </c>
      <c r="I149" s="24"/>
      <c r="J149" s="27">
        <f>IFERROR(MIN(IF(VLOOKUP(F149,'05_Master KPI'!$B$5:$G$100,5,FALSE)="Lower",H149/I149,I149/H149),1),0)</f>
        <v>0</v>
      </c>
      <c r="K149" s="26">
        <f>IFERROR(VLOOKUP(F149,'05_Master KPI'!$B$5:$G$100,4,FALSE),0)</f>
        <v>0</v>
      </c>
      <c r="L149" s="28">
        <f t="shared" si="2"/>
        <v>0</v>
      </c>
      <c r="M149" s="26" t="str">
        <f>IF(D149="","",IF(J149&gt;='13_Setting'!$H$7,"Tercapai",IF(J149&gt;='13_Setting'!$H$6,"On Track","Tertinggal")))</f>
        <v/>
      </c>
      <c r="N149" s="24"/>
    </row>
    <row r="150" spans="1:14">
      <c r="A150" s="24"/>
      <c r="B150" s="24"/>
      <c r="C150" s="25"/>
      <c r="D150" s="24"/>
      <c r="E150" s="26" t="str">
        <f>IFERROR(VLOOKUP(D150,'04_Master Karyawan'!$A$5:$F$50,2,FALSE),"")</f>
        <v/>
      </c>
      <c r="F150" s="24"/>
      <c r="G150" s="26" t="str">
        <f>IFERROR(VLOOKUP(F150,'05_Master KPI'!$B$5:$G$100,2,FALSE)&amp;" ("&amp;VLOOKUP(F150,'05_Master KPI'!$B$5:$G$100,3,FALSE)&amp;")","")</f>
        <v/>
      </c>
      <c r="H150" s="26">
        <f>IFERROR(IF(B150&lt;&gt;'06_Target KPI'!$B$3,0,IF(VLOOKUP(F150,'05_Master KPI'!$B$5:$G$100,6,FALSE)="Kumulatif",INDEX('06_Target KPI'!$E$5:$P$100,MATCH(F150,'06_Target KPI'!$B$5:$B$100,0),MATCH(A150,'06_Target KPI'!$E$4:$P$4,0))*DAY(C150)/DAY(EOMONTH(C150,0)),INDEX('06_Target KPI'!$E$5:$P$100,MATCH(F150,'06_Target KPI'!$B$5:$B$100,0),MATCH(A150,'06_Target KPI'!$E$4:$P$4,0)))),0)</f>
        <v>0</v>
      </c>
      <c r="I150" s="24"/>
      <c r="J150" s="27">
        <f>IFERROR(MIN(IF(VLOOKUP(F150,'05_Master KPI'!$B$5:$G$100,5,FALSE)="Lower",H150/I150,I150/H150),1),0)</f>
        <v>0</v>
      </c>
      <c r="K150" s="26">
        <f>IFERROR(VLOOKUP(F150,'05_Master KPI'!$B$5:$G$100,4,FALSE),0)</f>
        <v>0</v>
      </c>
      <c r="L150" s="28">
        <f t="shared" si="2"/>
        <v>0</v>
      </c>
      <c r="M150" s="26" t="str">
        <f>IF(D150="","",IF(J150&gt;='13_Setting'!$H$7,"Tercapai",IF(J150&gt;='13_Setting'!$H$6,"On Track","Tertinggal")))</f>
        <v/>
      </c>
      <c r="N150" s="24"/>
    </row>
    <row r="151" spans="1:14">
      <c r="A151" s="24"/>
      <c r="B151" s="24"/>
      <c r="C151" s="25"/>
      <c r="D151" s="24"/>
      <c r="E151" s="26" t="str">
        <f>IFERROR(VLOOKUP(D151,'04_Master Karyawan'!$A$5:$F$50,2,FALSE),"")</f>
        <v/>
      </c>
      <c r="F151" s="24"/>
      <c r="G151" s="26" t="str">
        <f>IFERROR(VLOOKUP(F151,'05_Master KPI'!$B$5:$G$100,2,FALSE)&amp;" ("&amp;VLOOKUP(F151,'05_Master KPI'!$B$5:$G$100,3,FALSE)&amp;")","")</f>
        <v/>
      </c>
      <c r="H151" s="26">
        <f>IFERROR(IF(B151&lt;&gt;'06_Target KPI'!$B$3,0,IF(VLOOKUP(F151,'05_Master KPI'!$B$5:$G$100,6,FALSE)="Kumulatif",INDEX('06_Target KPI'!$E$5:$P$100,MATCH(F151,'06_Target KPI'!$B$5:$B$100,0),MATCH(A151,'06_Target KPI'!$E$4:$P$4,0))*DAY(C151)/DAY(EOMONTH(C151,0)),INDEX('06_Target KPI'!$E$5:$P$100,MATCH(F151,'06_Target KPI'!$B$5:$B$100,0),MATCH(A151,'06_Target KPI'!$E$4:$P$4,0)))),0)</f>
        <v>0</v>
      </c>
      <c r="I151" s="24"/>
      <c r="J151" s="27">
        <f>IFERROR(MIN(IF(VLOOKUP(F151,'05_Master KPI'!$B$5:$G$100,5,FALSE)="Lower",H151/I151,I151/H151),1),0)</f>
        <v>0</v>
      </c>
      <c r="K151" s="26">
        <f>IFERROR(VLOOKUP(F151,'05_Master KPI'!$B$5:$G$100,4,FALSE),0)</f>
        <v>0</v>
      </c>
      <c r="L151" s="28">
        <f t="shared" si="2"/>
        <v>0</v>
      </c>
      <c r="M151" s="26" t="str">
        <f>IF(D151="","",IF(J151&gt;='13_Setting'!$H$7,"Tercapai",IF(J151&gt;='13_Setting'!$H$6,"On Track","Tertinggal")))</f>
        <v/>
      </c>
      <c r="N151" s="24"/>
    </row>
    <row r="152" spans="1:14">
      <c r="A152" s="24"/>
      <c r="B152" s="24"/>
      <c r="C152" s="25"/>
      <c r="D152" s="24"/>
      <c r="E152" s="26" t="str">
        <f>IFERROR(VLOOKUP(D152,'04_Master Karyawan'!$A$5:$F$50,2,FALSE),"")</f>
        <v/>
      </c>
      <c r="F152" s="24"/>
      <c r="G152" s="26" t="str">
        <f>IFERROR(VLOOKUP(F152,'05_Master KPI'!$B$5:$G$100,2,FALSE)&amp;" ("&amp;VLOOKUP(F152,'05_Master KPI'!$B$5:$G$100,3,FALSE)&amp;")","")</f>
        <v/>
      </c>
      <c r="H152" s="26">
        <f>IFERROR(IF(B152&lt;&gt;'06_Target KPI'!$B$3,0,IF(VLOOKUP(F152,'05_Master KPI'!$B$5:$G$100,6,FALSE)="Kumulatif",INDEX('06_Target KPI'!$E$5:$P$100,MATCH(F152,'06_Target KPI'!$B$5:$B$100,0),MATCH(A152,'06_Target KPI'!$E$4:$P$4,0))*DAY(C152)/DAY(EOMONTH(C152,0)),INDEX('06_Target KPI'!$E$5:$P$100,MATCH(F152,'06_Target KPI'!$B$5:$B$100,0),MATCH(A152,'06_Target KPI'!$E$4:$P$4,0)))),0)</f>
        <v>0</v>
      </c>
      <c r="I152" s="24"/>
      <c r="J152" s="27">
        <f>IFERROR(MIN(IF(VLOOKUP(F152,'05_Master KPI'!$B$5:$G$100,5,FALSE)="Lower",H152/I152,I152/H152),1),0)</f>
        <v>0</v>
      </c>
      <c r="K152" s="26">
        <f>IFERROR(VLOOKUP(F152,'05_Master KPI'!$B$5:$G$100,4,FALSE),0)</f>
        <v>0</v>
      </c>
      <c r="L152" s="28">
        <f t="shared" si="2"/>
        <v>0</v>
      </c>
      <c r="M152" s="26" t="str">
        <f>IF(D152="","",IF(J152&gt;='13_Setting'!$H$7,"Tercapai",IF(J152&gt;='13_Setting'!$H$6,"On Track","Tertinggal")))</f>
        <v/>
      </c>
      <c r="N152" s="24"/>
    </row>
    <row r="153" spans="1:14">
      <c r="A153" s="24"/>
      <c r="B153" s="24"/>
      <c r="C153" s="25"/>
      <c r="D153" s="24"/>
      <c r="E153" s="26" t="str">
        <f>IFERROR(VLOOKUP(D153,'04_Master Karyawan'!$A$5:$F$50,2,FALSE),"")</f>
        <v/>
      </c>
      <c r="F153" s="24"/>
      <c r="G153" s="26" t="str">
        <f>IFERROR(VLOOKUP(F153,'05_Master KPI'!$B$5:$G$100,2,FALSE)&amp;" ("&amp;VLOOKUP(F153,'05_Master KPI'!$B$5:$G$100,3,FALSE)&amp;")","")</f>
        <v/>
      </c>
      <c r="H153" s="26">
        <f>IFERROR(IF(B153&lt;&gt;'06_Target KPI'!$B$3,0,IF(VLOOKUP(F153,'05_Master KPI'!$B$5:$G$100,6,FALSE)="Kumulatif",INDEX('06_Target KPI'!$E$5:$P$100,MATCH(F153,'06_Target KPI'!$B$5:$B$100,0),MATCH(A153,'06_Target KPI'!$E$4:$P$4,0))*DAY(C153)/DAY(EOMONTH(C153,0)),INDEX('06_Target KPI'!$E$5:$P$100,MATCH(F153,'06_Target KPI'!$B$5:$B$100,0),MATCH(A153,'06_Target KPI'!$E$4:$P$4,0)))),0)</f>
        <v>0</v>
      </c>
      <c r="I153" s="24"/>
      <c r="J153" s="27">
        <f>IFERROR(MIN(IF(VLOOKUP(F153,'05_Master KPI'!$B$5:$G$100,5,FALSE)="Lower",H153/I153,I153/H153),1),0)</f>
        <v>0</v>
      </c>
      <c r="K153" s="26">
        <f>IFERROR(VLOOKUP(F153,'05_Master KPI'!$B$5:$G$100,4,FALSE),0)</f>
        <v>0</v>
      </c>
      <c r="L153" s="28">
        <f t="shared" si="2"/>
        <v>0</v>
      </c>
      <c r="M153" s="26" t="str">
        <f>IF(D153="","",IF(J153&gt;='13_Setting'!$H$7,"Tercapai",IF(J153&gt;='13_Setting'!$H$6,"On Track","Tertinggal")))</f>
        <v/>
      </c>
      <c r="N153" s="24"/>
    </row>
    <row r="154" spans="1:14">
      <c r="A154" s="24"/>
      <c r="B154" s="24"/>
      <c r="C154" s="25"/>
      <c r="D154" s="24"/>
      <c r="E154" s="26" t="str">
        <f>IFERROR(VLOOKUP(D154,'04_Master Karyawan'!$A$5:$F$50,2,FALSE),"")</f>
        <v/>
      </c>
      <c r="F154" s="24"/>
      <c r="G154" s="26" t="str">
        <f>IFERROR(VLOOKUP(F154,'05_Master KPI'!$B$5:$G$100,2,FALSE)&amp;" ("&amp;VLOOKUP(F154,'05_Master KPI'!$B$5:$G$100,3,FALSE)&amp;")","")</f>
        <v/>
      </c>
      <c r="H154" s="26">
        <f>IFERROR(IF(B154&lt;&gt;'06_Target KPI'!$B$3,0,IF(VLOOKUP(F154,'05_Master KPI'!$B$5:$G$100,6,FALSE)="Kumulatif",INDEX('06_Target KPI'!$E$5:$P$100,MATCH(F154,'06_Target KPI'!$B$5:$B$100,0),MATCH(A154,'06_Target KPI'!$E$4:$P$4,0))*DAY(C154)/DAY(EOMONTH(C154,0)),INDEX('06_Target KPI'!$E$5:$P$100,MATCH(F154,'06_Target KPI'!$B$5:$B$100,0),MATCH(A154,'06_Target KPI'!$E$4:$P$4,0)))),0)</f>
        <v>0</v>
      </c>
      <c r="I154" s="24"/>
      <c r="J154" s="27">
        <f>IFERROR(MIN(IF(VLOOKUP(F154,'05_Master KPI'!$B$5:$G$100,5,FALSE)="Lower",H154/I154,I154/H154),1),0)</f>
        <v>0</v>
      </c>
      <c r="K154" s="26">
        <f>IFERROR(VLOOKUP(F154,'05_Master KPI'!$B$5:$G$100,4,FALSE),0)</f>
        <v>0</v>
      </c>
      <c r="L154" s="28">
        <f t="shared" si="2"/>
        <v>0</v>
      </c>
      <c r="M154" s="26" t="str">
        <f>IF(D154="","",IF(J154&gt;='13_Setting'!$H$7,"Tercapai",IF(J154&gt;='13_Setting'!$H$6,"On Track","Tertinggal")))</f>
        <v/>
      </c>
      <c r="N154" s="24"/>
    </row>
    <row r="155" spans="1:14">
      <c r="A155" s="24"/>
      <c r="B155" s="24"/>
      <c r="C155" s="25"/>
      <c r="D155" s="24"/>
      <c r="E155" s="26" t="str">
        <f>IFERROR(VLOOKUP(D155,'04_Master Karyawan'!$A$5:$F$50,2,FALSE),"")</f>
        <v/>
      </c>
      <c r="F155" s="24"/>
      <c r="G155" s="26" t="str">
        <f>IFERROR(VLOOKUP(F155,'05_Master KPI'!$B$5:$G$100,2,FALSE)&amp;" ("&amp;VLOOKUP(F155,'05_Master KPI'!$B$5:$G$100,3,FALSE)&amp;")","")</f>
        <v/>
      </c>
      <c r="H155" s="26">
        <f>IFERROR(IF(B155&lt;&gt;'06_Target KPI'!$B$3,0,IF(VLOOKUP(F155,'05_Master KPI'!$B$5:$G$100,6,FALSE)="Kumulatif",INDEX('06_Target KPI'!$E$5:$P$100,MATCH(F155,'06_Target KPI'!$B$5:$B$100,0),MATCH(A155,'06_Target KPI'!$E$4:$P$4,0))*DAY(C155)/DAY(EOMONTH(C155,0)),INDEX('06_Target KPI'!$E$5:$P$100,MATCH(F155,'06_Target KPI'!$B$5:$B$100,0),MATCH(A155,'06_Target KPI'!$E$4:$P$4,0)))),0)</f>
        <v>0</v>
      </c>
      <c r="I155" s="24"/>
      <c r="J155" s="27">
        <f>IFERROR(MIN(IF(VLOOKUP(F155,'05_Master KPI'!$B$5:$G$100,5,FALSE)="Lower",H155/I155,I155/H155),1),0)</f>
        <v>0</v>
      </c>
      <c r="K155" s="26">
        <f>IFERROR(VLOOKUP(F155,'05_Master KPI'!$B$5:$G$100,4,FALSE),0)</f>
        <v>0</v>
      </c>
      <c r="L155" s="28">
        <f t="shared" si="2"/>
        <v>0</v>
      </c>
      <c r="M155" s="26" t="str">
        <f>IF(D155="","",IF(J155&gt;='13_Setting'!$H$7,"Tercapai",IF(J155&gt;='13_Setting'!$H$6,"On Track","Tertinggal")))</f>
        <v/>
      </c>
      <c r="N155" s="24"/>
    </row>
    <row r="156" spans="1:14">
      <c r="A156" s="24"/>
      <c r="B156" s="24"/>
      <c r="C156" s="25"/>
      <c r="D156" s="24"/>
      <c r="E156" s="26" t="str">
        <f>IFERROR(VLOOKUP(D156,'04_Master Karyawan'!$A$5:$F$50,2,FALSE),"")</f>
        <v/>
      </c>
      <c r="F156" s="24"/>
      <c r="G156" s="26" t="str">
        <f>IFERROR(VLOOKUP(F156,'05_Master KPI'!$B$5:$G$100,2,FALSE)&amp;" ("&amp;VLOOKUP(F156,'05_Master KPI'!$B$5:$G$100,3,FALSE)&amp;")","")</f>
        <v/>
      </c>
      <c r="H156" s="26">
        <f>IFERROR(IF(B156&lt;&gt;'06_Target KPI'!$B$3,0,IF(VLOOKUP(F156,'05_Master KPI'!$B$5:$G$100,6,FALSE)="Kumulatif",INDEX('06_Target KPI'!$E$5:$P$100,MATCH(F156,'06_Target KPI'!$B$5:$B$100,0),MATCH(A156,'06_Target KPI'!$E$4:$P$4,0))*DAY(C156)/DAY(EOMONTH(C156,0)),INDEX('06_Target KPI'!$E$5:$P$100,MATCH(F156,'06_Target KPI'!$B$5:$B$100,0),MATCH(A156,'06_Target KPI'!$E$4:$P$4,0)))),0)</f>
        <v>0</v>
      </c>
      <c r="I156" s="24"/>
      <c r="J156" s="27">
        <f>IFERROR(MIN(IF(VLOOKUP(F156,'05_Master KPI'!$B$5:$G$100,5,FALSE)="Lower",H156/I156,I156/H156),1),0)</f>
        <v>0</v>
      </c>
      <c r="K156" s="26">
        <f>IFERROR(VLOOKUP(F156,'05_Master KPI'!$B$5:$G$100,4,FALSE),0)</f>
        <v>0</v>
      </c>
      <c r="L156" s="28">
        <f t="shared" si="2"/>
        <v>0</v>
      </c>
      <c r="M156" s="26" t="str">
        <f>IF(D156="","",IF(J156&gt;='13_Setting'!$H$7,"Tercapai",IF(J156&gt;='13_Setting'!$H$6,"On Track","Tertinggal")))</f>
        <v/>
      </c>
      <c r="N156" s="24"/>
    </row>
    <row r="157" spans="1:14">
      <c r="A157" s="24"/>
      <c r="B157" s="24"/>
      <c r="C157" s="25"/>
      <c r="D157" s="24"/>
      <c r="E157" s="26" t="str">
        <f>IFERROR(VLOOKUP(D157,'04_Master Karyawan'!$A$5:$F$50,2,FALSE),"")</f>
        <v/>
      </c>
      <c r="F157" s="24"/>
      <c r="G157" s="26" t="str">
        <f>IFERROR(VLOOKUP(F157,'05_Master KPI'!$B$5:$G$100,2,FALSE)&amp;" ("&amp;VLOOKUP(F157,'05_Master KPI'!$B$5:$G$100,3,FALSE)&amp;")","")</f>
        <v/>
      </c>
      <c r="H157" s="26">
        <f>IFERROR(IF(B157&lt;&gt;'06_Target KPI'!$B$3,0,IF(VLOOKUP(F157,'05_Master KPI'!$B$5:$G$100,6,FALSE)="Kumulatif",INDEX('06_Target KPI'!$E$5:$P$100,MATCH(F157,'06_Target KPI'!$B$5:$B$100,0),MATCH(A157,'06_Target KPI'!$E$4:$P$4,0))*DAY(C157)/DAY(EOMONTH(C157,0)),INDEX('06_Target KPI'!$E$5:$P$100,MATCH(F157,'06_Target KPI'!$B$5:$B$100,0),MATCH(A157,'06_Target KPI'!$E$4:$P$4,0)))),0)</f>
        <v>0</v>
      </c>
      <c r="I157" s="24"/>
      <c r="J157" s="27">
        <f>IFERROR(MIN(IF(VLOOKUP(F157,'05_Master KPI'!$B$5:$G$100,5,FALSE)="Lower",H157/I157,I157/H157),1),0)</f>
        <v>0</v>
      </c>
      <c r="K157" s="26">
        <f>IFERROR(VLOOKUP(F157,'05_Master KPI'!$B$5:$G$100,4,FALSE),0)</f>
        <v>0</v>
      </c>
      <c r="L157" s="28">
        <f t="shared" si="2"/>
        <v>0</v>
      </c>
      <c r="M157" s="26" t="str">
        <f>IF(D157="","",IF(J157&gt;='13_Setting'!$H$7,"Tercapai",IF(J157&gt;='13_Setting'!$H$6,"On Track","Tertinggal")))</f>
        <v/>
      </c>
      <c r="N157" s="24"/>
    </row>
    <row r="158" spans="1:14">
      <c r="A158" s="24"/>
      <c r="B158" s="24"/>
      <c r="C158" s="25"/>
      <c r="D158" s="24"/>
      <c r="E158" s="26" t="str">
        <f>IFERROR(VLOOKUP(D158,'04_Master Karyawan'!$A$5:$F$50,2,FALSE),"")</f>
        <v/>
      </c>
      <c r="F158" s="24"/>
      <c r="G158" s="26" t="str">
        <f>IFERROR(VLOOKUP(F158,'05_Master KPI'!$B$5:$G$100,2,FALSE)&amp;" ("&amp;VLOOKUP(F158,'05_Master KPI'!$B$5:$G$100,3,FALSE)&amp;")","")</f>
        <v/>
      </c>
      <c r="H158" s="26">
        <f>IFERROR(IF(B158&lt;&gt;'06_Target KPI'!$B$3,0,IF(VLOOKUP(F158,'05_Master KPI'!$B$5:$G$100,6,FALSE)="Kumulatif",INDEX('06_Target KPI'!$E$5:$P$100,MATCH(F158,'06_Target KPI'!$B$5:$B$100,0),MATCH(A158,'06_Target KPI'!$E$4:$P$4,0))*DAY(C158)/DAY(EOMONTH(C158,0)),INDEX('06_Target KPI'!$E$5:$P$100,MATCH(F158,'06_Target KPI'!$B$5:$B$100,0),MATCH(A158,'06_Target KPI'!$E$4:$P$4,0)))),0)</f>
        <v>0</v>
      </c>
      <c r="I158" s="24"/>
      <c r="J158" s="27">
        <f>IFERROR(MIN(IF(VLOOKUP(F158,'05_Master KPI'!$B$5:$G$100,5,FALSE)="Lower",H158/I158,I158/H158),1),0)</f>
        <v>0</v>
      </c>
      <c r="K158" s="26">
        <f>IFERROR(VLOOKUP(F158,'05_Master KPI'!$B$5:$G$100,4,FALSE),0)</f>
        <v>0</v>
      </c>
      <c r="L158" s="28">
        <f t="shared" si="2"/>
        <v>0</v>
      </c>
      <c r="M158" s="26" t="str">
        <f>IF(D158="","",IF(J158&gt;='13_Setting'!$H$7,"Tercapai",IF(J158&gt;='13_Setting'!$H$6,"On Track","Tertinggal")))</f>
        <v/>
      </c>
      <c r="N158" s="24"/>
    </row>
    <row r="159" spans="1:14">
      <c r="A159" s="24"/>
      <c r="B159" s="24"/>
      <c r="C159" s="25"/>
      <c r="D159" s="24"/>
      <c r="E159" s="26" t="str">
        <f>IFERROR(VLOOKUP(D159,'04_Master Karyawan'!$A$5:$F$50,2,FALSE),"")</f>
        <v/>
      </c>
      <c r="F159" s="24"/>
      <c r="G159" s="26" t="str">
        <f>IFERROR(VLOOKUP(F159,'05_Master KPI'!$B$5:$G$100,2,FALSE)&amp;" ("&amp;VLOOKUP(F159,'05_Master KPI'!$B$5:$G$100,3,FALSE)&amp;")","")</f>
        <v/>
      </c>
      <c r="H159" s="26">
        <f>IFERROR(IF(B159&lt;&gt;'06_Target KPI'!$B$3,0,IF(VLOOKUP(F159,'05_Master KPI'!$B$5:$G$100,6,FALSE)="Kumulatif",INDEX('06_Target KPI'!$E$5:$P$100,MATCH(F159,'06_Target KPI'!$B$5:$B$100,0),MATCH(A159,'06_Target KPI'!$E$4:$P$4,0))*DAY(C159)/DAY(EOMONTH(C159,0)),INDEX('06_Target KPI'!$E$5:$P$100,MATCH(F159,'06_Target KPI'!$B$5:$B$100,0),MATCH(A159,'06_Target KPI'!$E$4:$P$4,0)))),0)</f>
        <v>0</v>
      </c>
      <c r="I159" s="24"/>
      <c r="J159" s="27">
        <f>IFERROR(MIN(IF(VLOOKUP(F159,'05_Master KPI'!$B$5:$G$100,5,FALSE)="Lower",H159/I159,I159/H159),1),0)</f>
        <v>0</v>
      </c>
      <c r="K159" s="26">
        <f>IFERROR(VLOOKUP(F159,'05_Master KPI'!$B$5:$G$100,4,FALSE),0)</f>
        <v>0</v>
      </c>
      <c r="L159" s="28">
        <f t="shared" si="2"/>
        <v>0</v>
      </c>
      <c r="M159" s="26" t="str">
        <f>IF(D159="","",IF(J159&gt;='13_Setting'!$H$7,"Tercapai",IF(J159&gt;='13_Setting'!$H$6,"On Track","Tertinggal")))</f>
        <v/>
      </c>
      <c r="N159" s="24"/>
    </row>
    <row r="160" spans="1:14">
      <c r="A160" s="24"/>
      <c r="B160" s="24"/>
      <c r="C160" s="25"/>
      <c r="D160" s="24"/>
      <c r="E160" s="26" t="str">
        <f>IFERROR(VLOOKUP(D160,'04_Master Karyawan'!$A$5:$F$50,2,FALSE),"")</f>
        <v/>
      </c>
      <c r="F160" s="24"/>
      <c r="G160" s="26" t="str">
        <f>IFERROR(VLOOKUP(F160,'05_Master KPI'!$B$5:$G$100,2,FALSE)&amp;" ("&amp;VLOOKUP(F160,'05_Master KPI'!$B$5:$G$100,3,FALSE)&amp;")","")</f>
        <v/>
      </c>
      <c r="H160" s="26">
        <f>IFERROR(IF(B160&lt;&gt;'06_Target KPI'!$B$3,0,IF(VLOOKUP(F160,'05_Master KPI'!$B$5:$G$100,6,FALSE)="Kumulatif",INDEX('06_Target KPI'!$E$5:$P$100,MATCH(F160,'06_Target KPI'!$B$5:$B$100,0),MATCH(A160,'06_Target KPI'!$E$4:$P$4,0))*DAY(C160)/DAY(EOMONTH(C160,0)),INDEX('06_Target KPI'!$E$5:$P$100,MATCH(F160,'06_Target KPI'!$B$5:$B$100,0),MATCH(A160,'06_Target KPI'!$E$4:$P$4,0)))),0)</f>
        <v>0</v>
      </c>
      <c r="I160" s="24"/>
      <c r="J160" s="27">
        <f>IFERROR(MIN(IF(VLOOKUP(F160,'05_Master KPI'!$B$5:$G$100,5,FALSE)="Lower",H160/I160,I160/H160),1),0)</f>
        <v>0</v>
      </c>
      <c r="K160" s="26">
        <f>IFERROR(VLOOKUP(F160,'05_Master KPI'!$B$5:$G$100,4,FALSE),0)</f>
        <v>0</v>
      </c>
      <c r="L160" s="28">
        <f t="shared" si="2"/>
        <v>0</v>
      </c>
      <c r="M160" s="26" t="str">
        <f>IF(D160="","",IF(J160&gt;='13_Setting'!$H$7,"Tercapai",IF(J160&gt;='13_Setting'!$H$6,"On Track","Tertinggal")))</f>
        <v/>
      </c>
      <c r="N160" s="24"/>
    </row>
    <row r="161" spans="1:14">
      <c r="A161" s="24"/>
      <c r="B161" s="24"/>
      <c r="C161" s="25"/>
      <c r="D161" s="24"/>
      <c r="E161" s="26" t="str">
        <f>IFERROR(VLOOKUP(D161,'04_Master Karyawan'!$A$5:$F$50,2,FALSE),"")</f>
        <v/>
      </c>
      <c r="F161" s="24"/>
      <c r="G161" s="26" t="str">
        <f>IFERROR(VLOOKUP(F161,'05_Master KPI'!$B$5:$G$100,2,FALSE)&amp;" ("&amp;VLOOKUP(F161,'05_Master KPI'!$B$5:$G$100,3,FALSE)&amp;")","")</f>
        <v/>
      </c>
      <c r="H161" s="26">
        <f>IFERROR(IF(B161&lt;&gt;'06_Target KPI'!$B$3,0,IF(VLOOKUP(F161,'05_Master KPI'!$B$5:$G$100,6,FALSE)="Kumulatif",INDEX('06_Target KPI'!$E$5:$P$100,MATCH(F161,'06_Target KPI'!$B$5:$B$100,0),MATCH(A161,'06_Target KPI'!$E$4:$P$4,0))*DAY(C161)/DAY(EOMONTH(C161,0)),INDEX('06_Target KPI'!$E$5:$P$100,MATCH(F161,'06_Target KPI'!$B$5:$B$100,0),MATCH(A161,'06_Target KPI'!$E$4:$P$4,0)))),0)</f>
        <v>0</v>
      </c>
      <c r="I161" s="24"/>
      <c r="J161" s="27">
        <f>IFERROR(MIN(IF(VLOOKUP(F161,'05_Master KPI'!$B$5:$G$100,5,FALSE)="Lower",H161/I161,I161/H161),1),0)</f>
        <v>0</v>
      </c>
      <c r="K161" s="26">
        <f>IFERROR(VLOOKUP(F161,'05_Master KPI'!$B$5:$G$100,4,FALSE),0)</f>
        <v>0</v>
      </c>
      <c r="L161" s="28">
        <f t="shared" si="2"/>
        <v>0</v>
      </c>
      <c r="M161" s="26" t="str">
        <f>IF(D161="","",IF(J161&gt;='13_Setting'!$H$7,"Tercapai",IF(J161&gt;='13_Setting'!$H$6,"On Track","Tertinggal")))</f>
        <v/>
      </c>
      <c r="N161" s="24"/>
    </row>
    <row r="162" spans="1:14">
      <c r="A162" s="24"/>
      <c r="B162" s="24"/>
      <c r="C162" s="25"/>
      <c r="D162" s="24"/>
      <c r="E162" s="26" t="str">
        <f>IFERROR(VLOOKUP(D162,'04_Master Karyawan'!$A$5:$F$50,2,FALSE),"")</f>
        <v/>
      </c>
      <c r="F162" s="24"/>
      <c r="G162" s="26" t="str">
        <f>IFERROR(VLOOKUP(F162,'05_Master KPI'!$B$5:$G$100,2,FALSE)&amp;" ("&amp;VLOOKUP(F162,'05_Master KPI'!$B$5:$G$100,3,FALSE)&amp;")","")</f>
        <v/>
      </c>
      <c r="H162" s="26">
        <f>IFERROR(IF(B162&lt;&gt;'06_Target KPI'!$B$3,0,IF(VLOOKUP(F162,'05_Master KPI'!$B$5:$G$100,6,FALSE)="Kumulatif",INDEX('06_Target KPI'!$E$5:$P$100,MATCH(F162,'06_Target KPI'!$B$5:$B$100,0),MATCH(A162,'06_Target KPI'!$E$4:$P$4,0))*DAY(C162)/DAY(EOMONTH(C162,0)),INDEX('06_Target KPI'!$E$5:$P$100,MATCH(F162,'06_Target KPI'!$B$5:$B$100,0),MATCH(A162,'06_Target KPI'!$E$4:$P$4,0)))),0)</f>
        <v>0</v>
      </c>
      <c r="I162" s="24"/>
      <c r="J162" s="27">
        <f>IFERROR(MIN(IF(VLOOKUP(F162,'05_Master KPI'!$B$5:$G$100,5,FALSE)="Lower",H162/I162,I162/H162),1),0)</f>
        <v>0</v>
      </c>
      <c r="K162" s="26">
        <f>IFERROR(VLOOKUP(F162,'05_Master KPI'!$B$5:$G$100,4,FALSE),0)</f>
        <v>0</v>
      </c>
      <c r="L162" s="28">
        <f t="shared" si="2"/>
        <v>0</v>
      </c>
      <c r="M162" s="26" t="str">
        <f>IF(D162="","",IF(J162&gt;='13_Setting'!$H$7,"Tercapai",IF(J162&gt;='13_Setting'!$H$6,"On Track","Tertinggal")))</f>
        <v/>
      </c>
      <c r="N162" s="24"/>
    </row>
    <row r="163" spans="1:14">
      <c r="A163" s="24"/>
      <c r="B163" s="24"/>
      <c r="C163" s="25"/>
      <c r="D163" s="24"/>
      <c r="E163" s="26" t="str">
        <f>IFERROR(VLOOKUP(D163,'04_Master Karyawan'!$A$5:$F$50,2,FALSE),"")</f>
        <v/>
      </c>
      <c r="F163" s="24"/>
      <c r="G163" s="26" t="str">
        <f>IFERROR(VLOOKUP(F163,'05_Master KPI'!$B$5:$G$100,2,FALSE)&amp;" ("&amp;VLOOKUP(F163,'05_Master KPI'!$B$5:$G$100,3,FALSE)&amp;")","")</f>
        <v/>
      </c>
      <c r="H163" s="26">
        <f>IFERROR(IF(B163&lt;&gt;'06_Target KPI'!$B$3,0,IF(VLOOKUP(F163,'05_Master KPI'!$B$5:$G$100,6,FALSE)="Kumulatif",INDEX('06_Target KPI'!$E$5:$P$100,MATCH(F163,'06_Target KPI'!$B$5:$B$100,0),MATCH(A163,'06_Target KPI'!$E$4:$P$4,0))*DAY(C163)/DAY(EOMONTH(C163,0)),INDEX('06_Target KPI'!$E$5:$P$100,MATCH(F163,'06_Target KPI'!$B$5:$B$100,0),MATCH(A163,'06_Target KPI'!$E$4:$P$4,0)))),0)</f>
        <v>0</v>
      </c>
      <c r="I163" s="24"/>
      <c r="J163" s="27">
        <f>IFERROR(MIN(IF(VLOOKUP(F163,'05_Master KPI'!$B$5:$G$100,5,FALSE)="Lower",H163/I163,I163/H163),1),0)</f>
        <v>0</v>
      </c>
      <c r="K163" s="26">
        <f>IFERROR(VLOOKUP(F163,'05_Master KPI'!$B$5:$G$100,4,FALSE),0)</f>
        <v>0</v>
      </c>
      <c r="L163" s="28">
        <f t="shared" si="2"/>
        <v>0</v>
      </c>
      <c r="M163" s="26" t="str">
        <f>IF(D163="","",IF(J163&gt;='13_Setting'!$H$7,"Tercapai",IF(J163&gt;='13_Setting'!$H$6,"On Track","Tertinggal")))</f>
        <v/>
      </c>
      <c r="N163" s="24"/>
    </row>
    <row r="164" spans="1:14">
      <c r="A164" s="24"/>
      <c r="B164" s="24"/>
      <c r="C164" s="25"/>
      <c r="D164" s="24"/>
      <c r="E164" s="26" t="str">
        <f>IFERROR(VLOOKUP(D164,'04_Master Karyawan'!$A$5:$F$50,2,FALSE),"")</f>
        <v/>
      </c>
      <c r="F164" s="24"/>
      <c r="G164" s="26" t="str">
        <f>IFERROR(VLOOKUP(F164,'05_Master KPI'!$B$5:$G$100,2,FALSE)&amp;" ("&amp;VLOOKUP(F164,'05_Master KPI'!$B$5:$G$100,3,FALSE)&amp;")","")</f>
        <v/>
      </c>
      <c r="H164" s="26">
        <f>IFERROR(IF(B164&lt;&gt;'06_Target KPI'!$B$3,0,IF(VLOOKUP(F164,'05_Master KPI'!$B$5:$G$100,6,FALSE)="Kumulatif",INDEX('06_Target KPI'!$E$5:$P$100,MATCH(F164,'06_Target KPI'!$B$5:$B$100,0),MATCH(A164,'06_Target KPI'!$E$4:$P$4,0))*DAY(C164)/DAY(EOMONTH(C164,0)),INDEX('06_Target KPI'!$E$5:$P$100,MATCH(F164,'06_Target KPI'!$B$5:$B$100,0),MATCH(A164,'06_Target KPI'!$E$4:$P$4,0)))),0)</f>
        <v>0</v>
      </c>
      <c r="I164" s="24"/>
      <c r="J164" s="27">
        <f>IFERROR(MIN(IF(VLOOKUP(F164,'05_Master KPI'!$B$5:$G$100,5,FALSE)="Lower",H164/I164,I164/H164),1),0)</f>
        <v>0</v>
      </c>
      <c r="K164" s="26">
        <f>IFERROR(VLOOKUP(F164,'05_Master KPI'!$B$5:$G$100,4,FALSE),0)</f>
        <v>0</v>
      </c>
      <c r="L164" s="28">
        <f t="shared" si="2"/>
        <v>0</v>
      </c>
      <c r="M164" s="26" t="str">
        <f>IF(D164="","",IF(J164&gt;='13_Setting'!$H$7,"Tercapai",IF(J164&gt;='13_Setting'!$H$6,"On Track","Tertinggal")))</f>
        <v/>
      </c>
      <c r="N164" s="24"/>
    </row>
    <row r="165" spans="1:14">
      <c r="A165" s="24"/>
      <c r="B165" s="24"/>
      <c r="C165" s="25"/>
      <c r="D165" s="24"/>
      <c r="E165" s="26" t="str">
        <f>IFERROR(VLOOKUP(D165,'04_Master Karyawan'!$A$5:$F$50,2,FALSE),"")</f>
        <v/>
      </c>
      <c r="F165" s="24"/>
      <c r="G165" s="26" t="str">
        <f>IFERROR(VLOOKUP(F165,'05_Master KPI'!$B$5:$G$100,2,FALSE)&amp;" ("&amp;VLOOKUP(F165,'05_Master KPI'!$B$5:$G$100,3,FALSE)&amp;")","")</f>
        <v/>
      </c>
      <c r="H165" s="26">
        <f>IFERROR(IF(B165&lt;&gt;'06_Target KPI'!$B$3,0,IF(VLOOKUP(F165,'05_Master KPI'!$B$5:$G$100,6,FALSE)="Kumulatif",INDEX('06_Target KPI'!$E$5:$P$100,MATCH(F165,'06_Target KPI'!$B$5:$B$100,0),MATCH(A165,'06_Target KPI'!$E$4:$P$4,0))*DAY(C165)/DAY(EOMONTH(C165,0)),INDEX('06_Target KPI'!$E$5:$P$100,MATCH(F165,'06_Target KPI'!$B$5:$B$100,0),MATCH(A165,'06_Target KPI'!$E$4:$P$4,0)))),0)</f>
        <v>0</v>
      </c>
      <c r="I165" s="24"/>
      <c r="J165" s="27">
        <f>IFERROR(MIN(IF(VLOOKUP(F165,'05_Master KPI'!$B$5:$G$100,5,FALSE)="Lower",H165/I165,I165/H165),1),0)</f>
        <v>0</v>
      </c>
      <c r="K165" s="26">
        <f>IFERROR(VLOOKUP(F165,'05_Master KPI'!$B$5:$G$100,4,FALSE),0)</f>
        <v>0</v>
      </c>
      <c r="L165" s="28">
        <f t="shared" si="2"/>
        <v>0</v>
      </c>
      <c r="M165" s="26" t="str">
        <f>IF(D165="","",IF(J165&gt;='13_Setting'!$H$7,"Tercapai",IF(J165&gt;='13_Setting'!$H$6,"On Track","Tertinggal")))</f>
        <v/>
      </c>
      <c r="N165" s="24"/>
    </row>
    <row r="166" spans="1:14">
      <c r="A166" s="24"/>
      <c r="B166" s="24"/>
      <c r="C166" s="25"/>
      <c r="D166" s="24"/>
      <c r="E166" s="26" t="str">
        <f>IFERROR(VLOOKUP(D166,'04_Master Karyawan'!$A$5:$F$50,2,FALSE),"")</f>
        <v/>
      </c>
      <c r="F166" s="24"/>
      <c r="G166" s="26" t="str">
        <f>IFERROR(VLOOKUP(F166,'05_Master KPI'!$B$5:$G$100,2,FALSE)&amp;" ("&amp;VLOOKUP(F166,'05_Master KPI'!$B$5:$G$100,3,FALSE)&amp;")","")</f>
        <v/>
      </c>
      <c r="H166" s="26">
        <f>IFERROR(IF(B166&lt;&gt;'06_Target KPI'!$B$3,0,IF(VLOOKUP(F166,'05_Master KPI'!$B$5:$G$100,6,FALSE)="Kumulatif",INDEX('06_Target KPI'!$E$5:$P$100,MATCH(F166,'06_Target KPI'!$B$5:$B$100,0),MATCH(A166,'06_Target KPI'!$E$4:$P$4,0))*DAY(C166)/DAY(EOMONTH(C166,0)),INDEX('06_Target KPI'!$E$5:$P$100,MATCH(F166,'06_Target KPI'!$B$5:$B$100,0),MATCH(A166,'06_Target KPI'!$E$4:$P$4,0)))),0)</f>
        <v>0</v>
      </c>
      <c r="I166" s="24"/>
      <c r="J166" s="27">
        <f>IFERROR(MIN(IF(VLOOKUP(F166,'05_Master KPI'!$B$5:$G$100,5,FALSE)="Lower",H166/I166,I166/H166),1),0)</f>
        <v>0</v>
      </c>
      <c r="K166" s="26">
        <f>IFERROR(VLOOKUP(F166,'05_Master KPI'!$B$5:$G$100,4,FALSE),0)</f>
        <v>0</v>
      </c>
      <c r="L166" s="28">
        <f t="shared" si="2"/>
        <v>0</v>
      </c>
      <c r="M166" s="26" t="str">
        <f>IF(D166="","",IF(J166&gt;='13_Setting'!$H$7,"Tercapai",IF(J166&gt;='13_Setting'!$H$6,"On Track","Tertinggal")))</f>
        <v/>
      </c>
      <c r="N166" s="24"/>
    </row>
    <row r="167" spans="1:14">
      <c r="A167" s="24"/>
      <c r="B167" s="24"/>
      <c r="C167" s="25"/>
      <c r="D167" s="24"/>
      <c r="E167" s="26" t="str">
        <f>IFERROR(VLOOKUP(D167,'04_Master Karyawan'!$A$5:$F$50,2,FALSE),"")</f>
        <v/>
      </c>
      <c r="F167" s="24"/>
      <c r="G167" s="26" t="str">
        <f>IFERROR(VLOOKUP(F167,'05_Master KPI'!$B$5:$G$100,2,FALSE)&amp;" ("&amp;VLOOKUP(F167,'05_Master KPI'!$B$5:$G$100,3,FALSE)&amp;")","")</f>
        <v/>
      </c>
      <c r="H167" s="26">
        <f>IFERROR(IF(B167&lt;&gt;'06_Target KPI'!$B$3,0,IF(VLOOKUP(F167,'05_Master KPI'!$B$5:$G$100,6,FALSE)="Kumulatif",INDEX('06_Target KPI'!$E$5:$P$100,MATCH(F167,'06_Target KPI'!$B$5:$B$100,0),MATCH(A167,'06_Target KPI'!$E$4:$P$4,0))*DAY(C167)/DAY(EOMONTH(C167,0)),INDEX('06_Target KPI'!$E$5:$P$100,MATCH(F167,'06_Target KPI'!$B$5:$B$100,0),MATCH(A167,'06_Target KPI'!$E$4:$P$4,0)))),0)</f>
        <v>0</v>
      </c>
      <c r="I167" s="24"/>
      <c r="J167" s="27">
        <f>IFERROR(MIN(IF(VLOOKUP(F167,'05_Master KPI'!$B$5:$G$100,5,FALSE)="Lower",H167/I167,I167/H167),1),0)</f>
        <v>0</v>
      </c>
      <c r="K167" s="26">
        <f>IFERROR(VLOOKUP(F167,'05_Master KPI'!$B$5:$G$100,4,FALSE),0)</f>
        <v>0</v>
      </c>
      <c r="L167" s="28">
        <f t="shared" si="2"/>
        <v>0</v>
      </c>
      <c r="M167" s="26" t="str">
        <f>IF(D167="","",IF(J167&gt;='13_Setting'!$H$7,"Tercapai",IF(J167&gt;='13_Setting'!$H$6,"On Track","Tertinggal")))</f>
        <v/>
      </c>
      <c r="N167" s="24"/>
    </row>
    <row r="168" spans="1:14">
      <c r="A168" s="24"/>
      <c r="B168" s="24"/>
      <c r="C168" s="25"/>
      <c r="D168" s="24"/>
      <c r="E168" s="26" t="str">
        <f>IFERROR(VLOOKUP(D168,'04_Master Karyawan'!$A$5:$F$50,2,FALSE),"")</f>
        <v/>
      </c>
      <c r="F168" s="24"/>
      <c r="G168" s="26" t="str">
        <f>IFERROR(VLOOKUP(F168,'05_Master KPI'!$B$5:$G$100,2,FALSE)&amp;" ("&amp;VLOOKUP(F168,'05_Master KPI'!$B$5:$G$100,3,FALSE)&amp;")","")</f>
        <v/>
      </c>
      <c r="H168" s="26">
        <f>IFERROR(IF(B168&lt;&gt;'06_Target KPI'!$B$3,0,IF(VLOOKUP(F168,'05_Master KPI'!$B$5:$G$100,6,FALSE)="Kumulatif",INDEX('06_Target KPI'!$E$5:$P$100,MATCH(F168,'06_Target KPI'!$B$5:$B$100,0),MATCH(A168,'06_Target KPI'!$E$4:$P$4,0))*DAY(C168)/DAY(EOMONTH(C168,0)),INDEX('06_Target KPI'!$E$5:$P$100,MATCH(F168,'06_Target KPI'!$B$5:$B$100,0),MATCH(A168,'06_Target KPI'!$E$4:$P$4,0)))),0)</f>
        <v>0</v>
      </c>
      <c r="I168" s="24"/>
      <c r="J168" s="27">
        <f>IFERROR(MIN(IF(VLOOKUP(F168,'05_Master KPI'!$B$5:$G$100,5,FALSE)="Lower",H168/I168,I168/H168),1),0)</f>
        <v>0</v>
      </c>
      <c r="K168" s="26">
        <f>IFERROR(VLOOKUP(F168,'05_Master KPI'!$B$5:$G$100,4,FALSE),0)</f>
        <v>0</v>
      </c>
      <c r="L168" s="28">
        <f t="shared" si="2"/>
        <v>0</v>
      </c>
      <c r="M168" s="26" t="str">
        <f>IF(D168="","",IF(J168&gt;='13_Setting'!$H$7,"Tercapai",IF(J168&gt;='13_Setting'!$H$6,"On Track","Tertinggal")))</f>
        <v/>
      </c>
      <c r="N168" s="24"/>
    </row>
    <row r="169" spans="1:14">
      <c r="A169" s="24"/>
      <c r="B169" s="24"/>
      <c r="C169" s="25"/>
      <c r="D169" s="24"/>
      <c r="E169" s="26" t="str">
        <f>IFERROR(VLOOKUP(D169,'04_Master Karyawan'!$A$5:$F$50,2,FALSE),"")</f>
        <v/>
      </c>
      <c r="F169" s="24"/>
      <c r="G169" s="26" t="str">
        <f>IFERROR(VLOOKUP(F169,'05_Master KPI'!$B$5:$G$100,2,FALSE)&amp;" ("&amp;VLOOKUP(F169,'05_Master KPI'!$B$5:$G$100,3,FALSE)&amp;")","")</f>
        <v/>
      </c>
      <c r="H169" s="26">
        <f>IFERROR(IF(B169&lt;&gt;'06_Target KPI'!$B$3,0,IF(VLOOKUP(F169,'05_Master KPI'!$B$5:$G$100,6,FALSE)="Kumulatif",INDEX('06_Target KPI'!$E$5:$P$100,MATCH(F169,'06_Target KPI'!$B$5:$B$100,0),MATCH(A169,'06_Target KPI'!$E$4:$P$4,0))*DAY(C169)/DAY(EOMONTH(C169,0)),INDEX('06_Target KPI'!$E$5:$P$100,MATCH(F169,'06_Target KPI'!$B$5:$B$100,0),MATCH(A169,'06_Target KPI'!$E$4:$P$4,0)))),0)</f>
        <v>0</v>
      </c>
      <c r="I169" s="24"/>
      <c r="J169" s="27">
        <f>IFERROR(MIN(IF(VLOOKUP(F169,'05_Master KPI'!$B$5:$G$100,5,FALSE)="Lower",H169/I169,I169/H169),1),0)</f>
        <v>0</v>
      </c>
      <c r="K169" s="26">
        <f>IFERROR(VLOOKUP(F169,'05_Master KPI'!$B$5:$G$100,4,FALSE),0)</f>
        <v>0</v>
      </c>
      <c r="L169" s="28">
        <f t="shared" si="2"/>
        <v>0</v>
      </c>
      <c r="M169" s="26" t="str">
        <f>IF(D169="","",IF(J169&gt;='13_Setting'!$H$7,"Tercapai",IF(J169&gt;='13_Setting'!$H$6,"On Track","Tertinggal")))</f>
        <v/>
      </c>
      <c r="N169" s="24"/>
    </row>
    <row r="170" spans="1:14">
      <c r="A170" s="24"/>
      <c r="B170" s="24"/>
      <c r="C170" s="25"/>
      <c r="D170" s="24"/>
      <c r="E170" s="26" t="str">
        <f>IFERROR(VLOOKUP(D170,'04_Master Karyawan'!$A$5:$F$50,2,FALSE),"")</f>
        <v/>
      </c>
      <c r="F170" s="24"/>
      <c r="G170" s="26" t="str">
        <f>IFERROR(VLOOKUP(F170,'05_Master KPI'!$B$5:$G$100,2,FALSE)&amp;" ("&amp;VLOOKUP(F170,'05_Master KPI'!$B$5:$G$100,3,FALSE)&amp;")","")</f>
        <v/>
      </c>
      <c r="H170" s="26">
        <f>IFERROR(IF(B170&lt;&gt;'06_Target KPI'!$B$3,0,IF(VLOOKUP(F170,'05_Master KPI'!$B$5:$G$100,6,FALSE)="Kumulatif",INDEX('06_Target KPI'!$E$5:$P$100,MATCH(F170,'06_Target KPI'!$B$5:$B$100,0),MATCH(A170,'06_Target KPI'!$E$4:$P$4,0))*DAY(C170)/DAY(EOMONTH(C170,0)),INDEX('06_Target KPI'!$E$5:$P$100,MATCH(F170,'06_Target KPI'!$B$5:$B$100,0),MATCH(A170,'06_Target KPI'!$E$4:$P$4,0)))),0)</f>
        <v>0</v>
      </c>
      <c r="I170" s="24"/>
      <c r="J170" s="27">
        <f>IFERROR(MIN(IF(VLOOKUP(F170,'05_Master KPI'!$B$5:$G$100,5,FALSE)="Lower",H170/I170,I170/H170),1),0)</f>
        <v>0</v>
      </c>
      <c r="K170" s="26">
        <f>IFERROR(VLOOKUP(F170,'05_Master KPI'!$B$5:$G$100,4,FALSE),0)</f>
        <v>0</v>
      </c>
      <c r="L170" s="28">
        <f t="shared" si="2"/>
        <v>0</v>
      </c>
      <c r="M170" s="26" t="str">
        <f>IF(D170="","",IF(J170&gt;='13_Setting'!$H$7,"Tercapai",IF(J170&gt;='13_Setting'!$H$6,"On Track","Tertinggal")))</f>
        <v/>
      </c>
      <c r="N170" s="24"/>
    </row>
    <row r="171" spans="1:14">
      <c r="A171" s="24"/>
      <c r="B171" s="24"/>
      <c r="C171" s="25"/>
      <c r="D171" s="24"/>
      <c r="E171" s="26" t="str">
        <f>IFERROR(VLOOKUP(D171,'04_Master Karyawan'!$A$5:$F$50,2,FALSE),"")</f>
        <v/>
      </c>
      <c r="F171" s="24"/>
      <c r="G171" s="26" t="str">
        <f>IFERROR(VLOOKUP(F171,'05_Master KPI'!$B$5:$G$100,2,FALSE)&amp;" ("&amp;VLOOKUP(F171,'05_Master KPI'!$B$5:$G$100,3,FALSE)&amp;")","")</f>
        <v/>
      </c>
      <c r="H171" s="26">
        <f>IFERROR(IF(B171&lt;&gt;'06_Target KPI'!$B$3,0,IF(VLOOKUP(F171,'05_Master KPI'!$B$5:$G$100,6,FALSE)="Kumulatif",INDEX('06_Target KPI'!$E$5:$P$100,MATCH(F171,'06_Target KPI'!$B$5:$B$100,0),MATCH(A171,'06_Target KPI'!$E$4:$P$4,0))*DAY(C171)/DAY(EOMONTH(C171,0)),INDEX('06_Target KPI'!$E$5:$P$100,MATCH(F171,'06_Target KPI'!$B$5:$B$100,0),MATCH(A171,'06_Target KPI'!$E$4:$P$4,0)))),0)</f>
        <v>0</v>
      </c>
      <c r="I171" s="24"/>
      <c r="J171" s="27">
        <f>IFERROR(MIN(IF(VLOOKUP(F171,'05_Master KPI'!$B$5:$G$100,5,FALSE)="Lower",H171/I171,I171/H171),1),0)</f>
        <v>0</v>
      </c>
      <c r="K171" s="26">
        <f>IFERROR(VLOOKUP(F171,'05_Master KPI'!$B$5:$G$100,4,FALSE),0)</f>
        <v>0</v>
      </c>
      <c r="L171" s="28">
        <f t="shared" si="2"/>
        <v>0</v>
      </c>
      <c r="M171" s="26" t="str">
        <f>IF(D171="","",IF(J171&gt;='13_Setting'!$H$7,"Tercapai",IF(J171&gt;='13_Setting'!$H$6,"On Track","Tertinggal")))</f>
        <v/>
      </c>
      <c r="N171" s="24"/>
    </row>
    <row r="172" spans="1:14">
      <c r="A172" s="24"/>
      <c r="B172" s="24"/>
      <c r="C172" s="25"/>
      <c r="D172" s="24"/>
      <c r="E172" s="26" t="str">
        <f>IFERROR(VLOOKUP(D172,'04_Master Karyawan'!$A$5:$F$50,2,FALSE),"")</f>
        <v/>
      </c>
      <c r="F172" s="24"/>
      <c r="G172" s="26" t="str">
        <f>IFERROR(VLOOKUP(F172,'05_Master KPI'!$B$5:$G$100,2,FALSE)&amp;" ("&amp;VLOOKUP(F172,'05_Master KPI'!$B$5:$G$100,3,FALSE)&amp;")","")</f>
        <v/>
      </c>
      <c r="H172" s="26">
        <f>IFERROR(IF(B172&lt;&gt;'06_Target KPI'!$B$3,0,IF(VLOOKUP(F172,'05_Master KPI'!$B$5:$G$100,6,FALSE)="Kumulatif",INDEX('06_Target KPI'!$E$5:$P$100,MATCH(F172,'06_Target KPI'!$B$5:$B$100,0),MATCH(A172,'06_Target KPI'!$E$4:$P$4,0))*DAY(C172)/DAY(EOMONTH(C172,0)),INDEX('06_Target KPI'!$E$5:$P$100,MATCH(F172,'06_Target KPI'!$B$5:$B$100,0),MATCH(A172,'06_Target KPI'!$E$4:$P$4,0)))),0)</f>
        <v>0</v>
      </c>
      <c r="I172" s="24"/>
      <c r="J172" s="27">
        <f>IFERROR(MIN(IF(VLOOKUP(F172,'05_Master KPI'!$B$5:$G$100,5,FALSE)="Lower",H172/I172,I172/H172),1),0)</f>
        <v>0</v>
      </c>
      <c r="K172" s="26">
        <f>IFERROR(VLOOKUP(F172,'05_Master KPI'!$B$5:$G$100,4,FALSE),0)</f>
        <v>0</v>
      </c>
      <c r="L172" s="28">
        <f t="shared" si="2"/>
        <v>0</v>
      </c>
      <c r="M172" s="26" t="str">
        <f>IF(D172="","",IF(J172&gt;='13_Setting'!$H$7,"Tercapai",IF(J172&gt;='13_Setting'!$H$6,"On Track","Tertinggal")))</f>
        <v/>
      </c>
      <c r="N172" s="24"/>
    </row>
    <row r="173" spans="1:14">
      <c r="A173" s="24"/>
      <c r="B173" s="24"/>
      <c r="C173" s="25"/>
      <c r="D173" s="24"/>
      <c r="E173" s="26" t="str">
        <f>IFERROR(VLOOKUP(D173,'04_Master Karyawan'!$A$5:$F$50,2,FALSE),"")</f>
        <v/>
      </c>
      <c r="F173" s="24"/>
      <c r="G173" s="26" t="str">
        <f>IFERROR(VLOOKUP(F173,'05_Master KPI'!$B$5:$G$100,2,FALSE)&amp;" ("&amp;VLOOKUP(F173,'05_Master KPI'!$B$5:$G$100,3,FALSE)&amp;")","")</f>
        <v/>
      </c>
      <c r="H173" s="26">
        <f>IFERROR(IF(B173&lt;&gt;'06_Target KPI'!$B$3,0,IF(VLOOKUP(F173,'05_Master KPI'!$B$5:$G$100,6,FALSE)="Kumulatif",INDEX('06_Target KPI'!$E$5:$P$100,MATCH(F173,'06_Target KPI'!$B$5:$B$100,0),MATCH(A173,'06_Target KPI'!$E$4:$P$4,0))*DAY(C173)/DAY(EOMONTH(C173,0)),INDEX('06_Target KPI'!$E$5:$P$100,MATCH(F173,'06_Target KPI'!$B$5:$B$100,0),MATCH(A173,'06_Target KPI'!$E$4:$P$4,0)))),0)</f>
        <v>0</v>
      </c>
      <c r="I173" s="24"/>
      <c r="J173" s="27">
        <f>IFERROR(MIN(IF(VLOOKUP(F173,'05_Master KPI'!$B$5:$G$100,5,FALSE)="Lower",H173/I173,I173/H173),1),0)</f>
        <v>0</v>
      </c>
      <c r="K173" s="26">
        <f>IFERROR(VLOOKUP(F173,'05_Master KPI'!$B$5:$G$100,4,FALSE),0)</f>
        <v>0</v>
      </c>
      <c r="L173" s="28">
        <f t="shared" si="2"/>
        <v>0</v>
      </c>
      <c r="M173" s="26" t="str">
        <f>IF(D173="","",IF(J173&gt;='13_Setting'!$H$7,"Tercapai",IF(J173&gt;='13_Setting'!$H$6,"On Track","Tertinggal")))</f>
        <v/>
      </c>
      <c r="N173" s="24"/>
    </row>
    <row r="174" spans="1:14">
      <c r="A174" s="24"/>
      <c r="B174" s="24"/>
      <c r="C174" s="25"/>
      <c r="D174" s="24"/>
      <c r="E174" s="26" t="str">
        <f>IFERROR(VLOOKUP(D174,'04_Master Karyawan'!$A$5:$F$50,2,FALSE),"")</f>
        <v/>
      </c>
      <c r="F174" s="24"/>
      <c r="G174" s="26" t="str">
        <f>IFERROR(VLOOKUP(F174,'05_Master KPI'!$B$5:$G$100,2,FALSE)&amp;" ("&amp;VLOOKUP(F174,'05_Master KPI'!$B$5:$G$100,3,FALSE)&amp;")","")</f>
        <v/>
      </c>
      <c r="H174" s="26">
        <f>IFERROR(IF(B174&lt;&gt;'06_Target KPI'!$B$3,0,IF(VLOOKUP(F174,'05_Master KPI'!$B$5:$G$100,6,FALSE)="Kumulatif",INDEX('06_Target KPI'!$E$5:$P$100,MATCH(F174,'06_Target KPI'!$B$5:$B$100,0),MATCH(A174,'06_Target KPI'!$E$4:$P$4,0))*DAY(C174)/DAY(EOMONTH(C174,0)),INDEX('06_Target KPI'!$E$5:$P$100,MATCH(F174,'06_Target KPI'!$B$5:$B$100,0),MATCH(A174,'06_Target KPI'!$E$4:$P$4,0)))),0)</f>
        <v>0</v>
      </c>
      <c r="I174" s="24"/>
      <c r="J174" s="27">
        <f>IFERROR(MIN(IF(VLOOKUP(F174,'05_Master KPI'!$B$5:$G$100,5,FALSE)="Lower",H174/I174,I174/H174),1),0)</f>
        <v>0</v>
      </c>
      <c r="K174" s="26">
        <f>IFERROR(VLOOKUP(F174,'05_Master KPI'!$B$5:$G$100,4,FALSE),0)</f>
        <v>0</v>
      </c>
      <c r="L174" s="28">
        <f t="shared" si="2"/>
        <v>0</v>
      </c>
      <c r="M174" s="26" t="str">
        <f>IF(D174="","",IF(J174&gt;='13_Setting'!$H$7,"Tercapai",IF(J174&gt;='13_Setting'!$H$6,"On Track","Tertinggal")))</f>
        <v/>
      </c>
      <c r="N174" s="24"/>
    </row>
    <row r="175" spans="1:14">
      <c r="A175" s="24"/>
      <c r="B175" s="24"/>
      <c r="C175" s="25"/>
      <c r="D175" s="24"/>
      <c r="E175" s="26" t="str">
        <f>IFERROR(VLOOKUP(D175,'04_Master Karyawan'!$A$5:$F$50,2,FALSE),"")</f>
        <v/>
      </c>
      <c r="F175" s="24"/>
      <c r="G175" s="26" t="str">
        <f>IFERROR(VLOOKUP(F175,'05_Master KPI'!$B$5:$G$100,2,FALSE)&amp;" ("&amp;VLOOKUP(F175,'05_Master KPI'!$B$5:$G$100,3,FALSE)&amp;")","")</f>
        <v/>
      </c>
      <c r="H175" s="26">
        <f>IFERROR(IF(B175&lt;&gt;'06_Target KPI'!$B$3,0,IF(VLOOKUP(F175,'05_Master KPI'!$B$5:$G$100,6,FALSE)="Kumulatif",INDEX('06_Target KPI'!$E$5:$P$100,MATCH(F175,'06_Target KPI'!$B$5:$B$100,0),MATCH(A175,'06_Target KPI'!$E$4:$P$4,0))*DAY(C175)/DAY(EOMONTH(C175,0)),INDEX('06_Target KPI'!$E$5:$P$100,MATCH(F175,'06_Target KPI'!$B$5:$B$100,0),MATCH(A175,'06_Target KPI'!$E$4:$P$4,0)))),0)</f>
        <v>0</v>
      </c>
      <c r="I175" s="24"/>
      <c r="J175" s="27">
        <f>IFERROR(MIN(IF(VLOOKUP(F175,'05_Master KPI'!$B$5:$G$100,5,FALSE)="Lower",H175/I175,I175/H175),1),0)</f>
        <v>0</v>
      </c>
      <c r="K175" s="26">
        <f>IFERROR(VLOOKUP(F175,'05_Master KPI'!$B$5:$G$100,4,FALSE),0)</f>
        <v>0</v>
      </c>
      <c r="L175" s="28">
        <f t="shared" si="2"/>
        <v>0</v>
      </c>
      <c r="M175" s="26" t="str">
        <f>IF(D175="","",IF(J175&gt;='13_Setting'!$H$7,"Tercapai",IF(J175&gt;='13_Setting'!$H$6,"On Track","Tertinggal")))</f>
        <v/>
      </c>
      <c r="N175" s="24"/>
    </row>
    <row r="176" spans="1:14">
      <c r="A176" s="24"/>
      <c r="B176" s="24"/>
      <c r="C176" s="25"/>
      <c r="D176" s="24"/>
      <c r="E176" s="26" t="str">
        <f>IFERROR(VLOOKUP(D176,'04_Master Karyawan'!$A$5:$F$50,2,FALSE),"")</f>
        <v/>
      </c>
      <c r="F176" s="24"/>
      <c r="G176" s="26" t="str">
        <f>IFERROR(VLOOKUP(F176,'05_Master KPI'!$B$5:$G$100,2,FALSE)&amp;" ("&amp;VLOOKUP(F176,'05_Master KPI'!$B$5:$G$100,3,FALSE)&amp;")","")</f>
        <v/>
      </c>
      <c r="H176" s="26">
        <f>IFERROR(IF(B176&lt;&gt;'06_Target KPI'!$B$3,0,IF(VLOOKUP(F176,'05_Master KPI'!$B$5:$G$100,6,FALSE)="Kumulatif",INDEX('06_Target KPI'!$E$5:$P$100,MATCH(F176,'06_Target KPI'!$B$5:$B$100,0),MATCH(A176,'06_Target KPI'!$E$4:$P$4,0))*DAY(C176)/DAY(EOMONTH(C176,0)),INDEX('06_Target KPI'!$E$5:$P$100,MATCH(F176,'06_Target KPI'!$B$5:$B$100,0),MATCH(A176,'06_Target KPI'!$E$4:$P$4,0)))),0)</f>
        <v>0</v>
      </c>
      <c r="I176" s="24"/>
      <c r="J176" s="27">
        <f>IFERROR(MIN(IF(VLOOKUP(F176,'05_Master KPI'!$B$5:$G$100,5,FALSE)="Lower",H176/I176,I176/H176),1),0)</f>
        <v>0</v>
      </c>
      <c r="K176" s="26">
        <f>IFERROR(VLOOKUP(F176,'05_Master KPI'!$B$5:$G$100,4,FALSE),0)</f>
        <v>0</v>
      </c>
      <c r="L176" s="28">
        <f t="shared" si="2"/>
        <v>0</v>
      </c>
      <c r="M176" s="26" t="str">
        <f>IF(D176="","",IF(J176&gt;='13_Setting'!$H$7,"Tercapai",IF(J176&gt;='13_Setting'!$H$6,"On Track","Tertinggal")))</f>
        <v/>
      </c>
      <c r="N176" s="24"/>
    </row>
    <row r="177" spans="1:14">
      <c r="A177" s="24"/>
      <c r="B177" s="24"/>
      <c r="C177" s="25"/>
      <c r="D177" s="24"/>
      <c r="E177" s="26" t="str">
        <f>IFERROR(VLOOKUP(D177,'04_Master Karyawan'!$A$5:$F$50,2,FALSE),"")</f>
        <v/>
      </c>
      <c r="F177" s="24"/>
      <c r="G177" s="26" t="str">
        <f>IFERROR(VLOOKUP(F177,'05_Master KPI'!$B$5:$G$100,2,FALSE)&amp;" ("&amp;VLOOKUP(F177,'05_Master KPI'!$B$5:$G$100,3,FALSE)&amp;")","")</f>
        <v/>
      </c>
      <c r="H177" s="26">
        <f>IFERROR(IF(B177&lt;&gt;'06_Target KPI'!$B$3,0,IF(VLOOKUP(F177,'05_Master KPI'!$B$5:$G$100,6,FALSE)="Kumulatif",INDEX('06_Target KPI'!$E$5:$P$100,MATCH(F177,'06_Target KPI'!$B$5:$B$100,0),MATCH(A177,'06_Target KPI'!$E$4:$P$4,0))*DAY(C177)/DAY(EOMONTH(C177,0)),INDEX('06_Target KPI'!$E$5:$P$100,MATCH(F177,'06_Target KPI'!$B$5:$B$100,0),MATCH(A177,'06_Target KPI'!$E$4:$P$4,0)))),0)</f>
        <v>0</v>
      </c>
      <c r="I177" s="24"/>
      <c r="J177" s="27">
        <f>IFERROR(MIN(IF(VLOOKUP(F177,'05_Master KPI'!$B$5:$G$100,5,FALSE)="Lower",H177/I177,I177/H177),1),0)</f>
        <v>0</v>
      </c>
      <c r="K177" s="26">
        <f>IFERROR(VLOOKUP(F177,'05_Master KPI'!$B$5:$G$100,4,FALSE),0)</f>
        <v>0</v>
      </c>
      <c r="L177" s="28">
        <f t="shared" si="2"/>
        <v>0</v>
      </c>
      <c r="M177" s="26" t="str">
        <f>IF(D177="","",IF(J177&gt;='13_Setting'!$H$7,"Tercapai",IF(J177&gt;='13_Setting'!$H$6,"On Track","Tertinggal")))</f>
        <v/>
      </c>
      <c r="N177" s="24"/>
    </row>
    <row r="178" spans="1:14">
      <c r="A178" s="24"/>
      <c r="B178" s="24"/>
      <c r="C178" s="25"/>
      <c r="D178" s="24"/>
      <c r="E178" s="26" t="str">
        <f>IFERROR(VLOOKUP(D178,'04_Master Karyawan'!$A$5:$F$50,2,FALSE),"")</f>
        <v/>
      </c>
      <c r="F178" s="24"/>
      <c r="G178" s="26" t="str">
        <f>IFERROR(VLOOKUP(F178,'05_Master KPI'!$B$5:$G$100,2,FALSE)&amp;" ("&amp;VLOOKUP(F178,'05_Master KPI'!$B$5:$G$100,3,FALSE)&amp;")","")</f>
        <v/>
      </c>
      <c r="H178" s="26">
        <f>IFERROR(IF(B178&lt;&gt;'06_Target KPI'!$B$3,0,IF(VLOOKUP(F178,'05_Master KPI'!$B$5:$G$100,6,FALSE)="Kumulatif",INDEX('06_Target KPI'!$E$5:$P$100,MATCH(F178,'06_Target KPI'!$B$5:$B$100,0),MATCH(A178,'06_Target KPI'!$E$4:$P$4,0))*DAY(C178)/DAY(EOMONTH(C178,0)),INDEX('06_Target KPI'!$E$5:$P$100,MATCH(F178,'06_Target KPI'!$B$5:$B$100,0),MATCH(A178,'06_Target KPI'!$E$4:$P$4,0)))),0)</f>
        <v>0</v>
      </c>
      <c r="I178" s="24"/>
      <c r="J178" s="27">
        <f>IFERROR(MIN(IF(VLOOKUP(F178,'05_Master KPI'!$B$5:$G$100,5,FALSE)="Lower",H178/I178,I178/H178),1),0)</f>
        <v>0</v>
      </c>
      <c r="K178" s="26">
        <f>IFERROR(VLOOKUP(F178,'05_Master KPI'!$B$5:$G$100,4,FALSE),0)</f>
        <v>0</v>
      </c>
      <c r="L178" s="28">
        <f t="shared" si="2"/>
        <v>0</v>
      </c>
      <c r="M178" s="26" t="str">
        <f>IF(D178="","",IF(J178&gt;='13_Setting'!$H$7,"Tercapai",IF(J178&gt;='13_Setting'!$H$6,"On Track","Tertinggal")))</f>
        <v/>
      </c>
      <c r="N178" s="24"/>
    </row>
    <row r="179" spans="1:14">
      <c r="A179" s="24"/>
      <c r="B179" s="24"/>
      <c r="C179" s="25"/>
      <c r="D179" s="24"/>
      <c r="E179" s="26" t="str">
        <f>IFERROR(VLOOKUP(D179,'04_Master Karyawan'!$A$5:$F$50,2,FALSE),"")</f>
        <v/>
      </c>
      <c r="F179" s="24"/>
      <c r="G179" s="26" t="str">
        <f>IFERROR(VLOOKUP(F179,'05_Master KPI'!$B$5:$G$100,2,FALSE)&amp;" ("&amp;VLOOKUP(F179,'05_Master KPI'!$B$5:$G$100,3,FALSE)&amp;")","")</f>
        <v/>
      </c>
      <c r="H179" s="26">
        <f>IFERROR(IF(B179&lt;&gt;'06_Target KPI'!$B$3,0,IF(VLOOKUP(F179,'05_Master KPI'!$B$5:$G$100,6,FALSE)="Kumulatif",INDEX('06_Target KPI'!$E$5:$P$100,MATCH(F179,'06_Target KPI'!$B$5:$B$100,0),MATCH(A179,'06_Target KPI'!$E$4:$P$4,0))*DAY(C179)/DAY(EOMONTH(C179,0)),INDEX('06_Target KPI'!$E$5:$P$100,MATCH(F179,'06_Target KPI'!$B$5:$B$100,0),MATCH(A179,'06_Target KPI'!$E$4:$P$4,0)))),0)</f>
        <v>0</v>
      </c>
      <c r="I179" s="24"/>
      <c r="J179" s="27">
        <f>IFERROR(MIN(IF(VLOOKUP(F179,'05_Master KPI'!$B$5:$G$100,5,FALSE)="Lower",H179/I179,I179/H179),1),0)</f>
        <v>0</v>
      </c>
      <c r="K179" s="26">
        <f>IFERROR(VLOOKUP(F179,'05_Master KPI'!$B$5:$G$100,4,FALSE),0)</f>
        <v>0</v>
      </c>
      <c r="L179" s="28">
        <f t="shared" si="2"/>
        <v>0</v>
      </c>
      <c r="M179" s="26" t="str">
        <f>IF(D179="","",IF(J179&gt;='13_Setting'!$H$7,"Tercapai",IF(J179&gt;='13_Setting'!$H$6,"On Track","Tertinggal")))</f>
        <v/>
      </c>
      <c r="N179" s="24"/>
    </row>
    <row r="180" spans="1:14">
      <c r="A180" s="24"/>
      <c r="B180" s="24"/>
      <c r="C180" s="25"/>
      <c r="D180" s="24"/>
      <c r="E180" s="26" t="str">
        <f>IFERROR(VLOOKUP(D180,'04_Master Karyawan'!$A$5:$F$50,2,FALSE),"")</f>
        <v/>
      </c>
      <c r="F180" s="24"/>
      <c r="G180" s="26" t="str">
        <f>IFERROR(VLOOKUP(F180,'05_Master KPI'!$B$5:$G$100,2,FALSE)&amp;" ("&amp;VLOOKUP(F180,'05_Master KPI'!$B$5:$G$100,3,FALSE)&amp;")","")</f>
        <v/>
      </c>
      <c r="H180" s="26">
        <f>IFERROR(IF(B180&lt;&gt;'06_Target KPI'!$B$3,0,IF(VLOOKUP(F180,'05_Master KPI'!$B$5:$G$100,6,FALSE)="Kumulatif",INDEX('06_Target KPI'!$E$5:$P$100,MATCH(F180,'06_Target KPI'!$B$5:$B$100,0),MATCH(A180,'06_Target KPI'!$E$4:$P$4,0))*DAY(C180)/DAY(EOMONTH(C180,0)),INDEX('06_Target KPI'!$E$5:$P$100,MATCH(F180,'06_Target KPI'!$B$5:$B$100,0),MATCH(A180,'06_Target KPI'!$E$4:$P$4,0)))),0)</f>
        <v>0</v>
      </c>
      <c r="I180" s="24"/>
      <c r="J180" s="27">
        <f>IFERROR(MIN(IF(VLOOKUP(F180,'05_Master KPI'!$B$5:$G$100,5,FALSE)="Lower",H180/I180,I180/H180),1),0)</f>
        <v>0</v>
      </c>
      <c r="K180" s="26">
        <f>IFERROR(VLOOKUP(F180,'05_Master KPI'!$B$5:$G$100,4,FALSE),0)</f>
        <v>0</v>
      </c>
      <c r="L180" s="28">
        <f t="shared" si="2"/>
        <v>0</v>
      </c>
      <c r="M180" s="26" t="str">
        <f>IF(D180="","",IF(J180&gt;='13_Setting'!$H$7,"Tercapai",IF(J180&gt;='13_Setting'!$H$6,"On Track","Tertinggal")))</f>
        <v/>
      </c>
      <c r="N180" s="24"/>
    </row>
    <row r="181" spans="1:14">
      <c r="A181" s="24"/>
      <c r="B181" s="24"/>
      <c r="C181" s="25"/>
      <c r="D181" s="24"/>
      <c r="E181" s="26" t="str">
        <f>IFERROR(VLOOKUP(D181,'04_Master Karyawan'!$A$5:$F$50,2,FALSE),"")</f>
        <v/>
      </c>
      <c r="F181" s="24"/>
      <c r="G181" s="26" t="str">
        <f>IFERROR(VLOOKUP(F181,'05_Master KPI'!$B$5:$G$100,2,FALSE)&amp;" ("&amp;VLOOKUP(F181,'05_Master KPI'!$B$5:$G$100,3,FALSE)&amp;")","")</f>
        <v/>
      </c>
      <c r="H181" s="26">
        <f>IFERROR(IF(B181&lt;&gt;'06_Target KPI'!$B$3,0,IF(VLOOKUP(F181,'05_Master KPI'!$B$5:$G$100,6,FALSE)="Kumulatif",INDEX('06_Target KPI'!$E$5:$P$100,MATCH(F181,'06_Target KPI'!$B$5:$B$100,0),MATCH(A181,'06_Target KPI'!$E$4:$P$4,0))*DAY(C181)/DAY(EOMONTH(C181,0)),INDEX('06_Target KPI'!$E$5:$P$100,MATCH(F181,'06_Target KPI'!$B$5:$B$100,0),MATCH(A181,'06_Target KPI'!$E$4:$P$4,0)))),0)</f>
        <v>0</v>
      </c>
      <c r="I181" s="24"/>
      <c r="J181" s="27">
        <f>IFERROR(MIN(IF(VLOOKUP(F181,'05_Master KPI'!$B$5:$G$100,5,FALSE)="Lower",H181/I181,I181/H181),1),0)</f>
        <v>0</v>
      </c>
      <c r="K181" s="26">
        <f>IFERROR(VLOOKUP(F181,'05_Master KPI'!$B$5:$G$100,4,FALSE),0)</f>
        <v>0</v>
      </c>
      <c r="L181" s="28">
        <f t="shared" si="2"/>
        <v>0</v>
      </c>
      <c r="M181" s="26" t="str">
        <f>IF(D181="","",IF(J181&gt;='13_Setting'!$H$7,"Tercapai",IF(J181&gt;='13_Setting'!$H$6,"On Track","Tertinggal")))</f>
        <v/>
      </c>
      <c r="N181" s="24"/>
    </row>
    <row r="182" spans="1:14">
      <c r="A182" s="24"/>
      <c r="B182" s="24"/>
      <c r="C182" s="25"/>
      <c r="D182" s="24"/>
      <c r="E182" s="26" t="str">
        <f>IFERROR(VLOOKUP(D182,'04_Master Karyawan'!$A$5:$F$50,2,FALSE),"")</f>
        <v/>
      </c>
      <c r="F182" s="24"/>
      <c r="G182" s="26" t="str">
        <f>IFERROR(VLOOKUP(F182,'05_Master KPI'!$B$5:$G$100,2,FALSE)&amp;" ("&amp;VLOOKUP(F182,'05_Master KPI'!$B$5:$G$100,3,FALSE)&amp;")","")</f>
        <v/>
      </c>
      <c r="H182" s="26">
        <f>IFERROR(IF(B182&lt;&gt;'06_Target KPI'!$B$3,0,IF(VLOOKUP(F182,'05_Master KPI'!$B$5:$G$100,6,FALSE)="Kumulatif",INDEX('06_Target KPI'!$E$5:$P$100,MATCH(F182,'06_Target KPI'!$B$5:$B$100,0),MATCH(A182,'06_Target KPI'!$E$4:$P$4,0))*DAY(C182)/DAY(EOMONTH(C182,0)),INDEX('06_Target KPI'!$E$5:$P$100,MATCH(F182,'06_Target KPI'!$B$5:$B$100,0),MATCH(A182,'06_Target KPI'!$E$4:$P$4,0)))),0)</f>
        <v>0</v>
      </c>
      <c r="I182" s="24"/>
      <c r="J182" s="27">
        <f>IFERROR(MIN(IF(VLOOKUP(F182,'05_Master KPI'!$B$5:$G$100,5,FALSE)="Lower",H182/I182,I182/H182),1),0)</f>
        <v>0</v>
      </c>
      <c r="K182" s="26">
        <f>IFERROR(VLOOKUP(F182,'05_Master KPI'!$B$5:$G$100,4,FALSE),0)</f>
        <v>0</v>
      </c>
      <c r="L182" s="28">
        <f t="shared" si="2"/>
        <v>0</v>
      </c>
      <c r="M182" s="26" t="str">
        <f>IF(D182="","",IF(J182&gt;='13_Setting'!$H$7,"Tercapai",IF(J182&gt;='13_Setting'!$H$6,"On Track","Tertinggal")))</f>
        <v/>
      </c>
      <c r="N182" s="24"/>
    </row>
    <row r="183" spans="1:14">
      <c r="A183" s="24"/>
      <c r="B183" s="24"/>
      <c r="C183" s="25"/>
      <c r="D183" s="24"/>
      <c r="E183" s="26" t="str">
        <f>IFERROR(VLOOKUP(D183,'04_Master Karyawan'!$A$5:$F$50,2,FALSE),"")</f>
        <v/>
      </c>
      <c r="F183" s="24"/>
      <c r="G183" s="26" t="str">
        <f>IFERROR(VLOOKUP(F183,'05_Master KPI'!$B$5:$G$100,2,FALSE)&amp;" ("&amp;VLOOKUP(F183,'05_Master KPI'!$B$5:$G$100,3,FALSE)&amp;")","")</f>
        <v/>
      </c>
      <c r="H183" s="26">
        <f>IFERROR(IF(B183&lt;&gt;'06_Target KPI'!$B$3,0,IF(VLOOKUP(F183,'05_Master KPI'!$B$5:$G$100,6,FALSE)="Kumulatif",INDEX('06_Target KPI'!$E$5:$P$100,MATCH(F183,'06_Target KPI'!$B$5:$B$100,0),MATCH(A183,'06_Target KPI'!$E$4:$P$4,0))*DAY(C183)/DAY(EOMONTH(C183,0)),INDEX('06_Target KPI'!$E$5:$P$100,MATCH(F183,'06_Target KPI'!$B$5:$B$100,0),MATCH(A183,'06_Target KPI'!$E$4:$P$4,0)))),0)</f>
        <v>0</v>
      </c>
      <c r="I183" s="24"/>
      <c r="J183" s="27">
        <f>IFERROR(MIN(IF(VLOOKUP(F183,'05_Master KPI'!$B$5:$G$100,5,FALSE)="Lower",H183/I183,I183/H183),1),0)</f>
        <v>0</v>
      </c>
      <c r="K183" s="26">
        <f>IFERROR(VLOOKUP(F183,'05_Master KPI'!$B$5:$G$100,4,FALSE),0)</f>
        <v>0</v>
      </c>
      <c r="L183" s="28">
        <f t="shared" si="2"/>
        <v>0</v>
      </c>
      <c r="M183" s="26" t="str">
        <f>IF(D183="","",IF(J183&gt;='13_Setting'!$H$7,"Tercapai",IF(J183&gt;='13_Setting'!$H$6,"On Track","Tertinggal")))</f>
        <v/>
      </c>
      <c r="N183" s="24"/>
    </row>
    <row r="184" spans="1:14">
      <c r="A184" s="24"/>
      <c r="B184" s="24"/>
      <c r="C184" s="25"/>
      <c r="D184" s="24"/>
      <c r="E184" s="26" t="str">
        <f>IFERROR(VLOOKUP(D184,'04_Master Karyawan'!$A$5:$F$50,2,FALSE),"")</f>
        <v/>
      </c>
      <c r="F184" s="24"/>
      <c r="G184" s="26" t="str">
        <f>IFERROR(VLOOKUP(F184,'05_Master KPI'!$B$5:$G$100,2,FALSE)&amp;" ("&amp;VLOOKUP(F184,'05_Master KPI'!$B$5:$G$100,3,FALSE)&amp;")","")</f>
        <v/>
      </c>
      <c r="H184" s="26">
        <f>IFERROR(IF(B184&lt;&gt;'06_Target KPI'!$B$3,0,IF(VLOOKUP(F184,'05_Master KPI'!$B$5:$G$100,6,FALSE)="Kumulatif",INDEX('06_Target KPI'!$E$5:$P$100,MATCH(F184,'06_Target KPI'!$B$5:$B$100,0),MATCH(A184,'06_Target KPI'!$E$4:$P$4,0))*DAY(C184)/DAY(EOMONTH(C184,0)),INDEX('06_Target KPI'!$E$5:$P$100,MATCH(F184,'06_Target KPI'!$B$5:$B$100,0),MATCH(A184,'06_Target KPI'!$E$4:$P$4,0)))),0)</f>
        <v>0</v>
      </c>
      <c r="I184" s="24"/>
      <c r="J184" s="27">
        <f>IFERROR(MIN(IF(VLOOKUP(F184,'05_Master KPI'!$B$5:$G$100,5,FALSE)="Lower",H184/I184,I184/H184),1),0)</f>
        <v>0</v>
      </c>
      <c r="K184" s="26">
        <f>IFERROR(VLOOKUP(F184,'05_Master KPI'!$B$5:$G$100,4,FALSE),0)</f>
        <v>0</v>
      </c>
      <c r="L184" s="28">
        <f t="shared" si="2"/>
        <v>0</v>
      </c>
      <c r="M184" s="26" t="str">
        <f>IF(D184="","",IF(J184&gt;='13_Setting'!$H$7,"Tercapai",IF(J184&gt;='13_Setting'!$H$6,"On Track","Tertinggal")))</f>
        <v/>
      </c>
      <c r="N184" s="24"/>
    </row>
    <row r="185" spans="1:14">
      <c r="A185" s="24"/>
      <c r="B185" s="24"/>
      <c r="C185" s="25"/>
      <c r="D185" s="24"/>
      <c r="E185" s="26" t="str">
        <f>IFERROR(VLOOKUP(D185,'04_Master Karyawan'!$A$5:$F$50,2,FALSE),"")</f>
        <v/>
      </c>
      <c r="F185" s="24"/>
      <c r="G185" s="26" t="str">
        <f>IFERROR(VLOOKUP(F185,'05_Master KPI'!$B$5:$G$100,2,FALSE)&amp;" ("&amp;VLOOKUP(F185,'05_Master KPI'!$B$5:$G$100,3,FALSE)&amp;")","")</f>
        <v/>
      </c>
      <c r="H185" s="26">
        <f>IFERROR(IF(B185&lt;&gt;'06_Target KPI'!$B$3,0,IF(VLOOKUP(F185,'05_Master KPI'!$B$5:$G$100,6,FALSE)="Kumulatif",INDEX('06_Target KPI'!$E$5:$P$100,MATCH(F185,'06_Target KPI'!$B$5:$B$100,0),MATCH(A185,'06_Target KPI'!$E$4:$P$4,0))*DAY(C185)/DAY(EOMONTH(C185,0)),INDEX('06_Target KPI'!$E$5:$P$100,MATCH(F185,'06_Target KPI'!$B$5:$B$100,0),MATCH(A185,'06_Target KPI'!$E$4:$P$4,0)))),0)</f>
        <v>0</v>
      </c>
      <c r="I185" s="24"/>
      <c r="J185" s="27">
        <f>IFERROR(MIN(IF(VLOOKUP(F185,'05_Master KPI'!$B$5:$G$100,5,FALSE)="Lower",H185/I185,I185/H185),1),0)</f>
        <v>0</v>
      </c>
      <c r="K185" s="26">
        <f>IFERROR(VLOOKUP(F185,'05_Master KPI'!$B$5:$G$100,4,FALSE),0)</f>
        <v>0</v>
      </c>
      <c r="L185" s="28">
        <f t="shared" si="2"/>
        <v>0</v>
      </c>
      <c r="M185" s="26" t="str">
        <f>IF(D185="","",IF(J185&gt;='13_Setting'!$H$7,"Tercapai",IF(J185&gt;='13_Setting'!$H$6,"On Track","Tertinggal")))</f>
        <v/>
      </c>
      <c r="N185" s="24"/>
    </row>
    <row r="186" spans="1:14">
      <c r="A186" s="24"/>
      <c r="B186" s="24"/>
      <c r="C186" s="25"/>
      <c r="D186" s="24"/>
      <c r="E186" s="26" t="str">
        <f>IFERROR(VLOOKUP(D186,'04_Master Karyawan'!$A$5:$F$50,2,FALSE),"")</f>
        <v/>
      </c>
      <c r="F186" s="24"/>
      <c r="G186" s="26" t="str">
        <f>IFERROR(VLOOKUP(F186,'05_Master KPI'!$B$5:$G$100,2,FALSE)&amp;" ("&amp;VLOOKUP(F186,'05_Master KPI'!$B$5:$G$100,3,FALSE)&amp;")","")</f>
        <v/>
      </c>
      <c r="H186" s="26">
        <f>IFERROR(IF(B186&lt;&gt;'06_Target KPI'!$B$3,0,IF(VLOOKUP(F186,'05_Master KPI'!$B$5:$G$100,6,FALSE)="Kumulatif",INDEX('06_Target KPI'!$E$5:$P$100,MATCH(F186,'06_Target KPI'!$B$5:$B$100,0),MATCH(A186,'06_Target KPI'!$E$4:$P$4,0))*DAY(C186)/DAY(EOMONTH(C186,0)),INDEX('06_Target KPI'!$E$5:$P$100,MATCH(F186,'06_Target KPI'!$B$5:$B$100,0),MATCH(A186,'06_Target KPI'!$E$4:$P$4,0)))),0)</f>
        <v>0</v>
      </c>
      <c r="I186" s="24"/>
      <c r="J186" s="27">
        <f>IFERROR(MIN(IF(VLOOKUP(F186,'05_Master KPI'!$B$5:$G$100,5,FALSE)="Lower",H186/I186,I186/H186),1),0)</f>
        <v>0</v>
      </c>
      <c r="K186" s="26">
        <f>IFERROR(VLOOKUP(F186,'05_Master KPI'!$B$5:$G$100,4,FALSE),0)</f>
        <v>0</v>
      </c>
      <c r="L186" s="28">
        <f t="shared" si="2"/>
        <v>0</v>
      </c>
      <c r="M186" s="26" t="str">
        <f>IF(D186="","",IF(J186&gt;='13_Setting'!$H$7,"Tercapai",IF(J186&gt;='13_Setting'!$H$6,"On Track","Tertinggal")))</f>
        <v/>
      </c>
      <c r="N186" s="24"/>
    </row>
    <row r="187" spans="1:14">
      <c r="A187" s="24"/>
      <c r="B187" s="24"/>
      <c r="C187" s="25"/>
      <c r="D187" s="24"/>
      <c r="E187" s="26" t="str">
        <f>IFERROR(VLOOKUP(D187,'04_Master Karyawan'!$A$5:$F$50,2,FALSE),"")</f>
        <v/>
      </c>
      <c r="F187" s="24"/>
      <c r="G187" s="26" t="str">
        <f>IFERROR(VLOOKUP(F187,'05_Master KPI'!$B$5:$G$100,2,FALSE)&amp;" ("&amp;VLOOKUP(F187,'05_Master KPI'!$B$5:$G$100,3,FALSE)&amp;")","")</f>
        <v/>
      </c>
      <c r="H187" s="26">
        <f>IFERROR(IF(B187&lt;&gt;'06_Target KPI'!$B$3,0,IF(VLOOKUP(F187,'05_Master KPI'!$B$5:$G$100,6,FALSE)="Kumulatif",INDEX('06_Target KPI'!$E$5:$P$100,MATCH(F187,'06_Target KPI'!$B$5:$B$100,0),MATCH(A187,'06_Target KPI'!$E$4:$P$4,0))*DAY(C187)/DAY(EOMONTH(C187,0)),INDEX('06_Target KPI'!$E$5:$P$100,MATCH(F187,'06_Target KPI'!$B$5:$B$100,0),MATCH(A187,'06_Target KPI'!$E$4:$P$4,0)))),0)</f>
        <v>0</v>
      </c>
      <c r="I187" s="24"/>
      <c r="J187" s="27">
        <f>IFERROR(MIN(IF(VLOOKUP(F187,'05_Master KPI'!$B$5:$G$100,5,FALSE)="Lower",H187/I187,I187/H187),1),0)</f>
        <v>0</v>
      </c>
      <c r="K187" s="26">
        <f>IFERROR(VLOOKUP(F187,'05_Master KPI'!$B$5:$G$100,4,FALSE),0)</f>
        <v>0</v>
      </c>
      <c r="L187" s="28">
        <f t="shared" si="2"/>
        <v>0</v>
      </c>
      <c r="M187" s="26" t="str">
        <f>IF(D187="","",IF(J187&gt;='13_Setting'!$H$7,"Tercapai",IF(J187&gt;='13_Setting'!$H$6,"On Track","Tertinggal")))</f>
        <v/>
      </c>
      <c r="N187" s="24"/>
    </row>
    <row r="188" spans="1:14">
      <c r="A188" s="24"/>
      <c r="B188" s="24"/>
      <c r="C188" s="25"/>
      <c r="D188" s="24"/>
      <c r="E188" s="26" t="str">
        <f>IFERROR(VLOOKUP(D188,'04_Master Karyawan'!$A$5:$F$50,2,FALSE),"")</f>
        <v/>
      </c>
      <c r="F188" s="24"/>
      <c r="G188" s="26" t="str">
        <f>IFERROR(VLOOKUP(F188,'05_Master KPI'!$B$5:$G$100,2,FALSE)&amp;" ("&amp;VLOOKUP(F188,'05_Master KPI'!$B$5:$G$100,3,FALSE)&amp;")","")</f>
        <v/>
      </c>
      <c r="H188" s="26">
        <f>IFERROR(IF(B188&lt;&gt;'06_Target KPI'!$B$3,0,IF(VLOOKUP(F188,'05_Master KPI'!$B$5:$G$100,6,FALSE)="Kumulatif",INDEX('06_Target KPI'!$E$5:$P$100,MATCH(F188,'06_Target KPI'!$B$5:$B$100,0),MATCH(A188,'06_Target KPI'!$E$4:$P$4,0))*DAY(C188)/DAY(EOMONTH(C188,0)),INDEX('06_Target KPI'!$E$5:$P$100,MATCH(F188,'06_Target KPI'!$B$5:$B$100,0),MATCH(A188,'06_Target KPI'!$E$4:$P$4,0)))),0)</f>
        <v>0</v>
      </c>
      <c r="I188" s="24"/>
      <c r="J188" s="27">
        <f>IFERROR(MIN(IF(VLOOKUP(F188,'05_Master KPI'!$B$5:$G$100,5,FALSE)="Lower",H188/I188,I188/H188),1),0)</f>
        <v>0</v>
      </c>
      <c r="K188" s="26">
        <f>IFERROR(VLOOKUP(F188,'05_Master KPI'!$B$5:$G$100,4,FALSE),0)</f>
        <v>0</v>
      </c>
      <c r="L188" s="28">
        <f t="shared" si="2"/>
        <v>0</v>
      </c>
      <c r="M188" s="26" t="str">
        <f>IF(D188="","",IF(J188&gt;='13_Setting'!$H$7,"Tercapai",IF(J188&gt;='13_Setting'!$H$6,"On Track","Tertinggal")))</f>
        <v/>
      </c>
      <c r="N188" s="24"/>
    </row>
    <row r="189" spans="1:14">
      <c r="A189" s="24"/>
      <c r="B189" s="24"/>
      <c r="C189" s="25"/>
      <c r="D189" s="24"/>
      <c r="E189" s="26" t="str">
        <f>IFERROR(VLOOKUP(D189,'04_Master Karyawan'!$A$5:$F$50,2,FALSE),"")</f>
        <v/>
      </c>
      <c r="F189" s="24"/>
      <c r="G189" s="26" t="str">
        <f>IFERROR(VLOOKUP(F189,'05_Master KPI'!$B$5:$G$100,2,FALSE)&amp;" ("&amp;VLOOKUP(F189,'05_Master KPI'!$B$5:$G$100,3,FALSE)&amp;")","")</f>
        <v/>
      </c>
      <c r="H189" s="26">
        <f>IFERROR(IF(B189&lt;&gt;'06_Target KPI'!$B$3,0,IF(VLOOKUP(F189,'05_Master KPI'!$B$5:$G$100,6,FALSE)="Kumulatif",INDEX('06_Target KPI'!$E$5:$P$100,MATCH(F189,'06_Target KPI'!$B$5:$B$100,0),MATCH(A189,'06_Target KPI'!$E$4:$P$4,0))*DAY(C189)/DAY(EOMONTH(C189,0)),INDEX('06_Target KPI'!$E$5:$P$100,MATCH(F189,'06_Target KPI'!$B$5:$B$100,0),MATCH(A189,'06_Target KPI'!$E$4:$P$4,0)))),0)</f>
        <v>0</v>
      </c>
      <c r="I189" s="24"/>
      <c r="J189" s="27">
        <f>IFERROR(MIN(IF(VLOOKUP(F189,'05_Master KPI'!$B$5:$G$100,5,FALSE)="Lower",H189/I189,I189/H189),1),0)</f>
        <v>0</v>
      </c>
      <c r="K189" s="26">
        <f>IFERROR(VLOOKUP(F189,'05_Master KPI'!$B$5:$G$100,4,FALSE),0)</f>
        <v>0</v>
      </c>
      <c r="L189" s="28">
        <f t="shared" si="2"/>
        <v>0</v>
      </c>
      <c r="M189" s="26" t="str">
        <f>IF(D189="","",IF(J189&gt;='13_Setting'!$H$7,"Tercapai",IF(J189&gt;='13_Setting'!$H$6,"On Track","Tertinggal")))</f>
        <v/>
      </c>
      <c r="N189" s="24"/>
    </row>
    <row r="190" spans="1:14">
      <c r="A190" s="24"/>
      <c r="B190" s="24"/>
      <c r="C190" s="25"/>
      <c r="D190" s="24"/>
      <c r="E190" s="26" t="str">
        <f>IFERROR(VLOOKUP(D190,'04_Master Karyawan'!$A$5:$F$50,2,FALSE),"")</f>
        <v/>
      </c>
      <c r="F190" s="24"/>
      <c r="G190" s="26" t="str">
        <f>IFERROR(VLOOKUP(F190,'05_Master KPI'!$B$5:$G$100,2,FALSE)&amp;" ("&amp;VLOOKUP(F190,'05_Master KPI'!$B$5:$G$100,3,FALSE)&amp;")","")</f>
        <v/>
      </c>
      <c r="H190" s="26">
        <f>IFERROR(IF(B190&lt;&gt;'06_Target KPI'!$B$3,0,IF(VLOOKUP(F190,'05_Master KPI'!$B$5:$G$100,6,FALSE)="Kumulatif",INDEX('06_Target KPI'!$E$5:$P$100,MATCH(F190,'06_Target KPI'!$B$5:$B$100,0),MATCH(A190,'06_Target KPI'!$E$4:$P$4,0))*DAY(C190)/DAY(EOMONTH(C190,0)),INDEX('06_Target KPI'!$E$5:$P$100,MATCH(F190,'06_Target KPI'!$B$5:$B$100,0),MATCH(A190,'06_Target KPI'!$E$4:$P$4,0)))),0)</f>
        <v>0</v>
      </c>
      <c r="I190" s="24"/>
      <c r="J190" s="27">
        <f>IFERROR(MIN(IF(VLOOKUP(F190,'05_Master KPI'!$B$5:$G$100,5,FALSE)="Lower",H190/I190,I190/H190),1),0)</f>
        <v>0</v>
      </c>
      <c r="K190" s="26">
        <f>IFERROR(VLOOKUP(F190,'05_Master KPI'!$B$5:$G$100,4,FALSE),0)</f>
        <v>0</v>
      </c>
      <c r="L190" s="28">
        <f t="shared" si="2"/>
        <v>0</v>
      </c>
      <c r="M190" s="26" t="str">
        <f>IF(D190="","",IF(J190&gt;='13_Setting'!$H$7,"Tercapai",IF(J190&gt;='13_Setting'!$H$6,"On Track","Tertinggal")))</f>
        <v/>
      </c>
      <c r="N190" s="24"/>
    </row>
    <row r="191" spans="1:14">
      <c r="A191" s="24"/>
      <c r="B191" s="24"/>
      <c r="C191" s="25"/>
      <c r="D191" s="24"/>
      <c r="E191" s="26" t="str">
        <f>IFERROR(VLOOKUP(D191,'04_Master Karyawan'!$A$5:$F$50,2,FALSE),"")</f>
        <v/>
      </c>
      <c r="F191" s="24"/>
      <c r="G191" s="26" t="str">
        <f>IFERROR(VLOOKUP(F191,'05_Master KPI'!$B$5:$G$100,2,FALSE)&amp;" ("&amp;VLOOKUP(F191,'05_Master KPI'!$B$5:$G$100,3,FALSE)&amp;")","")</f>
        <v/>
      </c>
      <c r="H191" s="26">
        <f>IFERROR(IF(B191&lt;&gt;'06_Target KPI'!$B$3,0,IF(VLOOKUP(F191,'05_Master KPI'!$B$5:$G$100,6,FALSE)="Kumulatif",INDEX('06_Target KPI'!$E$5:$P$100,MATCH(F191,'06_Target KPI'!$B$5:$B$100,0),MATCH(A191,'06_Target KPI'!$E$4:$P$4,0))*DAY(C191)/DAY(EOMONTH(C191,0)),INDEX('06_Target KPI'!$E$5:$P$100,MATCH(F191,'06_Target KPI'!$B$5:$B$100,0),MATCH(A191,'06_Target KPI'!$E$4:$P$4,0)))),0)</f>
        <v>0</v>
      </c>
      <c r="I191" s="24"/>
      <c r="J191" s="27">
        <f>IFERROR(MIN(IF(VLOOKUP(F191,'05_Master KPI'!$B$5:$G$100,5,FALSE)="Lower",H191/I191,I191/H191),1),0)</f>
        <v>0</v>
      </c>
      <c r="K191" s="26">
        <f>IFERROR(VLOOKUP(F191,'05_Master KPI'!$B$5:$G$100,4,FALSE),0)</f>
        <v>0</v>
      </c>
      <c r="L191" s="28">
        <f t="shared" si="2"/>
        <v>0</v>
      </c>
      <c r="M191" s="26" t="str">
        <f>IF(D191="","",IF(J191&gt;='13_Setting'!$H$7,"Tercapai",IF(J191&gt;='13_Setting'!$H$6,"On Track","Tertinggal")))</f>
        <v/>
      </c>
      <c r="N191" s="24"/>
    </row>
    <row r="192" spans="1:14">
      <c r="A192" s="24"/>
      <c r="B192" s="24"/>
      <c r="C192" s="25"/>
      <c r="D192" s="24"/>
      <c r="E192" s="26" t="str">
        <f>IFERROR(VLOOKUP(D192,'04_Master Karyawan'!$A$5:$F$50,2,FALSE),"")</f>
        <v/>
      </c>
      <c r="F192" s="24"/>
      <c r="G192" s="26" t="str">
        <f>IFERROR(VLOOKUP(F192,'05_Master KPI'!$B$5:$G$100,2,FALSE)&amp;" ("&amp;VLOOKUP(F192,'05_Master KPI'!$B$5:$G$100,3,FALSE)&amp;")","")</f>
        <v/>
      </c>
      <c r="H192" s="26">
        <f>IFERROR(IF(B192&lt;&gt;'06_Target KPI'!$B$3,0,IF(VLOOKUP(F192,'05_Master KPI'!$B$5:$G$100,6,FALSE)="Kumulatif",INDEX('06_Target KPI'!$E$5:$P$100,MATCH(F192,'06_Target KPI'!$B$5:$B$100,0),MATCH(A192,'06_Target KPI'!$E$4:$P$4,0))*DAY(C192)/DAY(EOMONTH(C192,0)),INDEX('06_Target KPI'!$E$5:$P$100,MATCH(F192,'06_Target KPI'!$B$5:$B$100,0),MATCH(A192,'06_Target KPI'!$E$4:$P$4,0)))),0)</f>
        <v>0</v>
      </c>
      <c r="I192" s="24"/>
      <c r="J192" s="27">
        <f>IFERROR(MIN(IF(VLOOKUP(F192,'05_Master KPI'!$B$5:$G$100,5,FALSE)="Lower",H192/I192,I192/H192),1),0)</f>
        <v>0</v>
      </c>
      <c r="K192" s="26">
        <f>IFERROR(VLOOKUP(F192,'05_Master KPI'!$B$5:$G$100,4,FALSE),0)</f>
        <v>0</v>
      </c>
      <c r="L192" s="28">
        <f t="shared" si="2"/>
        <v>0</v>
      </c>
      <c r="M192" s="26" t="str">
        <f>IF(D192="","",IF(J192&gt;='13_Setting'!$H$7,"Tercapai",IF(J192&gt;='13_Setting'!$H$6,"On Track","Tertinggal")))</f>
        <v/>
      </c>
      <c r="N192" s="24"/>
    </row>
    <row r="193" spans="1:14">
      <c r="A193" s="24"/>
      <c r="B193" s="24"/>
      <c r="C193" s="25"/>
      <c r="D193" s="24"/>
      <c r="E193" s="26" t="str">
        <f>IFERROR(VLOOKUP(D193,'04_Master Karyawan'!$A$5:$F$50,2,FALSE),"")</f>
        <v/>
      </c>
      <c r="F193" s="24"/>
      <c r="G193" s="26" t="str">
        <f>IFERROR(VLOOKUP(F193,'05_Master KPI'!$B$5:$G$100,2,FALSE)&amp;" ("&amp;VLOOKUP(F193,'05_Master KPI'!$B$5:$G$100,3,FALSE)&amp;")","")</f>
        <v/>
      </c>
      <c r="H193" s="26">
        <f>IFERROR(IF(B193&lt;&gt;'06_Target KPI'!$B$3,0,IF(VLOOKUP(F193,'05_Master KPI'!$B$5:$G$100,6,FALSE)="Kumulatif",INDEX('06_Target KPI'!$E$5:$P$100,MATCH(F193,'06_Target KPI'!$B$5:$B$100,0),MATCH(A193,'06_Target KPI'!$E$4:$P$4,0))*DAY(C193)/DAY(EOMONTH(C193,0)),INDEX('06_Target KPI'!$E$5:$P$100,MATCH(F193,'06_Target KPI'!$B$5:$B$100,0),MATCH(A193,'06_Target KPI'!$E$4:$P$4,0)))),0)</f>
        <v>0</v>
      </c>
      <c r="I193" s="24"/>
      <c r="J193" s="27">
        <f>IFERROR(MIN(IF(VLOOKUP(F193,'05_Master KPI'!$B$5:$G$100,5,FALSE)="Lower",H193/I193,I193/H193),1),0)</f>
        <v>0</v>
      </c>
      <c r="K193" s="26">
        <f>IFERROR(VLOOKUP(F193,'05_Master KPI'!$B$5:$G$100,4,FALSE),0)</f>
        <v>0</v>
      </c>
      <c r="L193" s="28">
        <f t="shared" si="2"/>
        <v>0</v>
      </c>
      <c r="M193" s="26" t="str">
        <f>IF(D193="","",IF(J193&gt;='13_Setting'!$H$7,"Tercapai",IF(J193&gt;='13_Setting'!$H$6,"On Track","Tertinggal")))</f>
        <v/>
      </c>
      <c r="N193" s="24"/>
    </row>
    <row r="194" spans="1:14">
      <c r="A194" s="24"/>
      <c r="B194" s="24"/>
      <c r="C194" s="25"/>
      <c r="D194" s="24"/>
      <c r="E194" s="26" t="str">
        <f>IFERROR(VLOOKUP(D194,'04_Master Karyawan'!$A$5:$F$50,2,FALSE),"")</f>
        <v/>
      </c>
      <c r="F194" s="24"/>
      <c r="G194" s="26" t="str">
        <f>IFERROR(VLOOKUP(F194,'05_Master KPI'!$B$5:$G$100,2,FALSE)&amp;" ("&amp;VLOOKUP(F194,'05_Master KPI'!$B$5:$G$100,3,FALSE)&amp;")","")</f>
        <v/>
      </c>
      <c r="H194" s="26">
        <f>IFERROR(IF(B194&lt;&gt;'06_Target KPI'!$B$3,0,IF(VLOOKUP(F194,'05_Master KPI'!$B$5:$G$100,6,FALSE)="Kumulatif",INDEX('06_Target KPI'!$E$5:$P$100,MATCH(F194,'06_Target KPI'!$B$5:$B$100,0),MATCH(A194,'06_Target KPI'!$E$4:$P$4,0))*DAY(C194)/DAY(EOMONTH(C194,0)),INDEX('06_Target KPI'!$E$5:$P$100,MATCH(F194,'06_Target KPI'!$B$5:$B$100,0),MATCH(A194,'06_Target KPI'!$E$4:$P$4,0)))),0)</f>
        <v>0</v>
      </c>
      <c r="I194" s="24"/>
      <c r="J194" s="27">
        <f>IFERROR(MIN(IF(VLOOKUP(F194,'05_Master KPI'!$B$5:$G$100,5,FALSE)="Lower",H194/I194,I194/H194),1),0)</f>
        <v>0</v>
      </c>
      <c r="K194" s="26">
        <f>IFERROR(VLOOKUP(F194,'05_Master KPI'!$B$5:$G$100,4,FALSE),0)</f>
        <v>0</v>
      </c>
      <c r="L194" s="28">
        <f t="shared" si="2"/>
        <v>0</v>
      </c>
      <c r="M194" s="26" t="str">
        <f>IF(D194="","",IF(J194&gt;='13_Setting'!$H$7,"Tercapai",IF(J194&gt;='13_Setting'!$H$6,"On Track","Tertinggal")))</f>
        <v/>
      </c>
      <c r="N194" s="24"/>
    </row>
    <row r="195" spans="1:14">
      <c r="A195" s="24"/>
      <c r="B195" s="24"/>
      <c r="C195" s="25"/>
      <c r="D195" s="24"/>
      <c r="E195" s="26" t="str">
        <f>IFERROR(VLOOKUP(D195,'04_Master Karyawan'!$A$5:$F$50,2,FALSE),"")</f>
        <v/>
      </c>
      <c r="F195" s="24"/>
      <c r="G195" s="26" t="str">
        <f>IFERROR(VLOOKUP(F195,'05_Master KPI'!$B$5:$G$100,2,FALSE)&amp;" ("&amp;VLOOKUP(F195,'05_Master KPI'!$B$5:$G$100,3,FALSE)&amp;")","")</f>
        <v/>
      </c>
      <c r="H195" s="26">
        <f>IFERROR(IF(B195&lt;&gt;'06_Target KPI'!$B$3,0,IF(VLOOKUP(F195,'05_Master KPI'!$B$5:$G$100,6,FALSE)="Kumulatif",INDEX('06_Target KPI'!$E$5:$P$100,MATCH(F195,'06_Target KPI'!$B$5:$B$100,0),MATCH(A195,'06_Target KPI'!$E$4:$P$4,0))*DAY(C195)/DAY(EOMONTH(C195,0)),INDEX('06_Target KPI'!$E$5:$P$100,MATCH(F195,'06_Target KPI'!$B$5:$B$100,0),MATCH(A195,'06_Target KPI'!$E$4:$P$4,0)))),0)</f>
        <v>0</v>
      </c>
      <c r="I195" s="24"/>
      <c r="J195" s="27">
        <f>IFERROR(MIN(IF(VLOOKUP(F195,'05_Master KPI'!$B$5:$G$100,5,FALSE)="Lower",H195/I195,I195/H195),1),0)</f>
        <v>0</v>
      </c>
      <c r="K195" s="26">
        <f>IFERROR(VLOOKUP(F195,'05_Master KPI'!$B$5:$G$100,4,FALSE),0)</f>
        <v>0</v>
      </c>
      <c r="L195" s="28">
        <f t="shared" si="2"/>
        <v>0</v>
      </c>
      <c r="M195" s="26" t="str">
        <f>IF(D195="","",IF(J195&gt;='13_Setting'!$H$7,"Tercapai",IF(J195&gt;='13_Setting'!$H$6,"On Track","Tertinggal")))</f>
        <v/>
      </c>
      <c r="N195" s="24"/>
    </row>
    <row r="196" spans="1:14">
      <c r="A196" s="24"/>
      <c r="B196" s="24"/>
      <c r="C196" s="25"/>
      <c r="D196" s="24"/>
      <c r="E196" s="26" t="str">
        <f>IFERROR(VLOOKUP(D196,'04_Master Karyawan'!$A$5:$F$50,2,FALSE),"")</f>
        <v/>
      </c>
      <c r="F196" s="24"/>
      <c r="G196" s="26" t="str">
        <f>IFERROR(VLOOKUP(F196,'05_Master KPI'!$B$5:$G$100,2,FALSE)&amp;" ("&amp;VLOOKUP(F196,'05_Master KPI'!$B$5:$G$100,3,FALSE)&amp;")","")</f>
        <v/>
      </c>
      <c r="H196" s="26">
        <f>IFERROR(IF(B196&lt;&gt;'06_Target KPI'!$B$3,0,IF(VLOOKUP(F196,'05_Master KPI'!$B$5:$G$100,6,FALSE)="Kumulatif",INDEX('06_Target KPI'!$E$5:$P$100,MATCH(F196,'06_Target KPI'!$B$5:$B$100,0),MATCH(A196,'06_Target KPI'!$E$4:$P$4,0))*DAY(C196)/DAY(EOMONTH(C196,0)),INDEX('06_Target KPI'!$E$5:$P$100,MATCH(F196,'06_Target KPI'!$B$5:$B$100,0),MATCH(A196,'06_Target KPI'!$E$4:$P$4,0)))),0)</f>
        <v>0</v>
      </c>
      <c r="I196" s="24"/>
      <c r="J196" s="27">
        <f>IFERROR(MIN(IF(VLOOKUP(F196,'05_Master KPI'!$B$5:$G$100,5,FALSE)="Lower",H196/I196,I196/H196),1),0)</f>
        <v>0</v>
      </c>
      <c r="K196" s="26">
        <f>IFERROR(VLOOKUP(F196,'05_Master KPI'!$B$5:$G$100,4,FALSE),0)</f>
        <v>0</v>
      </c>
      <c r="L196" s="28">
        <f t="shared" si="2"/>
        <v>0</v>
      </c>
      <c r="M196" s="26" t="str">
        <f>IF(D196="","",IF(J196&gt;='13_Setting'!$H$7,"Tercapai",IF(J196&gt;='13_Setting'!$H$6,"On Track","Tertinggal")))</f>
        <v/>
      </c>
      <c r="N196" s="24"/>
    </row>
    <row r="197" spans="1:14">
      <c r="A197" s="24"/>
      <c r="B197" s="24"/>
      <c r="C197" s="25"/>
      <c r="D197" s="24"/>
      <c r="E197" s="26" t="str">
        <f>IFERROR(VLOOKUP(D197,'04_Master Karyawan'!$A$5:$F$50,2,FALSE),"")</f>
        <v/>
      </c>
      <c r="F197" s="24"/>
      <c r="G197" s="26" t="str">
        <f>IFERROR(VLOOKUP(F197,'05_Master KPI'!$B$5:$G$100,2,FALSE)&amp;" ("&amp;VLOOKUP(F197,'05_Master KPI'!$B$5:$G$100,3,FALSE)&amp;")","")</f>
        <v/>
      </c>
      <c r="H197" s="26">
        <f>IFERROR(IF(B197&lt;&gt;'06_Target KPI'!$B$3,0,IF(VLOOKUP(F197,'05_Master KPI'!$B$5:$G$100,6,FALSE)="Kumulatif",INDEX('06_Target KPI'!$E$5:$P$100,MATCH(F197,'06_Target KPI'!$B$5:$B$100,0),MATCH(A197,'06_Target KPI'!$E$4:$P$4,0))*DAY(C197)/DAY(EOMONTH(C197,0)),INDEX('06_Target KPI'!$E$5:$P$100,MATCH(F197,'06_Target KPI'!$B$5:$B$100,0),MATCH(A197,'06_Target KPI'!$E$4:$P$4,0)))),0)</f>
        <v>0</v>
      </c>
      <c r="I197" s="24"/>
      <c r="J197" s="27">
        <f>IFERROR(MIN(IF(VLOOKUP(F197,'05_Master KPI'!$B$5:$G$100,5,FALSE)="Lower",H197/I197,I197/H197),1),0)</f>
        <v>0</v>
      </c>
      <c r="K197" s="26">
        <f>IFERROR(VLOOKUP(F197,'05_Master KPI'!$B$5:$G$100,4,FALSE),0)</f>
        <v>0</v>
      </c>
      <c r="L197" s="28">
        <f t="shared" ref="L197:L260" si="3">J197*K197</f>
        <v>0</v>
      </c>
      <c r="M197" s="26" t="str">
        <f>IF(D197="","",IF(J197&gt;='13_Setting'!$H$7,"Tercapai",IF(J197&gt;='13_Setting'!$H$6,"On Track","Tertinggal")))</f>
        <v/>
      </c>
      <c r="N197" s="24"/>
    </row>
    <row r="198" spans="1:14">
      <c r="A198" s="24"/>
      <c r="B198" s="24"/>
      <c r="C198" s="25"/>
      <c r="D198" s="24"/>
      <c r="E198" s="26" t="str">
        <f>IFERROR(VLOOKUP(D198,'04_Master Karyawan'!$A$5:$F$50,2,FALSE),"")</f>
        <v/>
      </c>
      <c r="F198" s="24"/>
      <c r="G198" s="26" t="str">
        <f>IFERROR(VLOOKUP(F198,'05_Master KPI'!$B$5:$G$100,2,FALSE)&amp;" ("&amp;VLOOKUP(F198,'05_Master KPI'!$B$5:$G$100,3,FALSE)&amp;")","")</f>
        <v/>
      </c>
      <c r="H198" s="26">
        <f>IFERROR(IF(B198&lt;&gt;'06_Target KPI'!$B$3,0,IF(VLOOKUP(F198,'05_Master KPI'!$B$5:$G$100,6,FALSE)="Kumulatif",INDEX('06_Target KPI'!$E$5:$P$100,MATCH(F198,'06_Target KPI'!$B$5:$B$100,0),MATCH(A198,'06_Target KPI'!$E$4:$P$4,0))*DAY(C198)/DAY(EOMONTH(C198,0)),INDEX('06_Target KPI'!$E$5:$P$100,MATCH(F198,'06_Target KPI'!$B$5:$B$100,0),MATCH(A198,'06_Target KPI'!$E$4:$P$4,0)))),0)</f>
        <v>0</v>
      </c>
      <c r="I198" s="24"/>
      <c r="J198" s="27">
        <f>IFERROR(MIN(IF(VLOOKUP(F198,'05_Master KPI'!$B$5:$G$100,5,FALSE)="Lower",H198/I198,I198/H198),1),0)</f>
        <v>0</v>
      </c>
      <c r="K198" s="26">
        <f>IFERROR(VLOOKUP(F198,'05_Master KPI'!$B$5:$G$100,4,FALSE),0)</f>
        <v>0</v>
      </c>
      <c r="L198" s="28">
        <f t="shared" si="3"/>
        <v>0</v>
      </c>
      <c r="M198" s="26" t="str">
        <f>IF(D198="","",IF(J198&gt;='13_Setting'!$H$7,"Tercapai",IF(J198&gt;='13_Setting'!$H$6,"On Track","Tertinggal")))</f>
        <v/>
      </c>
      <c r="N198" s="24"/>
    </row>
    <row r="199" spans="1:14">
      <c r="A199" s="24"/>
      <c r="B199" s="24"/>
      <c r="C199" s="25"/>
      <c r="D199" s="24"/>
      <c r="E199" s="26" t="str">
        <f>IFERROR(VLOOKUP(D199,'04_Master Karyawan'!$A$5:$F$50,2,FALSE),"")</f>
        <v/>
      </c>
      <c r="F199" s="24"/>
      <c r="G199" s="26" t="str">
        <f>IFERROR(VLOOKUP(F199,'05_Master KPI'!$B$5:$G$100,2,FALSE)&amp;" ("&amp;VLOOKUP(F199,'05_Master KPI'!$B$5:$G$100,3,FALSE)&amp;")","")</f>
        <v/>
      </c>
      <c r="H199" s="26">
        <f>IFERROR(IF(B199&lt;&gt;'06_Target KPI'!$B$3,0,IF(VLOOKUP(F199,'05_Master KPI'!$B$5:$G$100,6,FALSE)="Kumulatif",INDEX('06_Target KPI'!$E$5:$P$100,MATCH(F199,'06_Target KPI'!$B$5:$B$100,0),MATCH(A199,'06_Target KPI'!$E$4:$P$4,0))*DAY(C199)/DAY(EOMONTH(C199,0)),INDEX('06_Target KPI'!$E$5:$P$100,MATCH(F199,'06_Target KPI'!$B$5:$B$100,0),MATCH(A199,'06_Target KPI'!$E$4:$P$4,0)))),0)</f>
        <v>0</v>
      </c>
      <c r="I199" s="24"/>
      <c r="J199" s="27">
        <f>IFERROR(MIN(IF(VLOOKUP(F199,'05_Master KPI'!$B$5:$G$100,5,FALSE)="Lower",H199/I199,I199/H199),1),0)</f>
        <v>0</v>
      </c>
      <c r="K199" s="26">
        <f>IFERROR(VLOOKUP(F199,'05_Master KPI'!$B$5:$G$100,4,FALSE),0)</f>
        <v>0</v>
      </c>
      <c r="L199" s="28">
        <f t="shared" si="3"/>
        <v>0</v>
      </c>
      <c r="M199" s="26" t="str">
        <f>IF(D199="","",IF(J199&gt;='13_Setting'!$H$7,"Tercapai",IF(J199&gt;='13_Setting'!$H$6,"On Track","Tertinggal")))</f>
        <v/>
      </c>
      <c r="N199" s="24"/>
    </row>
    <row r="200" spans="1:14">
      <c r="A200" s="24"/>
      <c r="B200" s="24"/>
      <c r="C200" s="25"/>
      <c r="D200" s="24"/>
      <c r="E200" s="26" t="str">
        <f>IFERROR(VLOOKUP(D200,'04_Master Karyawan'!$A$5:$F$50,2,FALSE),"")</f>
        <v/>
      </c>
      <c r="F200" s="24"/>
      <c r="G200" s="26" t="str">
        <f>IFERROR(VLOOKUP(F200,'05_Master KPI'!$B$5:$G$100,2,FALSE)&amp;" ("&amp;VLOOKUP(F200,'05_Master KPI'!$B$5:$G$100,3,FALSE)&amp;")","")</f>
        <v/>
      </c>
      <c r="H200" s="26">
        <f>IFERROR(IF(B200&lt;&gt;'06_Target KPI'!$B$3,0,IF(VLOOKUP(F200,'05_Master KPI'!$B$5:$G$100,6,FALSE)="Kumulatif",INDEX('06_Target KPI'!$E$5:$P$100,MATCH(F200,'06_Target KPI'!$B$5:$B$100,0),MATCH(A200,'06_Target KPI'!$E$4:$P$4,0))*DAY(C200)/DAY(EOMONTH(C200,0)),INDEX('06_Target KPI'!$E$5:$P$100,MATCH(F200,'06_Target KPI'!$B$5:$B$100,0),MATCH(A200,'06_Target KPI'!$E$4:$P$4,0)))),0)</f>
        <v>0</v>
      </c>
      <c r="I200" s="24"/>
      <c r="J200" s="27">
        <f>IFERROR(MIN(IF(VLOOKUP(F200,'05_Master KPI'!$B$5:$G$100,5,FALSE)="Lower",H200/I200,I200/H200),1),0)</f>
        <v>0</v>
      </c>
      <c r="K200" s="26">
        <f>IFERROR(VLOOKUP(F200,'05_Master KPI'!$B$5:$G$100,4,FALSE),0)</f>
        <v>0</v>
      </c>
      <c r="L200" s="28">
        <f t="shared" si="3"/>
        <v>0</v>
      </c>
      <c r="M200" s="26" t="str">
        <f>IF(D200="","",IF(J200&gt;='13_Setting'!$H$7,"Tercapai",IF(J200&gt;='13_Setting'!$H$6,"On Track","Tertinggal")))</f>
        <v/>
      </c>
      <c r="N200" s="24"/>
    </row>
    <row r="201" spans="1:14">
      <c r="A201" s="24"/>
      <c r="B201" s="24"/>
      <c r="C201" s="25"/>
      <c r="D201" s="24"/>
      <c r="E201" s="26" t="str">
        <f>IFERROR(VLOOKUP(D201,'04_Master Karyawan'!$A$5:$F$50,2,FALSE),"")</f>
        <v/>
      </c>
      <c r="F201" s="24"/>
      <c r="G201" s="26" t="str">
        <f>IFERROR(VLOOKUP(F201,'05_Master KPI'!$B$5:$G$100,2,FALSE)&amp;" ("&amp;VLOOKUP(F201,'05_Master KPI'!$B$5:$G$100,3,FALSE)&amp;")","")</f>
        <v/>
      </c>
      <c r="H201" s="26">
        <f>IFERROR(IF(B201&lt;&gt;'06_Target KPI'!$B$3,0,IF(VLOOKUP(F201,'05_Master KPI'!$B$5:$G$100,6,FALSE)="Kumulatif",INDEX('06_Target KPI'!$E$5:$P$100,MATCH(F201,'06_Target KPI'!$B$5:$B$100,0),MATCH(A201,'06_Target KPI'!$E$4:$P$4,0))*DAY(C201)/DAY(EOMONTH(C201,0)),INDEX('06_Target KPI'!$E$5:$P$100,MATCH(F201,'06_Target KPI'!$B$5:$B$100,0),MATCH(A201,'06_Target KPI'!$E$4:$P$4,0)))),0)</f>
        <v>0</v>
      </c>
      <c r="I201" s="24"/>
      <c r="J201" s="27">
        <f>IFERROR(MIN(IF(VLOOKUP(F201,'05_Master KPI'!$B$5:$G$100,5,FALSE)="Lower",H201/I201,I201/H201),1),0)</f>
        <v>0</v>
      </c>
      <c r="K201" s="26">
        <f>IFERROR(VLOOKUP(F201,'05_Master KPI'!$B$5:$G$100,4,FALSE),0)</f>
        <v>0</v>
      </c>
      <c r="L201" s="28">
        <f t="shared" si="3"/>
        <v>0</v>
      </c>
      <c r="M201" s="26" t="str">
        <f>IF(D201="","",IF(J201&gt;='13_Setting'!$H$7,"Tercapai",IF(J201&gt;='13_Setting'!$H$6,"On Track","Tertinggal")))</f>
        <v/>
      </c>
      <c r="N201" s="24"/>
    </row>
    <row r="202" spans="1:14">
      <c r="A202" s="24"/>
      <c r="B202" s="24"/>
      <c r="C202" s="25"/>
      <c r="D202" s="24"/>
      <c r="E202" s="26" t="str">
        <f>IFERROR(VLOOKUP(D202,'04_Master Karyawan'!$A$5:$F$50,2,FALSE),"")</f>
        <v/>
      </c>
      <c r="F202" s="24"/>
      <c r="G202" s="26" t="str">
        <f>IFERROR(VLOOKUP(F202,'05_Master KPI'!$B$5:$G$100,2,FALSE)&amp;" ("&amp;VLOOKUP(F202,'05_Master KPI'!$B$5:$G$100,3,FALSE)&amp;")","")</f>
        <v/>
      </c>
      <c r="H202" s="26">
        <f>IFERROR(IF(B202&lt;&gt;'06_Target KPI'!$B$3,0,IF(VLOOKUP(F202,'05_Master KPI'!$B$5:$G$100,6,FALSE)="Kumulatif",INDEX('06_Target KPI'!$E$5:$P$100,MATCH(F202,'06_Target KPI'!$B$5:$B$100,0),MATCH(A202,'06_Target KPI'!$E$4:$P$4,0))*DAY(C202)/DAY(EOMONTH(C202,0)),INDEX('06_Target KPI'!$E$5:$P$100,MATCH(F202,'06_Target KPI'!$B$5:$B$100,0),MATCH(A202,'06_Target KPI'!$E$4:$P$4,0)))),0)</f>
        <v>0</v>
      </c>
      <c r="I202" s="24"/>
      <c r="J202" s="27">
        <f>IFERROR(MIN(IF(VLOOKUP(F202,'05_Master KPI'!$B$5:$G$100,5,FALSE)="Lower",H202/I202,I202/H202),1),0)</f>
        <v>0</v>
      </c>
      <c r="K202" s="26">
        <f>IFERROR(VLOOKUP(F202,'05_Master KPI'!$B$5:$G$100,4,FALSE),0)</f>
        <v>0</v>
      </c>
      <c r="L202" s="28">
        <f t="shared" si="3"/>
        <v>0</v>
      </c>
      <c r="M202" s="26" t="str">
        <f>IF(D202="","",IF(J202&gt;='13_Setting'!$H$7,"Tercapai",IF(J202&gt;='13_Setting'!$H$6,"On Track","Tertinggal")))</f>
        <v/>
      </c>
      <c r="N202" s="24"/>
    </row>
    <row r="203" spans="1:14">
      <c r="A203" s="24"/>
      <c r="B203" s="24"/>
      <c r="C203" s="25"/>
      <c r="D203" s="24"/>
      <c r="E203" s="26" t="str">
        <f>IFERROR(VLOOKUP(D203,'04_Master Karyawan'!$A$5:$F$50,2,FALSE),"")</f>
        <v/>
      </c>
      <c r="F203" s="24"/>
      <c r="G203" s="26" t="str">
        <f>IFERROR(VLOOKUP(F203,'05_Master KPI'!$B$5:$G$100,2,FALSE)&amp;" ("&amp;VLOOKUP(F203,'05_Master KPI'!$B$5:$G$100,3,FALSE)&amp;")","")</f>
        <v/>
      </c>
      <c r="H203" s="26">
        <f>IFERROR(IF(B203&lt;&gt;'06_Target KPI'!$B$3,0,IF(VLOOKUP(F203,'05_Master KPI'!$B$5:$G$100,6,FALSE)="Kumulatif",INDEX('06_Target KPI'!$E$5:$P$100,MATCH(F203,'06_Target KPI'!$B$5:$B$100,0),MATCH(A203,'06_Target KPI'!$E$4:$P$4,0))*DAY(C203)/DAY(EOMONTH(C203,0)),INDEX('06_Target KPI'!$E$5:$P$100,MATCH(F203,'06_Target KPI'!$B$5:$B$100,0),MATCH(A203,'06_Target KPI'!$E$4:$P$4,0)))),0)</f>
        <v>0</v>
      </c>
      <c r="I203" s="24"/>
      <c r="J203" s="27">
        <f>IFERROR(MIN(IF(VLOOKUP(F203,'05_Master KPI'!$B$5:$G$100,5,FALSE)="Lower",H203/I203,I203/H203),1),0)</f>
        <v>0</v>
      </c>
      <c r="K203" s="26">
        <f>IFERROR(VLOOKUP(F203,'05_Master KPI'!$B$5:$G$100,4,FALSE),0)</f>
        <v>0</v>
      </c>
      <c r="L203" s="28">
        <f t="shared" si="3"/>
        <v>0</v>
      </c>
      <c r="M203" s="26" t="str">
        <f>IF(D203="","",IF(J203&gt;='13_Setting'!$H$7,"Tercapai",IF(J203&gt;='13_Setting'!$H$6,"On Track","Tertinggal")))</f>
        <v/>
      </c>
      <c r="N203" s="24"/>
    </row>
    <row r="204" spans="1:14">
      <c r="A204" s="24"/>
      <c r="B204" s="24"/>
      <c r="C204" s="25"/>
      <c r="D204" s="24"/>
      <c r="E204" s="26" t="str">
        <f>IFERROR(VLOOKUP(D204,'04_Master Karyawan'!$A$5:$F$50,2,FALSE),"")</f>
        <v/>
      </c>
      <c r="F204" s="24"/>
      <c r="G204" s="26" t="str">
        <f>IFERROR(VLOOKUP(F204,'05_Master KPI'!$B$5:$G$100,2,FALSE)&amp;" ("&amp;VLOOKUP(F204,'05_Master KPI'!$B$5:$G$100,3,FALSE)&amp;")","")</f>
        <v/>
      </c>
      <c r="H204" s="26">
        <f>IFERROR(IF(B204&lt;&gt;'06_Target KPI'!$B$3,0,IF(VLOOKUP(F204,'05_Master KPI'!$B$5:$G$100,6,FALSE)="Kumulatif",INDEX('06_Target KPI'!$E$5:$P$100,MATCH(F204,'06_Target KPI'!$B$5:$B$100,0),MATCH(A204,'06_Target KPI'!$E$4:$P$4,0))*DAY(C204)/DAY(EOMONTH(C204,0)),INDEX('06_Target KPI'!$E$5:$P$100,MATCH(F204,'06_Target KPI'!$B$5:$B$100,0),MATCH(A204,'06_Target KPI'!$E$4:$P$4,0)))),0)</f>
        <v>0</v>
      </c>
      <c r="I204" s="24"/>
      <c r="J204" s="27">
        <f>IFERROR(MIN(IF(VLOOKUP(F204,'05_Master KPI'!$B$5:$G$100,5,FALSE)="Lower",H204/I204,I204/H204),1),0)</f>
        <v>0</v>
      </c>
      <c r="K204" s="26">
        <f>IFERROR(VLOOKUP(F204,'05_Master KPI'!$B$5:$G$100,4,FALSE),0)</f>
        <v>0</v>
      </c>
      <c r="L204" s="28">
        <f t="shared" si="3"/>
        <v>0</v>
      </c>
      <c r="M204" s="26" t="str">
        <f>IF(D204="","",IF(J204&gt;='13_Setting'!$H$7,"Tercapai",IF(J204&gt;='13_Setting'!$H$6,"On Track","Tertinggal")))</f>
        <v/>
      </c>
      <c r="N204" s="24"/>
    </row>
    <row r="205" spans="1:14">
      <c r="A205" s="24"/>
      <c r="B205" s="24"/>
      <c r="C205" s="25"/>
      <c r="D205" s="24"/>
      <c r="E205" s="26" t="str">
        <f>IFERROR(VLOOKUP(D205,'04_Master Karyawan'!$A$5:$F$50,2,FALSE),"")</f>
        <v/>
      </c>
      <c r="F205" s="24"/>
      <c r="G205" s="26" t="str">
        <f>IFERROR(VLOOKUP(F205,'05_Master KPI'!$B$5:$G$100,2,FALSE)&amp;" ("&amp;VLOOKUP(F205,'05_Master KPI'!$B$5:$G$100,3,FALSE)&amp;")","")</f>
        <v/>
      </c>
      <c r="H205" s="26">
        <f>IFERROR(IF(B205&lt;&gt;'06_Target KPI'!$B$3,0,IF(VLOOKUP(F205,'05_Master KPI'!$B$5:$G$100,6,FALSE)="Kumulatif",INDEX('06_Target KPI'!$E$5:$P$100,MATCH(F205,'06_Target KPI'!$B$5:$B$100,0),MATCH(A205,'06_Target KPI'!$E$4:$P$4,0))*DAY(C205)/DAY(EOMONTH(C205,0)),INDEX('06_Target KPI'!$E$5:$P$100,MATCH(F205,'06_Target KPI'!$B$5:$B$100,0),MATCH(A205,'06_Target KPI'!$E$4:$P$4,0)))),0)</f>
        <v>0</v>
      </c>
      <c r="I205" s="24"/>
      <c r="J205" s="27">
        <f>IFERROR(MIN(IF(VLOOKUP(F205,'05_Master KPI'!$B$5:$G$100,5,FALSE)="Lower",H205/I205,I205/H205),1),0)</f>
        <v>0</v>
      </c>
      <c r="K205" s="26">
        <f>IFERROR(VLOOKUP(F205,'05_Master KPI'!$B$5:$G$100,4,FALSE),0)</f>
        <v>0</v>
      </c>
      <c r="L205" s="28">
        <f t="shared" si="3"/>
        <v>0</v>
      </c>
      <c r="M205" s="26" t="str">
        <f>IF(D205="","",IF(J205&gt;='13_Setting'!$H$7,"Tercapai",IF(J205&gt;='13_Setting'!$H$6,"On Track","Tertinggal")))</f>
        <v/>
      </c>
      <c r="N205" s="24"/>
    </row>
    <row r="206" spans="1:14">
      <c r="A206" s="24"/>
      <c r="B206" s="24"/>
      <c r="C206" s="25"/>
      <c r="D206" s="24"/>
      <c r="E206" s="26" t="str">
        <f>IFERROR(VLOOKUP(D206,'04_Master Karyawan'!$A$5:$F$50,2,FALSE),"")</f>
        <v/>
      </c>
      <c r="F206" s="24"/>
      <c r="G206" s="26" t="str">
        <f>IFERROR(VLOOKUP(F206,'05_Master KPI'!$B$5:$G$100,2,FALSE)&amp;" ("&amp;VLOOKUP(F206,'05_Master KPI'!$B$5:$G$100,3,FALSE)&amp;")","")</f>
        <v/>
      </c>
      <c r="H206" s="26">
        <f>IFERROR(IF(B206&lt;&gt;'06_Target KPI'!$B$3,0,IF(VLOOKUP(F206,'05_Master KPI'!$B$5:$G$100,6,FALSE)="Kumulatif",INDEX('06_Target KPI'!$E$5:$P$100,MATCH(F206,'06_Target KPI'!$B$5:$B$100,0),MATCH(A206,'06_Target KPI'!$E$4:$P$4,0))*DAY(C206)/DAY(EOMONTH(C206,0)),INDEX('06_Target KPI'!$E$5:$P$100,MATCH(F206,'06_Target KPI'!$B$5:$B$100,0),MATCH(A206,'06_Target KPI'!$E$4:$P$4,0)))),0)</f>
        <v>0</v>
      </c>
      <c r="I206" s="24"/>
      <c r="J206" s="27">
        <f>IFERROR(MIN(IF(VLOOKUP(F206,'05_Master KPI'!$B$5:$G$100,5,FALSE)="Lower",H206/I206,I206/H206),1),0)</f>
        <v>0</v>
      </c>
      <c r="K206" s="26">
        <f>IFERROR(VLOOKUP(F206,'05_Master KPI'!$B$5:$G$100,4,FALSE),0)</f>
        <v>0</v>
      </c>
      <c r="L206" s="28">
        <f t="shared" si="3"/>
        <v>0</v>
      </c>
      <c r="M206" s="26" t="str">
        <f>IF(D206="","",IF(J206&gt;='13_Setting'!$H$7,"Tercapai",IF(J206&gt;='13_Setting'!$H$6,"On Track","Tertinggal")))</f>
        <v/>
      </c>
      <c r="N206" s="24"/>
    </row>
    <row r="207" spans="1:14">
      <c r="A207" s="24"/>
      <c r="B207" s="24"/>
      <c r="C207" s="25"/>
      <c r="D207" s="24"/>
      <c r="E207" s="26" t="str">
        <f>IFERROR(VLOOKUP(D207,'04_Master Karyawan'!$A$5:$F$50,2,FALSE),"")</f>
        <v/>
      </c>
      <c r="F207" s="24"/>
      <c r="G207" s="26" t="str">
        <f>IFERROR(VLOOKUP(F207,'05_Master KPI'!$B$5:$G$100,2,FALSE)&amp;" ("&amp;VLOOKUP(F207,'05_Master KPI'!$B$5:$G$100,3,FALSE)&amp;")","")</f>
        <v/>
      </c>
      <c r="H207" s="26">
        <f>IFERROR(IF(B207&lt;&gt;'06_Target KPI'!$B$3,0,IF(VLOOKUP(F207,'05_Master KPI'!$B$5:$G$100,6,FALSE)="Kumulatif",INDEX('06_Target KPI'!$E$5:$P$100,MATCH(F207,'06_Target KPI'!$B$5:$B$100,0),MATCH(A207,'06_Target KPI'!$E$4:$P$4,0))*DAY(C207)/DAY(EOMONTH(C207,0)),INDEX('06_Target KPI'!$E$5:$P$100,MATCH(F207,'06_Target KPI'!$B$5:$B$100,0),MATCH(A207,'06_Target KPI'!$E$4:$P$4,0)))),0)</f>
        <v>0</v>
      </c>
      <c r="I207" s="24"/>
      <c r="J207" s="27">
        <f>IFERROR(MIN(IF(VLOOKUP(F207,'05_Master KPI'!$B$5:$G$100,5,FALSE)="Lower",H207/I207,I207/H207),1),0)</f>
        <v>0</v>
      </c>
      <c r="K207" s="26">
        <f>IFERROR(VLOOKUP(F207,'05_Master KPI'!$B$5:$G$100,4,FALSE),0)</f>
        <v>0</v>
      </c>
      <c r="L207" s="28">
        <f t="shared" si="3"/>
        <v>0</v>
      </c>
      <c r="M207" s="26" t="str">
        <f>IF(D207="","",IF(J207&gt;='13_Setting'!$H$7,"Tercapai",IF(J207&gt;='13_Setting'!$H$6,"On Track","Tertinggal")))</f>
        <v/>
      </c>
      <c r="N207" s="24"/>
    </row>
    <row r="208" spans="1:14">
      <c r="A208" s="24"/>
      <c r="B208" s="24"/>
      <c r="C208" s="25"/>
      <c r="D208" s="24"/>
      <c r="E208" s="26" t="str">
        <f>IFERROR(VLOOKUP(D208,'04_Master Karyawan'!$A$5:$F$50,2,FALSE),"")</f>
        <v/>
      </c>
      <c r="F208" s="24"/>
      <c r="G208" s="26" t="str">
        <f>IFERROR(VLOOKUP(F208,'05_Master KPI'!$B$5:$G$100,2,FALSE)&amp;" ("&amp;VLOOKUP(F208,'05_Master KPI'!$B$5:$G$100,3,FALSE)&amp;")","")</f>
        <v/>
      </c>
      <c r="H208" s="26">
        <f>IFERROR(IF(B208&lt;&gt;'06_Target KPI'!$B$3,0,IF(VLOOKUP(F208,'05_Master KPI'!$B$5:$G$100,6,FALSE)="Kumulatif",INDEX('06_Target KPI'!$E$5:$P$100,MATCH(F208,'06_Target KPI'!$B$5:$B$100,0),MATCH(A208,'06_Target KPI'!$E$4:$P$4,0))*DAY(C208)/DAY(EOMONTH(C208,0)),INDEX('06_Target KPI'!$E$5:$P$100,MATCH(F208,'06_Target KPI'!$B$5:$B$100,0),MATCH(A208,'06_Target KPI'!$E$4:$P$4,0)))),0)</f>
        <v>0</v>
      </c>
      <c r="I208" s="24"/>
      <c r="J208" s="27">
        <f>IFERROR(MIN(IF(VLOOKUP(F208,'05_Master KPI'!$B$5:$G$100,5,FALSE)="Lower",H208/I208,I208/H208),1),0)</f>
        <v>0</v>
      </c>
      <c r="K208" s="26">
        <f>IFERROR(VLOOKUP(F208,'05_Master KPI'!$B$5:$G$100,4,FALSE),0)</f>
        <v>0</v>
      </c>
      <c r="L208" s="28">
        <f t="shared" si="3"/>
        <v>0</v>
      </c>
      <c r="M208" s="26" t="str">
        <f>IF(D208="","",IF(J208&gt;='13_Setting'!$H$7,"Tercapai",IF(J208&gt;='13_Setting'!$H$6,"On Track","Tertinggal")))</f>
        <v/>
      </c>
      <c r="N208" s="24"/>
    </row>
    <row r="209" spans="1:14">
      <c r="A209" s="24"/>
      <c r="B209" s="24"/>
      <c r="C209" s="25"/>
      <c r="D209" s="24"/>
      <c r="E209" s="26" t="str">
        <f>IFERROR(VLOOKUP(D209,'04_Master Karyawan'!$A$5:$F$50,2,FALSE),"")</f>
        <v/>
      </c>
      <c r="F209" s="24"/>
      <c r="G209" s="26" t="str">
        <f>IFERROR(VLOOKUP(F209,'05_Master KPI'!$B$5:$G$100,2,FALSE)&amp;" ("&amp;VLOOKUP(F209,'05_Master KPI'!$B$5:$G$100,3,FALSE)&amp;")","")</f>
        <v/>
      </c>
      <c r="H209" s="26">
        <f>IFERROR(IF(B209&lt;&gt;'06_Target KPI'!$B$3,0,IF(VLOOKUP(F209,'05_Master KPI'!$B$5:$G$100,6,FALSE)="Kumulatif",INDEX('06_Target KPI'!$E$5:$P$100,MATCH(F209,'06_Target KPI'!$B$5:$B$100,0),MATCH(A209,'06_Target KPI'!$E$4:$P$4,0))*DAY(C209)/DAY(EOMONTH(C209,0)),INDEX('06_Target KPI'!$E$5:$P$100,MATCH(F209,'06_Target KPI'!$B$5:$B$100,0),MATCH(A209,'06_Target KPI'!$E$4:$P$4,0)))),0)</f>
        <v>0</v>
      </c>
      <c r="I209" s="24"/>
      <c r="J209" s="27">
        <f>IFERROR(MIN(IF(VLOOKUP(F209,'05_Master KPI'!$B$5:$G$100,5,FALSE)="Lower",H209/I209,I209/H209),1),0)</f>
        <v>0</v>
      </c>
      <c r="K209" s="26">
        <f>IFERROR(VLOOKUP(F209,'05_Master KPI'!$B$5:$G$100,4,FALSE),0)</f>
        <v>0</v>
      </c>
      <c r="L209" s="28">
        <f t="shared" si="3"/>
        <v>0</v>
      </c>
      <c r="M209" s="26" t="str">
        <f>IF(D209="","",IF(J209&gt;='13_Setting'!$H$7,"Tercapai",IF(J209&gt;='13_Setting'!$H$6,"On Track","Tertinggal")))</f>
        <v/>
      </c>
      <c r="N209" s="24"/>
    </row>
    <row r="210" spans="1:14">
      <c r="A210" s="24"/>
      <c r="B210" s="24"/>
      <c r="C210" s="25"/>
      <c r="D210" s="24"/>
      <c r="E210" s="26" t="str">
        <f>IFERROR(VLOOKUP(D210,'04_Master Karyawan'!$A$5:$F$50,2,FALSE),"")</f>
        <v/>
      </c>
      <c r="F210" s="24"/>
      <c r="G210" s="26" t="str">
        <f>IFERROR(VLOOKUP(F210,'05_Master KPI'!$B$5:$G$100,2,FALSE)&amp;" ("&amp;VLOOKUP(F210,'05_Master KPI'!$B$5:$G$100,3,FALSE)&amp;")","")</f>
        <v/>
      </c>
      <c r="H210" s="26">
        <f>IFERROR(IF(B210&lt;&gt;'06_Target KPI'!$B$3,0,IF(VLOOKUP(F210,'05_Master KPI'!$B$5:$G$100,6,FALSE)="Kumulatif",INDEX('06_Target KPI'!$E$5:$P$100,MATCH(F210,'06_Target KPI'!$B$5:$B$100,0),MATCH(A210,'06_Target KPI'!$E$4:$P$4,0))*DAY(C210)/DAY(EOMONTH(C210,0)),INDEX('06_Target KPI'!$E$5:$P$100,MATCH(F210,'06_Target KPI'!$B$5:$B$100,0),MATCH(A210,'06_Target KPI'!$E$4:$P$4,0)))),0)</f>
        <v>0</v>
      </c>
      <c r="I210" s="24"/>
      <c r="J210" s="27">
        <f>IFERROR(MIN(IF(VLOOKUP(F210,'05_Master KPI'!$B$5:$G$100,5,FALSE)="Lower",H210/I210,I210/H210),1),0)</f>
        <v>0</v>
      </c>
      <c r="K210" s="26">
        <f>IFERROR(VLOOKUP(F210,'05_Master KPI'!$B$5:$G$100,4,FALSE),0)</f>
        <v>0</v>
      </c>
      <c r="L210" s="28">
        <f t="shared" si="3"/>
        <v>0</v>
      </c>
      <c r="M210" s="26" t="str">
        <f>IF(D210="","",IF(J210&gt;='13_Setting'!$H$7,"Tercapai",IF(J210&gt;='13_Setting'!$H$6,"On Track","Tertinggal")))</f>
        <v/>
      </c>
      <c r="N210" s="24"/>
    </row>
    <row r="211" spans="1:14">
      <c r="A211" s="24"/>
      <c r="B211" s="24"/>
      <c r="C211" s="25"/>
      <c r="D211" s="24"/>
      <c r="E211" s="26" t="str">
        <f>IFERROR(VLOOKUP(D211,'04_Master Karyawan'!$A$5:$F$50,2,FALSE),"")</f>
        <v/>
      </c>
      <c r="F211" s="24"/>
      <c r="G211" s="26" t="str">
        <f>IFERROR(VLOOKUP(F211,'05_Master KPI'!$B$5:$G$100,2,FALSE)&amp;" ("&amp;VLOOKUP(F211,'05_Master KPI'!$B$5:$G$100,3,FALSE)&amp;")","")</f>
        <v/>
      </c>
      <c r="H211" s="26">
        <f>IFERROR(IF(B211&lt;&gt;'06_Target KPI'!$B$3,0,IF(VLOOKUP(F211,'05_Master KPI'!$B$5:$G$100,6,FALSE)="Kumulatif",INDEX('06_Target KPI'!$E$5:$P$100,MATCH(F211,'06_Target KPI'!$B$5:$B$100,0),MATCH(A211,'06_Target KPI'!$E$4:$P$4,0))*DAY(C211)/DAY(EOMONTH(C211,0)),INDEX('06_Target KPI'!$E$5:$P$100,MATCH(F211,'06_Target KPI'!$B$5:$B$100,0),MATCH(A211,'06_Target KPI'!$E$4:$P$4,0)))),0)</f>
        <v>0</v>
      </c>
      <c r="I211" s="24"/>
      <c r="J211" s="27">
        <f>IFERROR(MIN(IF(VLOOKUP(F211,'05_Master KPI'!$B$5:$G$100,5,FALSE)="Lower",H211/I211,I211/H211),1),0)</f>
        <v>0</v>
      </c>
      <c r="K211" s="26">
        <f>IFERROR(VLOOKUP(F211,'05_Master KPI'!$B$5:$G$100,4,FALSE),0)</f>
        <v>0</v>
      </c>
      <c r="L211" s="28">
        <f t="shared" si="3"/>
        <v>0</v>
      </c>
      <c r="M211" s="26" t="str">
        <f>IF(D211="","",IF(J211&gt;='13_Setting'!$H$7,"Tercapai",IF(J211&gt;='13_Setting'!$H$6,"On Track","Tertinggal")))</f>
        <v/>
      </c>
      <c r="N211" s="24"/>
    </row>
    <row r="212" spans="1:14">
      <c r="A212" s="24"/>
      <c r="B212" s="24"/>
      <c r="C212" s="25"/>
      <c r="D212" s="24"/>
      <c r="E212" s="26" t="str">
        <f>IFERROR(VLOOKUP(D212,'04_Master Karyawan'!$A$5:$F$50,2,FALSE),"")</f>
        <v/>
      </c>
      <c r="F212" s="24"/>
      <c r="G212" s="26" t="str">
        <f>IFERROR(VLOOKUP(F212,'05_Master KPI'!$B$5:$G$100,2,FALSE)&amp;" ("&amp;VLOOKUP(F212,'05_Master KPI'!$B$5:$G$100,3,FALSE)&amp;")","")</f>
        <v/>
      </c>
      <c r="H212" s="26">
        <f>IFERROR(IF(B212&lt;&gt;'06_Target KPI'!$B$3,0,IF(VLOOKUP(F212,'05_Master KPI'!$B$5:$G$100,6,FALSE)="Kumulatif",INDEX('06_Target KPI'!$E$5:$P$100,MATCH(F212,'06_Target KPI'!$B$5:$B$100,0),MATCH(A212,'06_Target KPI'!$E$4:$P$4,0))*DAY(C212)/DAY(EOMONTH(C212,0)),INDEX('06_Target KPI'!$E$5:$P$100,MATCH(F212,'06_Target KPI'!$B$5:$B$100,0),MATCH(A212,'06_Target KPI'!$E$4:$P$4,0)))),0)</f>
        <v>0</v>
      </c>
      <c r="I212" s="24"/>
      <c r="J212" s="27">
        <f>IFERROR(MIN(IF(VLOOKUP(F212,'05_Master KPI'!$B$5:$G$100,5,FALSE)="Lower",H212/I212,I212/H212),1),0)</f>
        <v>0</v>
      </c>
      <c r="K212" s="26">
        <f>IFERROR(VLOOKUP(F212,'05_Master KPI'!$B$5:$G$100,4,FALSE),0)</f>
        <v>0</v>
      </c>
      <c r="L212" s="28">
        <f t="shared" si="3"/>
        <v>0</v>
      </c>
      <c r="M212" s="26" t="str">
        <f>IF(D212="","",IF(J212&gt;='13_Setting'!$H$7,"Tercapai",IF(J212&gt;='13_Setting'!$H$6,"On Track","Tertinggal")))</f>
        <v/>
      </c>
      <c r="N212" s="24"/>
    </row>
    <row r="213" spans="1:14">
      <c r="A213" s="24"/>
      <c r="B213" s="24"/>
      <c r="C213" s="25"/>
      <c r="D213" s="24"/>
      <c r="E213" s="26" t="str">
        <f>IFERROR(VLOOKUP(D213,'04_Master Karyawan'!$A$5:$F$50,2,FALSE),"")</f>
        <v/>
      </c>
      <c r="F213" s="24"/>
      <c r="G213" s="26" t="str">
        <f>IFERROR(VLOOKUP(F213,'05_Master KPI'!$B$5:$G$100,2,FALSE)&amp;" ("&amp;VLOOKUP(F213,'05_Master KPI'!$B$5:$G$100,3,FALSE)&amp;")","")</f>
        <v/>
      </c>
      <c r="H213" s="26">
        <f>IFERROR(IF(B213&lt;&gt;'06_Target KPI'!$B$3,0,IF(VLOOKUP(F213,'05_Master KPI'!$B$5:$G$100,6,FALSE)="Kumulatif",INDEX('06_Target KPI'!$E$5:$P$100,MATCH(F213,'06_Target KPI'!$B$5:$B$100,0),MATCH(A213,'06_Target KPI'!$E$4:$P$4,0))*DAY(C213)/DAY(EOMONTH(C213,0)),INDEX('06_Target KPI'!$E$5:$P$100,MATCH(F213,'06_Target KPI'!$B$5:$B$100,0),MATCH(A213,'06_Target KPI'!$E$4:$P$4,0)))),0)</f>
        <v>0</v>
      </c>
      <c r="I213" s="24"/>
      <c r="J213" s="27">
        <f>IFERROR(MIN(IF(VLOOKUP(F213,'05_Master KPI'!$B$5:$G$100,5,FALSE)="Lower",H213/I213,I213/H213),1),0)</f>
        <v>0</v>
      </c>
      <c r="K213" s="26">
        <f>IFERROR(VLOOKUP(F213,'05_Master KPI'!$B$5:$G$100,4,FALSE),0)</f>
        <v>0</v>
      </c>
      <c r="L213" s="28">
        <f t="shared" si="3"/>
        <v>0</v>
      </c>
      <c r="M213" s="26" t="str">
        <f>IF(D213="","",IF(J213&gt;='13_Setting'!$H$7,"Tercapai",IF(J213&gt;='13_Setting'!$H$6,"On Track","Tertinggal")))</f>
        <v/>
      </c>
      <c r="N213" s="24"/>
    </row>
    <row r="214" spans="1:14">
      <c r="A214" s="24"/>
      <c r="B214" s="24"/>
      <c r="C214" s="25"/>
      <c r="D214" s="24"/>
      <c r="E214" s="26" t="str">
        <f>IFERROR(VLOOKUP(D214,'04_Master Karyawan'!$A$5:$F$50,2,FALSE),"")</f>
        <v/>
      </c>
      <c r="F214" s="24"/>
      <c r="G214" s="26" t="str">
        <f>IFERROR(VLOOKUP(F214,'05_Master KPI'!$B$5:$G$100,2,FALSE)&amp;" ("&amp;VLOOKUP(F214,'05_Master KPI'!$B$5:$G$100,3,FALSE)&amp;")","")</f>
        <v/>
      </c>
      <c r="H214" s="26">
        <f>IFERROR(IF(B214&lt;&gt;'06_Target KPI'!$B$3,0,IF(VLOOKUP(F214,'05_Master KPI'!$B$5:$G$100,6,FALSE)="Kumulatif",INDEX('06_Target KPI'!$E$5:$P$100,MATCH(F214,'06_Target KPI'!$B$5:$B$100,0),MATCH(A214,'06_Target KPI'!$E$4:$P$4,0))*DAY(C214)/DAY(EOMONTH(C214,0)),INDEX('06_Target KPI'!$E$5:$P$100,MATCH(F214,'06_Target KPI'!$B$5:$B$100,0),MATCH(A214,'06_Target KPI'!$E$4:$P$4,0)))),0)</f>
        <v>0</v>
      </c>
      <c r="I214" s="24"/>
      <c r="J214" s="27">
        <f>IFERROR(MIN(IF(VLOOKUP(F214,'05_Master KPI'!$B$5:$G$100,5,FALSE)="Lower",H214/I214,I214/H214),1),0)</f>
        <v>0</v>
      </c>
      <c r="K214" s="26">
        <f>IFERROR(VLOOKUP(F214,'05_Master KPI'!$B$5:$G$100,4,FALSE),0)</f>
        <v>0</v>
      </c>
      <c r="L214" s="28">
        <f t="shared" si="3"/>
        <v>0</v>
      </c>
      <c r="M214" s="26" t="str">
        <f>IF(D214="","",IF(J214&gt;='13_Setting'!$H$7,"Tercapai",IF(J214&gt;='13_Setting'!$H$6,"On Track","Tertinggal")))</f>
        <v/>
      </c>
      <c r="N214" s="24"/>
    </row>
    <row r="215" spans="1:14">
      <c r="A215" s="24"/>
      <c r="B215" s="24"/>
      <c r="C215" s="25"/>
      <c r="D215" s="24"/>
      <c r="E215" s="26" t="str">
        <f>IFERROR(VLOOKUP(D215,'04_Master Karyawan'!$A$5:$F$50,2,FALSE),"")</f>
        <v/>
      </c>
      <c r="F215" s="24"/>
      <c r="G215" s="26" t="str">
        <f>IFERROR(VLOOKUP(F215,'05_Master KPI'!$B$5:$G$100,2,FALSE)&amp;" ("&amp;VLOOKUP(F215,'05_Master KPI'!$B$5:$G$100,3,FALSE)&amp;")","")</f>
        <v/>
      </c>
      <c r="H215" s="26">
        <f>IFERROR(IF(B215&lt;&gt;'06_Target KPI'!$B$3,0,IF(VLOOKUP(F215,'05_Master KPI'!$B$5:$G$100,6,FALSE)="Kumulatif",INDEX('06_Target KPI'!$E$5:$P$100,MATCH(F215,'06_Target KPI'!$B$5:$B$100,0),MATCH(A215,'06_Target KPI'!$E$4:$P$4,0))*DAY(C215)/DAY(EOMONTH(C215,0)),INDEX('06_Target KPI'!$E$5:$P$100,MATCH(F215,'06_Target KPI'!$B$5:$B$100,0),MATCH(A215,'06_Target KPI'!$E$4:$P$4,0)))),0)</f>
        <v>0</v>
      </c>
      <c r="I215" s="24"/>
      <c r="J215" s="27">
        <f>IFERROR(MIN(IF(VLOOKUP(F215,'05_Master KPI'!$B$5:$G$100,5,FALSE)="Lower",H215/I215,I215/H215),1),0)</f>
        <v>0</v>
      </c>
      <c r="K215" s="26">
        <f>IFERROR(VLOOKUP(F215,'05_Master KPI'!$B$5:$G$100,4,FALSE),0)</f>
        <v>0</v>
      </c>
      <c r="L215" s="28">
        <f t="shared" si="3"/>
        <v>0</v>
      </c>
      <c r="M215" s="26" t="str">
        <f>IF(D215="","",IF(J215&gt;='13_Setting'!$H$7,"Tercapai",IF(J215&gt;='13_Setting'!$H$6,"On Track","Tertinggal")))</f>
        <v/>
      </c>
      <c r="N215" s="24"/>
    </row>
    <row r="216" spans="1:14">
      <c r="A216" s="24"/>
      <c r="B216" s="24"/>
      <c r="C216" s="25"/>
      <c r="D216" s="24"/>
      <c r="E216" s="26" t="str">
        <f>IFERROR(VLOOKUP(D216,'04_Master Karyawan'!$A$5:$F$50,2,FALSE),"")</f>
        <v/>
      </c>
      <c r="F216" s="24"/>
      <c r="G216" s="26" t="str">
        <f>IFERROR(VLOOKUP(F216,'05_Master KPI'!$B$5:$G$100,2,FALSE)&amp;" ("&amp;VLOOKUP(F216,'05_Master KPI'!$B$5:$G$100,3,FALSE)&amp;")","")</f>
        <v/>
      </c>
      <c r="H216" s="26">
        <f>IFERROR(IF(B216&lt;&gt;'06_Target KPI'!$B$3,0,IF(VLOOKUP(F216,'05_Master KPI'!$B$5:$G$100,6,FALSE)="Kumulatif",INDEX('06_Target KPI'!$E$5:$P$100,MATCH(F216,'06_Target KPI'!$B$5:$B$100,0),MATCH(A216,'06_Target KPI'!$E$4:$P$4,0))*DAY(C216)/DAY(EOMONTH(C216,0)),INDEX('06_Target KPI'!$E$5:$P$100,MATCH(F216,'06_Target KPI'!$B$5:$B$100,0),MATCH(A216,'06_Target KPI'!$E$4:$P$4,0)))),0)</f>
        <v>0</v>
      </c>
      <c r="I216" s="24"/>
      <c r="J216" s="27">
        <f>IFERROR(MIN(IF(VLOOKUP(F216,'05_Master KPI'!$B$5:$G$100,5,FALSE)="Lower",H216/I216,I216/H216),1),0)</f>
        <v>0</v>
      </c>
      <c r="K216" s="26">
        <f>IFERROR(VLOOKUP(F216,'05_Master KPI'!$B$5:$G$100,4,FALSE),0)</f>
        <v>0</v>
      </c>
      <c r="L216" s="28">
        <f t="shared" si="3"/>
        <v>0</v>
      </c>
      <c r="M216" s="26" t="str">
        <f>IF(D216="","",IF(J216&gt;='13_Setting'!$H$7,"Tercapai",IF(J216&gt;='13_Setting'!$H$6,"On Track","Tertinggal")))</f>
        <v/>
      </c>
      <c r="N216" s="24"/>
    </row>
    <row r="217" spans="1:14">
      <c r="A217" s="24"/>
      <c r="B217" s="24"/>
      <c r="C217" s="25"/>
      <c r="D217" s="24"/>
      <c r="E217" s="26" t="str">
        <f>IFERROR(VLOOKUP(D217,'04_Master Karyawan'!$A$5:$F$50,2,FALSE),"")</f>
        <v/>
      </c>
      <c r="F217" s="24"/>
      <c r="G217" s="26" t="str">
        <f>IFERROR(VLOOKUP(F217,'05_Master KPI'!$B$5:$G$100,2,FALSE)&amp;" ("&amp;VLOOKUP(F217,'05_Master KPI'!$B$5:$G$100,3,FALSE)&amp;")","")</f>
        <v/>
      </c>
      <c r="H217" s="26">
        <f>IFERROR(IF(B217&lt;&gt;'06_Target KPI'!$B$3,0,IF(VLOOKUP(F217,'05_Master KPI'!$B$5:$G$100,6,FALSE)="Kumulatif",INDEX('06_Target KPI'!$E$5:$P$100,MATCH(F217,'06_Target KPI'!$B$5:$B$100,0),MATCH(A217,'06_Target KPI'!$E$4:$P$4,0))*DAY(C217)/DAY(EOMONTH(C217,0)),INDEX('06_Target KPI'!$E$5:$P$100,MATCH(F217,'06_Target KPI'!$B$5:$B$100,0),MATCH(A217,'06_Target KPI'!$E$4:$P$4,0)))),0)</f>
        <v>0</v>
      </c>
      <c r="I217" s="24"/>
      <c r="J217" s="27">
        <f>IFERROR(MIN(IF(VLOOKUP(F217,'05_Master KPI'!$B$5:$G$100,5,FALSE)="Lower",H217/I217,I217/H217),1),0)</f>
        <v>0</v>
      </c>
      <c r="K217" s="26">
        <f>IFERROR(VLOOKUP(F217,'05_Master KPI'!$B$5:$G$100,4,FALSE),0)</f>
        <v>0</v>
      </c>
      <c r="L217" s="28">
        <f t="shared" si="3"/>
        <v>0</v>
      </c>
      <c r="M217" s="26" t="str">
        <f>IF(D217="","",IF(J217&gt;='13_Setting'!$H$7,"Tercapai",IF(J217&gt;='13_Setting'!$H$6,"On Track","Tertinggal")))</f>
        <v/>
      </c>
      <c r="N217" s="24"/>
    </row>
    <row r="218" spans="1:14">
      <c r="A218" s="24"/>
      <c r="B218" s="24"/>
      <c r="C218" s="25"/>
      <c r="D218" s="24"/>
      <c r="E218" s="26" t="str">
        <f>IFERROR(VLOOKUP(D218,'04_Master Karyawan'!$A$5:$F$50,2,FALSE),"")</f>
        <v/>
      </c>
      <c r="F218" s="24"/>
      <c r="G218" s="26" t="str">
        <f>IFERROR(VLOOKUP(F218,'05_Master KPI'!$B$5:$G$100,2,FALSE)&amp;" ("&amp;VLOOKUP(F218,'05_Master KPI'!$B$5:$G$100,3,FALSE)&amp;")","")</f>
        <v/>
      </c>
      <c r="H218" s="26">
        <f>IFERROR(IF(B218&lt;&gt;'06_Target KPI'!$B$3,0,IF(VLOOKUP(F218,'05_Master KPI'!$B$5:$G$100,6,FALSE)="Kumulatif",INDEX('06_Target KPI'!$E$5:$P$100,MATCH(F218,'06_Target KPI'!$B$5:$B$100,0),MATCH(A218,'06_Target KPI'!$E$4:$P$4,0))*DAY(C218)/DAY(EOMONTH(C218,0)),INDEX('06_Target KPI'!$E$5:$P$100,MATCH(F218,'06_Target KPI'!$B$5:$B$100,0),MATCH(A218,'06_Target KPI'!$E$4:$P$4,0)))),0)</f>
        <v>0</v>
      </c>
      <c r="I218" s="24"/>
      <c r="J218" s="27">
        <f>IFERROR(MIN(IF(VLOOKUP(F218,'05_Master KPI'!$B$5:$G$100,5,FALSE)="Lower",H218/I218,I218/H218),1),0)</f>
        <v>0</v>
      </c>
      <c r="K218" s="26">
        <f>IFERROR(VLOOKUP(F218,'05_Master KPI'!$B$5:$G$100,4,FALSE),0)</f>
        <v>0</v>
      </c>
      <c r="L218" s="28">
        <f t="shared" si="3"/>
        <v>0</v>
      </c>
      <c r="M218" s="26" t="str">
        <f>IF(D218="","",IF(J218&gt;='13_Setting'!$H$7,"Tercapai",IF(J218&gt;='13_Setting'!$H$6,"On Track","Tertinggal")))</f>
        <v/>
      </c>
      <c r="N218" s="24"/>
    </row>
    <row r="219" spans="1:14">
      <c r="A219" s="24"/>
      <c r="B219" s="24"/>
      <c r="C219" s="25"/>
      <c r="D219" s="24"/>
      <c r="E219" s="26" t="str">
        <f>IFERROR(VLOOKUP(D219,'04_Master Karyawan'!$A$5:$F$50,2,FALSE),"")</f>
        <v/>
      </c>
      <c r="F219" s="24"/>
      <c r="G219" s="26" t="str">
        <f>IFERROR(VLOOKUP(F219,'05_Master KPI'!$B$5:$G$100,2,FALSE)&amp;" ("&amp;VLOOKUP(F219,'05_Master KPI'!$B$5:$G$100,3,FALSE)&amp;")","")</f>
        <v/>
      </c>
      <c r="H219" s="26">
        <f>IFERROR(IF(B219&lt;&gt;'06_Target KPI'!$B$3,0,IF(VLOOKUP(F219,'05_Master KPI'!$B$5:$G$100,6,FALSE)="Kumulatif",INDEX('06_Target KPI'!$E$5:$P$100,MATCH(F219,'06_Target KPI'!$B$5:$B$100,0),MATCH(A219,'06_Target KPI'!$E$4:$P$4,0))*DAY(C219)/DAY(EOMONTH(C219,0)),INDEX('06_Target KPI'!$E$5:$P$100,MATCH(F219,'06_Target KPI'!$B$5:$B$100,0),MATCH(A219,'06_Target KPI'!$E$4:$P$4,0)))),0)</f>
        <v>0</v>
      </c>
      <c r="I219" s="24"/>
      <c r="J219" s="27">
        <f>IFERROR(MIN(IF(VLOOKUP(F219,'05_Master KPI'!$B$5:$G$100,5,FALSE)="Lower",H219/I219,I219/H219),1),0)</f>
        <v>0</v>
      </c>
      <c r="K219" s="26">
        <f>IFERROR(VLOOKUP(F219,'05_Master KPI'!$B$5:$G$100,4,FALSE),0)</f>
        <v>0</v>
      </c>
      <c r="L219" s="28">
        <f t="shared" si="3"/>
        <v>0</v>
      </c>
      <c r="M219" s="26" t="str">
        <f>IF(D219="","",IF(J219&gt;='13_Setting'!$H$7,"Tercapai",IF(J219&gt;='13_Setting'!$H$6,"On Track","Tertinggal")))</f>
        <v/>
      </c>
      <c r="N219" s="24"/>
    </row>
    <row r="220" spans="1:14">
      <c r="A220" s="24"/>
      <c r="B220" s="24"/>
      <c r="C220" s="25"/>
      <c r="D220" s="24"/>
      <c r="E220" s="26" t="str">
        <f>IFERROR(VLOOKUP(D220,'04_Master Karyawan'!$A$5:$F$50,2,FALSE),"")</f>
        <v/>
      </c>
      <c r="F220" s="24"/>
      <c r="G220" s="26" t="str">
        <f>IFERROR(VLOOKUP(F220,'05_Master KPI'!$B$5:$G$100,2,FALSE)&amp;" ("&amp;VLOOKUP(F220,'05_Master KPI'!$B$5:$G$100,3,FALSE)&amp;")","")</f>
        <v/>
      </c>
      <c r="H220" s="26">
        <f>IFERROR(IF(B220&lt;&gt;'06_Target KPI'!$B$3,0,IF(VLOOKUP(F220,'05_Master KPI'!$B$5:$G$100,6,FALSE)="Kumulatif",INDEX('06_Target KPI'!$E$5:$P$100,MATCH(F220,'06_Target KPI'!$B$5:$B$100,0),MATCH(A220,'06_Target KPI'!$E$4:$P$4,0))*DAY(C220)/DAY(EOMONTH(C220,0)),INDEX('06_Target KPI'!$E$5:$P$100,MATCH(F220,'06_Target KPI'!$B$5:$B$100,0),MATCH(A220,'06_Target KPI'!$E$4:$P$4,0)))),0)</f>
        <v>0</v>
      </c>
      <c r="I220" s="24"/>
      <c r="J220" s="27">
        <f>IFERROR(MIN(IF(VLOOKUP(F220,'05_Master KPI'!$B$5:$G$100,5,FALSE)="Lower",H220/I220,I220/H220),1),0)</f>
        <v>0</v>
      </c>
      <c r="K220" s="26">
        <f>IFERROR(VLOOKUP(F220,'05_Master KPI'!$B$5:$G$100,4,FALSE),0)</f>
        <v>0</v>
      </c>
      <c r="L220" s="28">
        <f t="shared" si="3"/>
        <v>0</v>
      </c>
      <c r="M220" s="26" t="str">
        <f>IF(D220="","",IF(J220&gt;='13_Setting'!$H$7,"Tercapai",IF(J220&gt;='13_Setting'!$H$6,"On Track","Tertinggal")))</f>
        <v/>
      </c>
      <c r="N220" s="24"/>
    </row>
    <row r="221" spans="1:14">
      <c r="A221" s="24"/>
      <c r="B221" s="24"/>
      <c r="C221" s="25"/>
      <c r="D221" s="24"/>
      <c r="E221" s="26" t="str">
        <f>IFERROR(VLOOKUP(D221,'04_Master Karyawan'!$A$5:$F$50,2,FALSE),"")</f>
        <v/>
      </c>
      <c r="F221" s="24"/>
      <c r="G221" s="26" t="str">
        <f>IFERROR(VLOOKUP(F221,'05_Master KPI'!$B$5:$G$100,2,FALSE)&amp;" ("&amp;VLOOKUP(F221,'05_Master KPI'!$B$5:$G$100,3,FALSE)&amp;")","")</f>
        <v/>
      </c>
      <c r="H221" s="26">
        <f>IFERROR(IF(B221&lt;&gt;'06_Target KPI'!$B$3,0,IF(VLOOKUP(F221,'05_Master KPI'!$B$5:$G$100,6,FALSE)="Kumulatif",INDEX('06_Target KPI'!$E$5:$P$100,MATCH(F221,'06_Target KPI'!$B$5:$B$100,0),MATCH(A221,'06_Target KPI'!$E$4:$P$4,0))*DAY(C221)/DAY(EOMONTH(C221,0)),INDEX('06_Target KPI'!$E$5:$P$100,MATCH(F221,'06_Target KPI'!$B$5:$B$100,0),MATCH(A221,'06_Target KPI'!$E$4:$P$4,0)))),0)</f>
        <v>0</v>
      </c>
      <c r="I221" s="24"/>
      <c r="J221" s="27">
        <f>IFERROR(MIN(IF(VLOOKUP(F221,'05_Master KPI'!$B$5:$G$100,5,FALSE)="Lower",H221/I221,I221/H221),1),0)</f>
        <v>0</v>
      </c>
      <c r="K221" s="26">
        <f>IFERROR(VLOOKUP(F221,'05_Master KPI'!$B$5:$G$100,4,FALSE),0)</f>
        <v>0</v>
      </c>
      <c r="L221" s="28">
        <f t="shared" si="3"/>
        <v>0</v>
      </c>
      <c r="M221" s="26" t="str">
        <f>IF(D221="","",IF(J221&gt;='13_Setting'!$H$7,"Tercapai",IF(J221&gt;='13_Setting'!$H$6,"On Track","Tertinggal")))</f>
        <v/>
      </c>
      <c r="N221" s="24"/>
    </row>
    <row r="222" spans="1:14">
      <c r="A222" s="24"/>
      <c r="B222" s="24"/>
      <c r="C222" s="25"/>
      <c r="D222" s="24"/>
      <c r="E222" s="26" t="str">
        <f>IFERROR(VLOOKUP(D222,'04_Master Karyawan'!$A$5:$F$50,2,FALSE),"")</f>
        <v/>
      </c>
      <c r="F222" s="24"/>
      <c r="G222" s="26" t="str">
        <f>IFERROR(VLOOKUP(F222,'05_Master KPI'!$B$5:$G$100,2,FALSE)&amp;" ("&amp;VLOOKUP(F222,'05_Master KPI'!$B$5:$G$100,3,FALSE)&amp;")","")</f>
        <v/>
      </c>
      <c r="H222" s="26">
        <f>IFERROR(IF(B222&lt;&gt;'06_Target KPI'!$B$3,0,IF(VLOOKUP(F222,'05_Master KPI'!$B$5:$G$100,6,FALSE)="Kumulatif",INDEX('06_Target KPI'!$E$5:$P$100,MATCH(F222,'06_Target KPI'!$B$5:$B$100,0),MATCH(A222,'06_Target KPI'!$E$4:$P$4,0))*DAY(C222)/DAY(EOMONTH(C222,0)),INDEX('06_Target KPI'!$E$5:$P$100,MATCH(F222,'06_Target KPI'!$B$5:$B$100,0),MATCH(A222,'06_Target KPI'!$E$4:$P$4,0)))),0)</f>
        <v>0</v>
      </c>
      <c r="I222" s="24"/>
      <c r="J222" s="27">
        <f>IFERROR(MIN(IF(VLOOKUP(F222,'05_Master KPI'!$B$5:$G$100,5,FALSE)="Lower",H222/I222,I222/H222),1),0)</f>
        <v>0</v>
      </c>
      <c r="K222" s="26">
        <f>IFERROR(VLOOKUP(F222,'05_Master KPI'!$B$5:$G$100,4,FALSE),0)</f>
        <v>0</v>
      </c>
      <c r="L222" s="28">
        <f t="shared" si="3"/>
        <v>0</v>
      </c>
      <c r="M222" s="26" t="str">
        <f>IF(D222="","",IF(J222&gt;='13_Setting'!$H$7,"Tercapai",IF(J222&gt;='13_Setting'!$H$6,"On Track","Tertinggal")))</f>
        <v/>
      </c>
      <c r="N222" s="24"/>
    </row>
    <row r="223" spans="1:14">
      <c r="A223" s="24"/>
      <c r="B223" s="24"/>
      <c r="C223" s="25"/>
      <c r="D223" s="24"/>
      <c r="E223" s="26" t="str">
        <f>IFERROR(VLOOKUP(D223,'04_Master Karyawan'!$A$5:$F$50,2,FALSE),"")</f>
        <v/>
      </c>
      <c r="F223" s="24"/>
      <c r="G223" s="26" t="str">
        <f>IFERROR(VLOOKUP(F223,'05_Master KPI'!$B$5:$G$100,2,FALSE)&amp;" ("&amp;VLOOKUP(F223,'05_Master KPI'!$B$5:$G$100,3,FALSE)&amp;")","")</f>
        <v/>
      </c>
      <c r="H223" s="26">
        <f>IFERROR(IF(B223&lt;&gt;'06_Target KPI'!$B$3,0,IF(VLOOKUP(F223,'05_Master KPI'!$B$5:$G$100,6,FALSE)="Kumulatif",INDEX('06_Target KPI'!$E$5:$P$100,MATCH(F223,'06_Target KPI'!$B$5:$B$100,0),MATCH(A223,'06_Target KPI'!$E$4:$P$4,0))*DAY(C223)/DAY(EOMONTH(C223,0)),INDEX('06_Target KPI'!$E$5:$P$100,MATCH(F223,'06_Target KPI'!$B$5:$B$100,0),MATCH(A223,'06_Target KPI'!$E$4:$P$4,0)))),0)</f>
        <v>0</v>
      </c>
      <c r="I223" s="24"/>
      <c r="J223" s="27">
        <f>IFERROR(MIN(IF(VLOOKUP(F223,'05_Master KPI'!$B$5:$G$100,5,FALSE)="Lower",H223/I223,I223/H223),1),0)</f>
        <v>0</v>
      </c>
      <c r="K223" s="26">
        <f>IFERROR(VLOOKUP(F223,'05_Master KPI'!$B$5:$G$100,4,FALSE),0)</f>
        <v>0</v>
      </c>
      <c r="L223" s="28">
        <f t="shared" si="3"/>
        <v>0</v>
      </c>
      <c r="M223" s="26" t="str">
        <f>IF(D223="","",IF(J223&gt;='13_Setting'!$H$7,"Tercapai",IF(J223&gt;='13_Setting'!$H$6,"On Track","Tertinggal")))</f>
        <v/>
      </c>
      <c r="N223" s="24"/>
    </row>
    <row r="224" spans="1:14">
      <c r="A224" s="24"/>
      <c r="B224" s="24"/>
      <c r="C224" s="25"/>
      <c r="D224" s="24"/>
      <c r="E224" s="26" t="str">
        <f>IFERROR(VLOOKUP(D224,'04_Master Karyawan'!$A$5:$F$50,2,FALSE),"")</f>
        <v/>
      </c>
      <c r="F224" s="24"/>
      <c r="G224" s="26" t="str">
        <f>IFERROR(VLOOKUP(F224,'05_Master KPI'!$B$5:$G$100,2,FALSE)&amp;" ("&amp;VLOOKUP(F224,'05_Master KPI'!$B$5:$G$100,3,FALSE)&amp;")","")</f>
        <v/>
      </c>
      <c r="H224" s="26">
        <f>IFERROR(IF(B224&lt;&gt;'06_Target KPI'!$B$3,0,IF(VLOOKUP(F224,'05_Master KPI'!$B$5:$G$100,6,FALSE)="Kumulatif",INDEX('06_Target KPI'!$E$5:$P$100,MATCH(F224,'06_Target KPI'!$B$5:$B$100,0),MATCH(A224,'06_Target KPI'!$E$4:$P$4,0))*DAY(C224)/DAY(EOMONTH(C224,0)),INDEX('06_Target KPI'!$E$5:$P$100,MATCH(F224,'06_Target KPI'!$B$5:$B$100,0),MATCH(A224,'06_Target KPI'!$E$4:$P$4,0)))),0)</f>
        <v>0</v>
      </c>
      <c r="I224" s="24"/>
      <c r="J224" s="27">
        <f>IFERROR(MIN(IF(VLOOKUP(F224,'05_Master KPI'!$B$5:$G$100,5,FALSE)="Lower",H224/I224,I224/H224),1),0)</f>
        <v>0</v>
      </c>
      <c r="K224" s="26">
        <f>IFERROR(VLOOKUP(F224,'05_Master KPI'!$B$5:$G$100,4,FALSE),0)</f>
        <v>0</v>
      </c>
      <c r="L224" s="28">
        <f t="shared" si="3"/>
        <v>0</v>
      </c>
      <c r="M224" s="26" t="str">
        <f>IF(D224="","",IF(J224&gt;='13_Setting'!$H$7,"Tercapai",IF(J224&gt;='13_Setting'!$H$6,"On Track","Tertinggal")))</f>
        <v/>
      </c>
      <c r="N224" s="24"/>
    </row>
    <row r="225" spans="1:14">
      <c r="A225" s="24"/>
      <c r="B225" s="24"/>
      <c r="C225" s="25"/>
      <c r="D225" s="24"/>
      <c r="E225" s="26" t="str">
        <f>IFERROR(VLOOKUP(D225,'04_Master Karyawan'!$A$5:$F$50,2,FALSE),"")</f>
        <v/>
      </c>
      <c r="F225" s="24"/>
      <c r="G225" s="26" t="str">
        <f>IFERROR(VLOOKUP(F225,'05_Master KPI'!$B$5:$G$100,2,FALSE)&amp;" ("&amp;VLOOKUP(F225,'05_Master KPI'!$B$5:$G$100,3,FALSE)&amp;")","")</f>
        <v/>
      </c>
      <c r="H225" s="26">
        <f>IFERROR(IF(B225&lt;&gt;'06_Target KPI'!$B$3,0,IF(VLOOKUP(F225,'05_Master KPI'!$B$5:$G$100,6,FALSE)="Kumulatif",INDEX('06_Target KPI'!$E$5:$P$100,MATCH(F225,'06_Target KPI'!$B$5:$B$100,0),MATCH(A225,'06_Target KPI'!$E$4:$P$4,0))*DAY(C225)/DAY(EOMONTH(C225,0)),INDEX('06_Target KPI'!$E$5:$P$100,MATCH(F225,'06_Target KPI'!$B$5:$B$100,0),MATCH(A225,'06_Target KPI'!$E$4:$P$4,0)))),0)</f>
        <v>0</v>
      </c>
      <c r="I225" s="24"/>
      <c r="J225" s="27">
        <f>IFERROR(MIN(IF(VLOOKUP(F225,'05_Master KPI'!$B$5:$G$100,5,FALSE)="Lower",H225/I225,I225/H225),1),0)</f>
        <v>0</v>
      </c>
      <c r="K225" s="26">
        <f>IFERROR(VLOOKUP(F225,'05_Master KPI'!$B$5:$G$100,4,FALSE),0)</f>
        <v>0</v>
      </c>
      <c r="L225" s="28">
        <f t="shared" si="3"/>
        <v>0</v>
      </c>
      <c r="M225" s="26" t="str">
        <f>IF(D225="","",IF(J225&gt;='13_Setting'!$H$7,"Tercapai",IF(J225&gt;='13_Setting'!$H$6,"On Track","Tertinggal")))</f>
        <v/>
      </c>
      <c r="N225" s="24"/>
    </row>
    <row r="226" spans="1:14">
      <c r="A226" s="24"/>
      <c r="B226" s="24"/>
      <c r="C226" s="25"/>
      <c r="D226" s="24"/>
      <c r="E226" s="26" t="str">
        <f>IFERROR(VLOOKUP(D226,'04_Master Karyawan'!$A$5:$F$50,2,FALSE),"")</f>
        <v/>
      </c>
      <c r="F226" s="24"/>
      <c r="G226" s="26" t="str">
        <f>IFERROR(VLOOKUP(F226,'05_Master KPI'!$B$5:$G$100,2,FALSE)&amp;" ("&amp;VLOOKUP(F226,'05_Master KPI'!$B$5:$G$100,3,FALSE)&amp;")","")</f>
        <v/>
      </c>
      <c r="H226" s="26">
        <f>IFERROR(IF(B226&lt;&gt;'06_Target KPI'!$B$3,0,IF(VLOOKUP(F226,'05_Master KPI'!$B$5:$G$100,6,FALSE)="Kumulatif",INDEX('06_Target KPI'!$E$5:$P$100,MATCH(F226,'06_Target KPI'!$B$5:$B$100,0),MATCH(A226,'06_Target KPI'!$E$4:$P$4,0))*DAY(C226)/DAY(EOMONTH(C226,0)),INDEX('06_Target KPI'!$E$5:$P$100,MATCH(F226,'06_Target KPI'!$B$5:$B$100,0),MATCH(A226,'06_Target KPI'!$E$4:$P$4,0)))),0)</f>
        <v>0</v>
      </c>
      <c r="I226" s="24"/>
      <c r="J226" s="27">
        <f>IFERROR(MIN(IF(VLOOKUP(F226,'05_Master KPI'!$B$5:$G$100,5,FALSE)="Lower",H226/I226,I226/H226),1),0)</f>
        <v>0</v>
      </c>
      <c r="K226" s="26">
        <f>IFERROR(VLOOKUP(F226,'05_Master KPI'!$B$5:$G$100,4,FALSE),0)</f>
        <v>0</v>
      </c>
      <c r="L226" s="28">
        <f t="shared" si="3"/>
        <v>0</v>
      </c>
      <c r="M226" s="26" t="str">
        <f>IF(D226="","",IF(J226&gt;='13_Setting'!$H$7,"Tercapai",IF(J226&gt;='13_Setting'!$H$6,"On Track","Tertinggal")))</f>
        <v/>
      </c>
      <c r="N226" s="24"/>
    </row>
    <row r="227" spans="1:14">
      <c r="A227" s="24"/>
      <c r="B227" s="24"/>
      <c r="C227" s="25"/>
      <c r="D227" s="24"/>
      <c r="E227" s="26" t="str">
        <f>IFERROR(VLOOKUP(D227,'04_Master Karyawan'!$A$5:$F$50,2,FALSE),"")</f>
        <v/>
      </c>
      <c r="F227" s="24"/>
      <c r="G227" s="26" t="str">
        <f>IFERROR(VLOOKUP(F227,'05_Master KPI'!$B$5:$G$100,2,FALSE)&amp;" ("&amp;VLOOKUP(F227,'05_Master KPI'!$B$5:$G$100,3,FALSE)&amp;")","")</f>
        <v/>
      </c>
      <c r="H227" s="26">
        <f>IFERROR(IF(B227&lt;&gt;'06_Target KPI'!$B$3,0,IF(VLOOKUP(F227,'05_Master KPI'!$B$5:$G$100,6,FALSE)="Kumulatif",INDEX('06_Target KPI'!$E$5:$P$100,MATCH(F227,'06_Target KPI'!$B$5:$B$100,0),MATCH(A227,'06_Target KPI'!$E$4:$P$4,0))*DAY(C227)/DAY(EOMONTH(C227,0)),INDEX('06_Target KPI'!$E$5:$P$100,MATCH(F227,'06_Target KPI'!$B$5:$B$100,0),MATCH(A227,'06_Target KPI'!$E$4:$P$4,0)))),0)</f>
        <v>0</v>
      </c>
      <c r="I227" s="24"/>
      <c r="J227" s="27">
        <f>IFERROR(MIN(IF(VLOOKUP(F227,'05_Master KPI'!$B$5:$G$100,5,FALSE)="Lower",H227/I227,I227/H227),1),0)</f>
        <v>0</v>
      </c>
      <c r="K227" s="26">
        <f>IFERROR(VLOOKUP(F227,'05_Master KPI'!$B$5:$G$100,4,FALSE),0)</f>
        <v>0</v>
      </c>
      <c r="L227" s="28">
        <f t="shared" si="3"/>
        <v>0</v>
      </c>
      <c r="M227" s="26" t="str">
        <f>IF(D227="","",IF(J227&gt;='13_Setting'!$H$7,"Tercapai",IF(J227&gt;='13_Setting'!$H$6,"On Track","Tertinggal")))</f>
        <v/>
      </c>
      <c r="N227" s="24"/>
    </row>
    <row r="228" spans="1:14">
      <c r="A228" s="24"/>
      <c r="B228" s="24"/>
      <c r="C228" s="25"/>
      <c r="D228" s="24"/>
      <c r="E228" s="26" t="str">
        <f>IFERROR(VLOOKUP(D228,'04_Master Karyawan'!$A$5:$F$50,2,FALSE),"")</f>
        <v/>
      </c>
      <c r="F228" s="24"/>
      <c r="G228" s="26" t="str">
        <f>IFERROR(VLOOKUP(F228,'05_Master KPI'!$B$5:$G$100,2,FALSE)&amp;" ("&amp;VLOOKUP(F228,'05_Master KPI'!$B$5:$G$100,3,FALSE)&amp;")","")</f>
        <v/>
      </c>
      <c r="H228" s="26">
        <f>IFERROR(IF(B228&lt;&gt;'06_Target KPI'!$B$3,0,IF(VLOOKUP(F228,'05_Master KPI'!$B$5:$G$100,6,FALSE)="Kumulatif",INDEX('06_Target KPI'!$E$5:$P$100,MATCH(F228,'06_Target KPI'!$B$5:$B$100,0),MATCH(A228,'06_Target KPI'!$E$4:$P$4,0))*DAY(C228)/DAY(EOMONTH(C228,0)),INDEX('06_Target KPI'!$E$5:$P$100,MATCH(F228,'06_Target KPI'!$B$5:$B$100,0),MATCH(A228,'06_Target KPI'!$E$4:$P$4,0)))),0)</f>
        <v>0</v>
      </c>
      <c r="I228" s="24"/>
      <c r="J228" s="27">
        <f>IFERROR(MIN(IF(VLOOKUP(F228,'05_Master KPI'!$B$5:$G$100,5,FALSE)="Lower",H228/I228,I228/H228),1),0)</f>
        <v>0</v>
      </c>
      <c r="K228" s="26">
        <f>IFERROR(VLOOKUP(F228,'05_Master KPI'!$B$5:$G$100,4,FALSE),0)</f>
        <v>0</v>
      </c>
      <c r="L228" s="28">
        <f t="shared" si="3"/>
        <v>0</v>
      </c>
      <c r="M228" s="26" t="str">
        <f>IF(D228="","",IF(J228&gt;='13_Setting'!$H$7,"Tercapai",IF(J228&gt;='13_Setting'!$H$6,"On Track","Tertinggal")))</f>
        <v/>
      </c>
      <c r="N228" s="24"/>
    </row>
    <row r="229" spans="1:14">
      <c r="A229" s="24"/>
      <c r="B229" s="24"/>
      <c r="C229" s="25"/>
      <c r="D229" s="24"/>
      <c r="E229" s="26" t="str">
        <f>IFERROR(VLOOKUP(D229,'04_Master Karyawan'!$A$5:$F$50,2,FALSE),"")</f>
        <v/>
      </c>
      <c r="F229" s="24"/>
      <c r="G229" s="26" t="str">
        <f>IFERROR(VLOOKUP(F229,'05_Master KPI'!$B$5:$G$100,2,FALSE)&amp;" ("&amp;VLOOKUP(F229,'05_Master KPI'!$B$5:$G$100,3,FALSE)&amp;")","")</f>
        <v/>
      </c>
      <c r="H229" s="26">
        <f>IFERROR(IF(B229&lt;&gt;'06_Target KPI'!$B$3,0,IF(VLOOKUP(F229,'05_Master KPI'!$B$5:$G$100,6,FALSE)="Kumulatif",INDEX('06_Target KPI'!$E$5:$P$100,MATCH(F229,'06_Target KPI'!$B$5:$B$100,0),MATCH(A229,'06_Target KPI'!$E$4:$P$4,0))*DAY(C229)/DAY(EOMONTH(C229,0)),INDEX('06_Target KPI'!$E$5:$P$100,MATCH(F229,'06_Target KPI'!$B$5:$B$100,0),MATCH(A229,'06_Target KPI'!$E$4:$P$4,0)))),0)</f>
        <v>0</v>
      </c>
      <c r="I229" s="24"/>
      <c r="J229" s="27">
        <f>IFERROR(MIN(IF(VLOOKUP(F229,'05_Master KPI'!$B$5:$G$100,5,FALSE)="Lower",H229/I229,I229/H229),1),0)</f>
        <v>0</v>
      </c>
      <c r="K229" s="26">
        <f>IFERROR(VLOOKUP(F229,'05_Master KPI'!$B$5:$G$100,4,FALSE),0)</f>
        <v>0</v>
      </c>
      <c r="L229" s="28">
        <f t="shared" si="3"/>
        <v>0</v>
      </c>
      <c r="M229" s="26" t="str">
        <f>IF(D229="","",IF(J229&gt;='13_Setting'!$H$7,"Tercapai",IF(J229&gt;='13_Setting'!$H$6,"On Track","Tertinggal")))</f>
        <v/>
      </c>
      <c r="N229" s="24"/>
    </row>
    <row r="230" spans="1:14">
      <c r="A230" s="24"/>
      <c r="B230" s="24"/>
      <c r="C230" s="25"/>
      <c r="D230" s="24"/>
      <c r="E230" s="26" t="str">
        <f>IFERROR(VLOOKUP(D230,'04_Master Karyawan'!$A$5:$F$50,2,FALSE),"")</f>
        <v/>
      </c>
      <c r="F230" s="24"/>
      <c r="G230" s="26" t="str">
        <f>IFERROR(VLOOKUP(F230,'05_Master KPI'!$B$5:$G$100,2,FALSE)&amp;" ("&amp;VLOOKUP(F230,'05_Master KPI'!$B$5:$G$100,3,FALSE)&amp;")","")</f>
        <v/>
      </c>
      <c r="H230" s="26">
        <f>IFERROR(IF(B230&lt;&gt;'06_Target KPI'!$B$3,0,IF(VLOOKUP(F230,'05_Master KPI'!$B$5:$G$100,6,FALSE)="Kumulatif",INDEX('06_Target KPI'!$E$5:$P$100,MATCH(F230,'06_Target KPI'!$B$5:$B$100,0),MATCH(A230,'06_Target KPI'!$E$4:$P$4,0))*DAY(C230)/DAY(EOMONTH(C230,0)),INDEX('06_Target KPI'!$E$5:$P$100,MATCH(F230,'06_Target KPI'!$B$5:$B$100,0),MATCH(A230,'06_Target KPI'!$E$4:$P$4,0)))),0)</f>
        <v>0</v>
      </c>
      <c r="I230" s="24"/>
      <c r="J230" s="27">
        <f>IFERROR(MIN(IF(VLOOKUP(F230,'05_Master KPI'!$B$5:$G$100,5,FALSE)="Lower",H230/I230,I230/H230),1),0)</f>
        <v>0</v>
      </c>
      <c r="K230" s="26">
        <f>IFERROR(VLOOKUP(F230,'05_Master KPI'!$B$5:$G$100,4,FALSE),0)</f>
        <v>0</v>
      </c>
      <c r="L230" s="28">
        <f t="shared" si="3"/>
        <v>0</v>
      </c>
      <c r="M230" s="26" t="str">
        <f>IF(D230="","",IF(J230&gt;='13_Setting'!$H$7,"Tercapai",IF(J230&gt;='13_Setting'!$H$6,"On Track","Tertinggal")))</f>
        <v/>
      </c>
      <c r="N230" s="24"/>
    </row>
    <row r="231" spans="1:14">
      <c r="A231" s="24"/>
      <c r="B231" s="24"/>
      <c r="C231" s="25"/>
      <c r="D231" s="24"/>
      <c r="E231" s="26" t="str">
        <f>IFERROR(VLOOKUP(D231,'04_Master Karyawan'!$A$5:$F$50,2,FALSE),"")</f>
        <v/>
      </c>
      <c r="F231" s="24"/>
      <c r="G231" s="26" t="str">
        <f>IFERROR(VLOOKUP(F231,'05_Master KPI'!$B$5:$G$100,2,FALSE)&amp;" ("&amp;VLOOKUP(F231,'05_Master KPI'!$B$5:$G$100,3,FALSE)&amp;")","")</f>
        <v/>
      </c>
      <c r="H231" s="26">
        <f>IFERROR(IF(B231&lt;&gt;'06_Target KPI'!$B$3,0,IF(VLOOKUP(F231,'05_Master KPI'!$B$5:$G$100,6,FALSE)="Kumulatif",INDEX('06_Target KPI'!$E$5:$P$100,MATCH(F231,'06_Target KPI'!$B$5:$B$100,0),MATCH(A231,'06_Target KPI'!$E$4:$P$4,0))*DAY(C231)/DAY(EOMONTH(C231,0)),INDEX('06_Target KPI'!$E$5:$P$100,MATCH(F231,'06_Target KPI'!$B$5:$B$100,0),MATCH(A231,'06_Target KPI'!$E$4:$P$4,0)))),0)</f>
        <v>0</v>
      </c>
      <c r="I231" s="24"/>
      <c r="J231" s="27">
        <f>IFERROR(MIN(IF(VLOOKUP(F231,'05_Master KPI'!$B$5:$G$100,5,FALSE)="Lower",H231/I231,I231/H231),1),0)</f>
        <v>0</v>
      </c>
      <c r="K231" s="26">
        <f>IFERROR(VLOOKUP(F231,'05_Master KPI'!$B$5:$G$100,4,FALSE),0)</f>
        <v>0</v>
      </c>
      <c r="L231" s="28">
        <f t="shared" si="3"/>
        <v>0</v>
      </c>
      <c r="M231" s="26" t="str">
        <f>IF(D231="","",IF(J231&gt;='13_Setting'!$H$7,"Tercapai",IF(J231&gt;='13_Setting'!$H$6,"On Track","Tertinggal")))</f>
        <v/>
      </c>
      <c r="N231" s="24"/>
    </row>
    <row r="232" spans="1:14">
      <c r="A232" s="24"/>
      <c r="B232" s="24"/>
      <c r="C232" s="25"/>
      <c r="D232" s="24"/>
      <c r="E232" s="26" t="str">
        <f>IFERROR(VLOOKUP(D232,'04_Master Karyawan'!$A$5:$F$50,2,FALSE),"")</f>
        <v/>
      </c>
      <c r="F232" s="24"/>
      <c r="G232" s="26" t="str">
        <f>IFERROR(VLOOKUP(F232,'05_Master KPI'!$B$5:$G$100,2,FALSE)&amp;" ("&amp;VLOOKUP(F232,'05_Master KPI'!$B$5:$G$100,3,FALSE)&amp;")","")</f>
        <v/>
      </c>
      <c r="H232" s="26">
        <f>IFERROR(IF(B232&lt;&gt;'06_Target KPI'!$B$3,0,IF(VLOOKUP(F232,'05_Master KPI'!$B$5:$G$100,6,FALSE)="Kumulatif",INDEX('06_Target KPI'!$E$5:$P$100,MATCH(F232,'06_Target KPI'!$B$5:$B$100,0),MATCH(A232,'06_Target KPI'!$E$4:$P$4,0))*DAY(C232)/DAY(EOMONTH(C232,0)),INDEX('06_Target KPI'!$E$5:$P$100,MATCH(F232,'06_Target KPI'!$B$5:$B$100,0),MATCH(A232,'06_Target KPI'!$E$4:$P$4,0)))),0)</f>
        <v>0</v>
      </c>
      <c r="I232" s="24"/>
      <c r="J232" s="27">
        <f>IFERROR(MIN(IF(VLOOKUP(F232,'05_Master KPI'!$B$5:$G$100,5,FALSE)="Lower",H232/I232,I232/H232),1),0)</f>
        <v>0</v>
      </c>
      <c r="K232" s="26">
        <f>IFERROR(VLOOKUP(F232,'05_Master KPI'!$B$5:$G$100,4,FALSE),0)</f>
        <v>0</v>
      </c>
      <c r="L232" s="28">
        <f t="shared" si="3"/>
        <v>0</v>
      </c>
      <c r="M232" s="26" t="str">
        <f>IF(D232="","",IF(J232&gt;='13_Setting'!$H$7,"Tercapai",IF(J232&gt;='13_Setting'!$H$6,"On Track","Tertinggal")))</f>
        <v/>
      </c>
      <c r="N232" s="24"/>
    </row>
    <row r="233" spans="1:14">
      <c r="A233" s="24"/>
      <c r="B233" s="24"/>
      <c r="C233" s="25"/>
      <c r="D233" s="24"/>
      <c r="E233" s="26" t="str">
        <f>IFERROR(VLOOKUP(D233,'04_Master Karyawan'!$A$5:$F$50,2,FALSE),"")</f>
        <v/>
      </c>
      <c r="F233" s="24"/>
      <c r="G233" s="26" t="str">
        <f>IFERROR(VLOOKUP(F233,'05_Master KPI'!$B$5:$G$100,2,FALSE)&amp;" ("&amp;VLOOKUP(F233,'05_Master KPI'!$B$5:$G$100,3,FALSE)&amp;")","")</f>
        <v/>
      </c>
      <c r="H233" s="26">
        <f>IFERROR(IF(B233&lt;&gt;'06_Target KPI'!$B$3,0,IF(VLOOKUP(F233,'05_Master KPI'!$B$5:$G$100,6,FALSE)="Kumulatif",INDEX('06_Target KPI'!$E$5:$P$100,MATCH(F233,'06_Target KPI'!$B$5:$B$100,0),MATCH(A233,'06_Target KPI'!$E$4:$P$4,0))*DAY(C233)/DAY(EOMONTH(C233,0)),INDEX('06_Target KPI'!$E$5:$P$100,MATCH(F233,'06_Target KPI'!$B$5:$B$100,0),MATCH(A233,'06_Target KPI'!$E$4:$P$4,0)))),0)</f>
        <v>0</v>
      </c>
      <c r="I233" s="24"/>
      <c r="J233" s="27">
        <f>IFERROR(MIN(IF(VLOOKUP(F233,'05_Master KPI'!$B$5:$G$100,5,FALSE)="Lower",H233/I233,I233/H233),1),0)</f>
        <v>0</v>
      </c>
      <c r="K233" s="26">
        <f>IFERROR(VLOOKUP(F233,'05_Master KPI'!$B$5:$G$100,4,FALSE),0)</f>
        <v>0</v>
      </c>
      <c r="L233" s="28">
        <f t="shared" si="3"/>
        <v>0</v>
      </c>
      <c r="M233" s="26" t="str">
        <f>IF(D233="","",IF(J233&gt;='13_Setting'!$H$7,"Tercapai",IF(J233&gt;='13_Setting'!$H$6,"On Track","Tertinggal")))</f>
        <v/>
      </c>
      <c r="N233" s="24"/>
    </row>
    <row r="234" spans="1:14">
      <c r="A234" s="24"/>
      <c r="B234" s="24"/>
      <c r="C234" s="25"/>
      <c r="D234" s="24"/>
      <c r="E234" s="26" t="str">
        <f>IFERROR(VLOOKUP(D234,'04_Master Karyawan'!$A$5:$F$50,2,FALSE),"")</f>
        <v/>
      </c>
      <c r="F234" s="24"/>
      <c r="G234" s="26" t="str">
        <f>IFERROR(VLOOKUP(F234,'05_Master KPI'!$B$5:$G$100,2,FALSE)&amp;" ("&amp;VLOOKUP(F234,'05_Master KPI'!$B$5:$G$100,3,FALSE)&amp;")","")</f>
        <v/>
      </c>
      <c r="H234" s="26">
        <f>IFERROR(IF(B234&lt;&gt;'06_Target KPI'!$B$3,0,IF(VLOOKUP(F234,'05_Master KPI'!$B$5:$G$100,6,FALSE)="Kumulatif",INDEX('06_Target KPI'!$E$5:$P$100,MATCH(F234,'06_Target KPI'!$B$5:$B$100,0),MATCH(A234,'06_Target KPI'!$E$4:$P$4,0))*DAY(C234)/DAY(EOMONTH(C234,0)),INDEX('06_Target KPI'!$E$5:$P$100,MATCH(F234,'06_Target KPI'!$B$5:$B$100,0),MATCH(A234,'06_Target KPI'!$E$4:$P$4,0)))),0)</f>
        <v>0</v>
      </c>
      <c r="I234" s="24"/>
      <c r="J234" s="27">
        <f>IFERROR(MIN(IF(VLOOKUP(F234,'05_Master KPI'!$B$5:$G$100,5,FALSE)="Lower",H234/I234,I234/H234),1),0)</f>
        <v>0</v>
      </c>
      <c r="K234" s="26">
        <f>IFERROR(VLOOKUP(F234,'05_Master KPI'!$B$5:$G$100,4,FALSE),0)</f>
        <v>0</v>
      </c>
      <c r="L234" s="28">
        <f t="shared" si="3"/>
        <v>0</v>
      </c>
      <c r="M234" s="26" t="str">
        <f>IF(D234="","",IF(J234&gt;='13_Setting'!$H$7,"Tercapai",IF(J234&gt;='13_Setting'!$H$6,"On Track","Tertinggal")))</f>
        <v/>
      </c>
      <c r="N234" s="24"/>
    </row>
    <row r="235" spans="1:14">
      <c r="A235" s="24"/>
      <c r="B235" s="24"/>
      <c r="C235" s="25"/>
      <c r="D235" s="24"/>
      <c r="E235" s="26" t="str">
        <f>IFERROR(VLOOKUP(D235,'04_Master Karyawan'!$A$5:$F$50,2,FALSE),"")</f>
        <v/>
      </c>
      <c r="F235" s="24"/>
      <c r="G235" s="26" t="str">
        <f>IFERROR(VLOOKUP(F235,'05_Master KPI'!$B$5:$G$100,2,FALSE)&amp;" ("&amp;VLOOKUP(F235,'05_Master KPI'!$B$5:$G$100,3,FALSE)&amp;")","")</f>
        <v/>
      </c>
      <c r="H235" s="26">
        <f>IFERROR(IF(B235&lt;&gt;'06_Target KPI'!$B$3,0,IF(VLOOKUP(F235,'05_Master KPI'!$B$5:$G$100,6,FALSE)="Kumulatif",INDEX('06_Target KPI'!$E$5:$P$100,MATCH(F235,'06_Target KPI'!$B$5:$B$100,0),MATCH(A235,'06_Target KPI'!$E$4:$P$4,0))*DAY(C235)/DAY(EOMONTH(C235,0)),INDEX('06_Target KPI'!$E$5:$P$100,MATCH(F235,'06_Target KPI'!$B$5:$B$100,0),MATCH(A235,'06_Target KPI'!$E$4:$P$4,0)))),0)</f>
        <v>0</v>
      </c>
      <c r="I235" s="24"/>
      <c r="J235" s="27">
        <f>IFERROR(MIN(IF(VLOOKUP(F235,'05_Master KPI'!$B$5:$G$100,5,FALSE)="Lower",H235/I235,I235/H235),1),0)</f>
        <v>0</v>
      </c>
      <c r="K235" s="26">
        <f>IFERROR(VLOOKUP(F235,'05_Master KPI'!$B$5:$G$100,4,FALSE),0)</f>
        <v>0</v>
      </c>
      <c r="L235" s="28">
        <f t="shared" si="3"/>
        <v>0</v>
      </c>
      <c r="M235" s="26" t="str">
        <f>IF(D235="","",IF(J235&gt;='13_Setting'!$H$7,"Tercapai",IF(J235&gt;='13_Setting'!$H$6,"On Track","Tertinggal")))</f>
        <v/>
      </c>
      <c r="N235" s="24"/>
    </row>
    <row r="236" spans="1:14">
      <c r="A236" s="24"/>
      <c r="B236" s="24"/>
      <c r="C236" s="25"/>
      <c r="D236" s="24"/>
      <c r="E236" s="26" t="str">
        <f>IFERROR(VLOOKUP(D236,'04_Master Karyawan'!$A$5:$F$50,2,FALSE),"")</f>
        <v/>
      </c>
      <c r="F236" s="24"/>
      <c r="G236" s="26" t="str">
        <f>IFERROR(VLOOKUP(F236,'05_Master KPI'!$B$5:$G$100,2,FALSE)&amp;" ("&amp;VLOOKUP(F236,'05_Master KPI'!$B$5:$G$100,3,FALSE)&amp;")","")</f>
        <v/>
      </c>
      <c r="H236" s="26">
        <f>IFERROR(IF(B236&lt;&gt;'06_Target KPI'!$B$3,0,IF(VLOOKUP(F236,'05_Master KPI'!$B$5:$G$100,6,FALSE)="Kumulatif",INDEX('06_Target KPI'!$E$5:$P$100,MATCH(F236,'06_Target KPI'!$B$5:$B$100,0),MATCH(A236,'06_Target KPI'!$E$4:$P$4,0))*DAY(C236)/DAY(EOMONTH(C236,0)),INDEX('06_Target KPI'!$E$5:$P$100,MATCH(F236,'06_Target KPI'!$B$5:$B$100,0),MATCH(A236,'06_Target KPI'!$E$4:$P$4,0)))),0)</f>
        <v>0</v>
      </c>
      <c r="I236" s="24"/>
      <c r="J236" s="27">
        <f>IFERROR(MIN(IF(VLOOKUP(F236,'05_Master KPI'!$B$5:$G$100,5,FALSE)="Lower",H236/I236,I236/H236),1),0)</f>
        <v>0</v>
      </c>
      <c r="K236" s="26">
        <f>IFERROR(VLOOKUP(F236,'05_Master KPI'!$B$5:$G$100,4,FALSE),0)</f>
        <v>0</v>
      </c>
      <c r="L236" s="28">
        <f t="shared" si="3"/>
        <v>0</v>
      </c>
      <c r="M236" s="26" t="str">
        <f>IF(D236="","",IF(J236&gt;='13_Setting'!$H$7,"Tercapai",IF(J236&gt;='13_Setting'!$H$6,"On Track","Tertinggal")))</f>
        <v/>
      </c>
      <c r="N236" s="24"/>
    </row>
    <row r="237" spans="1:14">
      <c r="A237" s="24"/>
      <c r="B237" s="24"/>
      <c r="C237" s="25"/>
      <c r="D237" s="24"/>
      <c r="E237" s="26" t="str">
        <f>IFERROR(VLOOKUP(D237,'04_Master Karyawan'!$A$5:$F$50,2,FALSE),"")</f>
        <v/>
      </c>
      <c r="F237" s="24"/>
      <c r="G237" s="26" t="str">
        <f>IFERROR(VLOOKUP(F237,'05_Master KPI'!$B$5:$G$100,2,FALSE)&amp;" ("&amp;VLOOKUP(F237,'05_Master KPI'!$B$5:$G$100,3,FALSE)&amp;")","")</f>
        <v/>
      </c>
      <c r="H237" s="26">
        <f>IFERROR(IF(B237&lt;&gt;'06_Target KPI'!$B$3,0,IF(VLOOKUP(F237,'05_Master KPI'!$B$5:$G$100,6,FALSE)="Kumulatif",INDEX('06_Target KPI'!$E$5:$P$100,MATCH(F237,'06_Target KPI'!$B$5:$B$100,0),MATCH(A237,'06_Target KPI'!$E$4:$P$4,0))*DAY(C237)/DAY(EOMONTH(C237,0)),INDEX('06_Target KPI'!$E$5:$P$100,MATCH(F237,'06_Target KPI'!$B$5:$B$100,0),MATCH(A237,'06_Target KPI'!$E$4:$P$4,0)))),0)</f>
        <v>0</v>
      </c>
      <c r="I237" s="24"/>
      <c r="J237" s="27">
        <f>IFERROR(MIN(IF(VLOOKUP(F237,'05_Master KPI'!$B$5:$G$100,5,FALSE)="Lower",H237/I237,I237/H237),1),0)</f>
        <v>0</v>
      </c>
      <c r="K237" s="26">
        <f>IFERROR(VLOOKUP(F237,'05_Master KPI'!$B$5:$G$100,4,FALSE),0)</f>
        <v>0</v>
      </c>
      <c r="L237" s="28">
        <f t="shared" si="3"/>
        <v>0</v>
      </c>
      <c r="M237" s="26" t="str">
        <f>IF(D237="","",IF(J237&gt;='13_Setting'!$H$7,"Tercapai",IF(J237&gt;='13_Setting'!$H$6,"On Track","Tertinggal")))</f>
        <v/>
      </c>
      <c r="N237" s="24"/>
    </row>
    <row r="238" spans="1:14">
      <c r="A238" s="24"/>
      <c r="B238" s="24"/>
      <c r="C238" s="25"/>
      <c r="D238" s="24"/>
      <c r="E238" s="26" t="str">
        <f>IFERROR(VLOOKUP(D238,'04_Master Karyawan'!$A$5:$F$50,2,FALSE),"")</f>
        <v/>
      </c>
      <c r="F238" s="24"/>
      <c r="G238" s="26" t="str">
        <f>IFERROR(VLOOKUP(F238,'05_Master KPI'!$B$5:$G$100,2,FALSE)&amp;" ("&amp;VLOOKUP(F238,'05_Master KPI'!$B$5:$G$100,3,FALSE)&amp;")","")</f>
        <v/>
      </c>
      <c r="H238" s="26">
        <f>IFERROR(IF(B238&lt;&gt;'06_Target KPI'!$B$3,0,IF(VLOOKUP(F238,'05_Master KPI'!$B$5:$G$100,6,FALSE)="Kumulatif",INDEX('06_Target KPI'!$E$5:$P$100,MATCH(F238,'06_Target KPI'!$B$5:$B$100,0),MATCH(A238,'06_Target KPI'!$E$4:$P$4,0))*DAY(C238)/DAY(EOMONTH(C238,0)),INDEX('06_Target KPI'!$E$5:$P$100,MATCH(F238,'06_Target KPI'!$B$5:$B$100,0),MATCH(A238,'06_Target KPI'!$E$4:$P$4,0)))),0)</f>
        <v>0</v>
      </c>
      <c r="I238" s="24"/>
      <c r="J238" s="27">
        <f>IFERROR(MIN(IF(VLOOKUP(F238,'05_Master KPI'!$B$5:$G$100,5,FALSE)="Lower",H238/I238,I238/H238),1),0)</f>
        <v>0</v>
      </c>
      <c r="K238" s="26">
        <f>IFERROR(VLOOKUP(F238,'05_Master KPI'!$B$5:$G$100,4,FALSE),0)</f>
        <v>0</v>
      </c>
      <c r="L238" s="28">
        <f t="shared" si="3"/>
        <v>0</v>
      </c>
      <c r="M238" s="26" t="str">
        <f>IF(D238="","",IF(J238&gt;='13_Setting'!$H$7,"Tercapai",IF(J238&gt;='13_Setting'!$H$6,"On Track","Tertinggal")))</f>
        <v/>
      </c>
      <c r="N238" s="24"/>
    </row>
    <row r="239" spans="1:14">
      <c r="A239" s="24"/>
      <c r="B239" s="24"/>
      <c r="C239" s="25"/>
      <c r="D239" s="24"/>
      <c r="E239" s="26" t="str">
        <f>IFERROR(VLOOKUP(D239,'04_Master Karyawan'!$A$5:$F$50,2,FALSE),"")</f>
        <v/>
      </c>
      <c r="F239" s="24"/>
      <c r="G239" s="26" t="str">
        <f>IFERROR(VLOOKUP(F239,'05_Master KPI'!$B$5:$G$100,2,FALSE)&amp;" ("&amp;VLOOKUP(F239,'05_Master KPI'!$B$5:$G$100,3,FALSE)&amp;")","")</f>
        <v/>
      </c>
      <c r="H239" s="26">
        <f>IFERROR(IF(B239&lt;&gt;'06_Target KPI'!$B$3,0,IF(VLOOKUP(F239,'05_Master KPI'!$B$5:$G$100,6,FALSE)="Kumulatif",INDEX('06_Target KPI'!$E$5:$P$100,MATCH(F239,'06_Target KPI'!$B$5:$B$100,0),MATCH(A239,'06_Target KPI'!$E$4:$P$4,0))*DAY(C239)/DAY(EOMONTH(C239,0)),INDEX('06_Target KPI'!$E$5:$P$100,MATCH(F239,'06_Target KPI'!$B$5:$B$100,0),MATCH(A239,'06_Target KPI'!$E$4:$P$4,0)))),0)</f>
        <v>0</v>
      </c>
      <c r="I239" s="24"/>
      <c r="J239" s="27">
        <f>IFERROR(MIN(IF(VLOOKUP(F239,'05_Master KPI'!$B$5:$G$100,5,FALSE)="Lower",H239/I239,I239/H239),1),0)</f>
        <v>0</v>
      </c>
      <c r="K239" s="26">
        <f>IFERROR(VLOOKUP(F239,'05_Master KPI'!$B$5:$G$100,4,FALSE),0)</f>
        <v>0</v>
      </c>
      <c r="L239" s="28">
        <f t="shared" si="3"/>
        <v>0</v>
      </c>
      <c r="M239" s="26" t="str">
        <f>IF(D239="","",IF(J239&gt;='13_Setting'!$H$7,"Tercapai",IF(J239&gt;='13_Setting'!$H$6,"On Track","Tertinggal")))</f>
        <v/>
      </c>
      <c r="N239" s="24"/>
    </row>
    <row r="240" spans="1:14">
      <c r="A240" s="24"/>
      <c r="B240" s="24"/>
      <c r="C240" s="25"/>
      <c r="D240" s="24"/>
      <c r="E240" s="26" t="str">
        <f>IFERROR(VLOOKUP(D240,'04_Master Karyawan'!$A$5:$F$50,2,FALSE),"")</f>
        <v/>
      </c>
      <c r="F240" s="24"/>
      <c r="G240" s="26" t="str">
        <f>IFERROR(VLOOKUP(F240,'05_Master KPI'!$B$5:$G$100,2,FALSE)&amp;" ("&amp;VLOOKUP(F240,'05_Master KPI'!$B$5:$G$100,3,FALSE)&amp;")","")</f>
        <v/>
      </c>
      <c r="H240" s="26">
        <f>IFERROR(IF(B240&lt;&gt;'06_Target KPI'!$B$3,0,IF(VLOOKUP(F240,'05_Master KPI'!$B$5:$G$100,6,FALSE)="Kumulatif",INDEX('06_Target KPI'!$E$5:$P$100,MATCH(F240,'06_Target KPI'!$B$5:$B$100,0),MATCH(A240,'06_Target KPI'!$E$4:$P$4,0))*DAY(C240)/DAY(EOMONTH(C240,0)),INDEX('06_Target KPI'!$E$5:$P$100,MATCH(F240,'06_Target KPI'!$B$5:$B$100,0),MATCH(A240,'06_Target KPI'!$E$4:$P$4,0)))),0)</f>
        <v>0</v>
      </c>
      <c r="I240" s="24"/>
      <c r="J240" s="27">
        <f>IFERROR(MIN(IF(VLOOKUP(F240,'05_Master KPI'!$B$5:$G$100,5,FALSE)="Lower",H240/I240,I240/H240),1),0)</f>
        <v>0</v>
      </c>
      <c r="K240" s="26">
        <f>IFERROR(VLOOKUP(F240,'05_Master KPI'!$B$5:$G$100,4,FALSE),0)</f>
        <v>0</v>
      </c>
      <c r="L240" s="28">
        <f t="shared" si="3"/>
        <v>0</v>
      </c>
      <c r="M240" s="26" t="str">
        <f>IF(D240="","",IF(J240&gt;='13_Setting'!$H$7,"Tercapai",IF(J240&gt;='13_Setting'!$H$6,"On Track","Tertinggal")))</f>
        <v/>
      </c>
      <c r="N240" s="24"/>
    </row>
    <row r="241" spans="1:14">
      <c r="A241" s="24"/>
      <c r="B241" s="24"/>
      <c r="C241" s="25"/>
      <c r="D241" s="24"/>
      <c r="E241" s="26" t="str">
        <f>IFERROR(VLOOKUP(D241,'04_Master Karyawan'!$A$5:$F$50,2,FALSE),"")</f>
        <v/>
      </c>
      <c r="F241" s="24"/>
      <c r="G241" s="26" t="str">
        <f>IFERROR(VLOOKUP(F241,'05_Master KPI'!$B$5:$G$100,2,FALSE)&amp;" ("&amp;VLOOKUP(F241,'05_Master KPI'!$B$5:$G$100,3,FALSE)&amp;")","")</f>
        <v/>
      </c>
      <c r="H241" s="26">
        <f>IFERROR(IF(B241&lt;&gt;'06_Target KPI'!$B$3,0,IF(VLOOKUP(F241,'05_Master KPI'!$B$5:$G$100,6,FALSE)="Kumulatif",INDEX('06_Target KPI'!$E$5:$P$100,MATCH(F241,'06_Target KPI'!$B$5:$B$100,0),MATCH(A241,'06_Target KPI'!$E$4:$P$4,0))*DAY(C241)/DAY(EOMONTH(C241,0)),INDEX('06_Target KPI'!$E$5:$P$100,MATCH(F241,'06_Target KPI'!$B$5:$B$100,0),MATCH(A241,'06_Target KPI'!$E$4:$P$4,0)))),0)</f>
        <v>0</v>
      </c>
      <c r="I241" s="24"/>
      <c r="J241" s="27">
        <f>IFERROR(MIN(IF(VLOOKUP(F241,'05_Master KPI'!$B$5:$G$100,5,FALSE)="Lower",H241/I241,I241/H241),1),0)</f>
        <v>0</v>
      </c>
      <c r="K241" s="26">
        <f>IFERROR(VLOOKUP(F241,'05_Master KPI'!$B$5:$G$100,4,FALSE),0)</f>
        <v>0</v>
      </c>
      <c r="L241" s="28">
        <f t="shared" si="3"/>
        <v>0</v>
      </c>
      <c r="M241" s="26" t="str">
        <f>IF(D241="","",IF(J241&gt;='13_Setting'!$H$7,"Tercapai",IF(J241&gt;='13_Setting'!$H$6,"On Track","Tertinggal")))</f>
        <v/>
      </c>
      <c r="N241" s="24"/>
    </row>
    <row r="242" spans="1:14">
      <c r="A242" s="24"/>
      <c r="B242" s="24"/>
      <c r="C242" s="25"/>
      <c r="D242" s="24"/>
      <c r="E242" s="26" t="str">
        <f>IFERROR(VLOOKUP(D242,'04_Master Karyawan'!$A$5:$F$50,2,FALSE),"")</f>
        <v/>
      </c>
      <c r="F242" s="24"/>
      <c r="G242" s="26" t="str">
        <f>IFERROR(VLOOKUP(F242,'05_Master KPI'!$B$5:$G$100,2,FALSE)&amp;" ("&amp;VLOOKUP(F242,'05_Master KPI'!$B$5:$G$100,3,FALSE)&amp;")","")</f>
        <v/>
      </c>
      <c r="H242" s="26">
        <f>IFERROR(IF(B242&lt;&gt;'06_Target KPI'!$B$3,0,IF(VLOOKUP(F242,'05_Master KPI'!$B$5:$G$100,6,FALSE)="Kumulatif",INDEX('06_Target KPI'!$E$5:$P$100,MATCH(F242,'06_Target KPI'!$B$5:$B$100,0),MATCH(A242,'06_Target KPI'!$E$4:$P$4,0))*DAY(C242)/DAY(EOMONTH(C242,0)),INDEX('06_Target KPI'!$E$5:$P$100,MATCH(F242,'06_Target KPI'!$B$5:$B$100,0),MATCH(A242,'06_Target KPI'!$E$4:$P$4,0)))),0)</f>
        <v>0</v>
      </c>
      <c r="I242" s="24"/>
      <c r="J242" s="27">
        <f>IFERROR(MIN(IF(VLOOKUP(F242,'05_Master KPI'!$B$5:$G$100,5,FALSE)="Lower",H242/I242,I242/H242),1),0)</f>
        <v>0</v>
      </c>
      <c r="K242" s="26">
        <f>IFERROR(VLOOKUP(F242,'05_Master KPI'!$B$5:$G$100,4,FALSE),0)</f>
        <v>0</v>
      </c>
      <c r="L242" s="28">
        <f t="shared" si="3"/>
        <v>0</v>
      </c>
      <c r="M242" s="26" t="str">
        <f>IF(D242="","",IF(J242&gt;='13_Setting'!$H$7,"Tercapai",IF(J242&gt;='13_Setting'!$H$6,"On Track","Tertinggal")))</f>
        <v/>
      </c>
      <c r="N242" s="24"/>
    </row>
    <row r="243" spans="1:14">
      <c r="A243" s="24"/>
      <c r="B243" s="24"/>
      <c r="C243" s="25"/>
      <c r="D243" s="24"/>
      <c r="E243" s="26" t="str">
        <f>IFERROR(VLOOKUP(D243,'04_Master Karyawan'!$A$5:$F$50,2,FALSE),"")</f>
        <v/>
      </c>
      <c r="F243" s="24"/>
      <c r="G243" s="26" t="str">
        <f>IFERROR(VLOOKUP(F243,'05_Master KPI'!$B$5:$G$100,2,FALSE)&amp;" ("&amp;VLOOKUP(F243,'05_Master KPI'!$B$5:$G$100,3,FALSE)&amp;")","")</f>
        <v/>
      </c>
      <c r="H243" s="26">
        <f>IFERROR(IF(B243&lt;&gt;'06_Target KPI'!$B$3,0,IF(VLOOKUP(F243,'05_Master KPI'!$B$5:$G$100,6,FALSE)="Kumulatif",INDEX('06_Target KPI'!$E$5:$P$100,MATCH(F243,'06_Target KPI'!$B$5:$B$100,0),MATCH(A243,'06_Target KPI'!$E$4:$P$4,0))*DAY(C243)/DAY(EOMONTH(C243,0)),INDEX('06_Target KPI'!$E$5:$P$100,MATCH(F243,'06_Target KPI'!$B$5:$B$100,0),MATCH(A243,'06_Target KPI'!$E$4:$P$4,0)))),0)</f>
        <v>0</v>
      </c>
      <c r="I243" s="24"/>
      <c r="J243" s="27">
        <f>IFERROR(MIN(IF(VLOOKUP(F243,'05_Master KPI'!$B$5:$G$100,5,FALSE)="Lower",H243/I243,I243/H243),1),0)</f>
        <v>0</v>
      </c>
      <c r="K243" s="26">
        <f>IFERROR(VLOOKUP(F243,'05_Master KPI'!$B$5:$G$100,4,FALSE),0)</f>
        <v>0</v>
      </c>
      <c r="L243" s="28">
        <f t="shared" si="3"/>
        <v>0</v>
      </c>
      <c r="M243" s="26" t="str">
        <f>IF(D243="","",IF(J243&gt;='13_Setting'!$H$7,"Tercapai",IF(J243&gt;='13_Setting'!$H$6,"On Track","Tertinggal")))</f>
        <v/>
      </c>
      <c r="N243" s="24"/>
    </row>
    <row r="244" spans="1:14">
      <c r="A244" s="24"/>
      <c r="B244" s="24"/>
      <c r="C244" s="25"/>
      <c r="D244" s="24"/>
      <c r="E244" s="26" t="str">
        <f>IFERROR(VLOOKUP(D244,'04_Master Karyawan'!$A$5:$F$50,2,FALSE),"")</f>
        <v/>
      </c>
      <c r="F244" s="24"/>
      <c r="G244" s="26" t="str">
        <f>IFERROR(VLOOKUP(F244,'05_Master KPI'!$B$5:$G$100,2,FALSE)&amp;" ("&amp;VLOOKUP(F244,'05_Master KPI'!$B$5:$G$100,3,FALSE)&amp;")","")</f>
        <v/>
      </c>
      <c r="H244" s="26">
        <f>IFERROR(IF(B244&lt;&gt;'06_Target KPI'!$B$3,0,IF(VLOOKUP(F244,'05_Master KPI'!$B$5:$G$100,6,FALSE)="Kumulatif",INDEX('06_Target KPI'!$E$5:$P$100,MATCH(F244,'06_Target KPI'!$B$5:$B$100,0),MATCH(A244,'06_Target KPI'!$E$4:$P$4,0))*DAY(C244)/DAY(EOMONTH(C244,0)),INDEX('06_Target KPI'!$E$5:$P$100,MATCH(F244,'06_Target KPI'!$B$5:$B$100,0),MATCH(A244,'06_Target KPI'!$E$4:$P$4,0)))),0)</f>
        <v>0</v>
      </c>
      <c r="I244" s="24"/>
      <c r="J244" s="27">
        <f>IFERROR(MIN(IF(VLOOKUP(F244,'05_Master KPI'!$B$5:$G$100,5,FALSE)="Lower",H244/I244,I244/H244),1),0)</f>
        <v>0</v>
      </c>
      <c r="K244" s="26">
        <f>IFERROR(VLOOKUP(F244,'05_Master KPI'!$B$5:$G$100,4,FALSE),0)</f>
        <v>0</v>
      </c>
      <c r="L244" s="28">
        <f t="shared" si="3"/>
        <v>0</v>
      </c>
      <c r="M244" s="26" t="str">
        <f>IF(D244="","",IF(J244&gt;='13_Setting'!$H$7,"Tercapai",IF(J244&gt;='13_Setting'!$H$6,"On Track","Tertinggal")))</f>
        <v/>
      </c>
      <c r="N244" s="24"/>
    </row>
    <row r="245" spans="1:14">
      <c r="A245" s="24"/>
      <c r="B245" s="24"/>
      <c r="C245" s="25"/>
      <c r="D245" s="24"/>
      <c r="E245" s="26" t="str">
        <f>IFERROR(VLOOKUP(D245,'04_Master Karyawan'!$A$5:$F$50,2,FALSE),"")</f>
        <v/>
      </c>
      <c r="F245" s="24"/>
      <c r="G245" s="26" t="str">
        <f>IFERROR(VLOOKUP(F245,'05_Master KPI'!$B$5:$G$100,2,FALSE)&amp;" ("&amp;VLOOKUP(F245,'05_Master KPI'!$B$5:$G$100,3,FALSE)&amp;")","")</f>
        <v/>
      </c>
      <c r="H245" s="26">
        <f>IFERROR(IF(B245&lt;&gt;'06_Target KPI'!$B$3,0,IF(VLOOKUP(F245,'05_Master KPI'!$B$5:$G$100,6,FALSE)="Kumulatif",INDEX('06_Target KPI'!$E$5:$P$100,MATCH(F245,'06_Target KPI'!$B$5:$B$100,0),MATCH(A245,'06_Target KPI'!$E$4:$P$4,0))*DAY(C245)/DAY(EOMONTH(C245,0)),INDEX('06_Target KPI'!$E$5:$P$100,MATCH(F245,'06_Target KPI'!$B$5:$B$100,0),MATCH(A245,'06_Target KPI'!$E$4:$P$4,0)))),0)</f>
        <v>0</v>
      </c>
      <c r="I245" s="24"/>
      <c r="J245" s="27">
        <f>IFERROR(MIN(IF(VLOOKUP(F245,'05_Master KPI'!$B$5:$G$100,5,FALSE)="Lower",H245/I245,I245/H245),1),0)</f>
        <v>0</v>
      </c>
      <c r="K245" s="26">
        <f>IFERROR(VLOOKUP(F245,'05_Master KPI'!$B$5:$G$100,4,FALSE),0)</f>
        <v>0</v>
      </c>
      <c r="L245" s="28">
        <f t="shared" si="3"/>
        <v>0</v>
      </c>
      <c r="M245" s="26" t="str">
        <f>IF(D245="","",IF(J245&gt;='13_Setting'!$H$7,"Tercapai",IF(J245&gt;='13_Setting'!$H$6,"On Track","Tertinggal")))</f>
        <v/>
      </c>
      <c r="N245" s="24"/>
    </row>
    <row r="246" spans="1:14">
      <c r="A246" s="24"/>
      <c r="B246" s="24"/>
      <c r="C246" s="25"/>
      <c r="D246" s="24"/>
      <c r="E246" s="26" t="str">
        <f>IFERROR(VLOOKUP(D246,'04_Master Karyawan'!$A$5:$F$50,2,FALSE),"")</f>
        <v/>
      </c>
      <c r="F246" s="24"/>
      <c r="G246" s="26" t="str">
        <f>IFERROR(VLOOKUP(F246,'05_Master KPI'!$B$5:$G$100,2,FALSE)&amp;" ("&amp;VLOOKUP(F246,'05_Master KPI'!$B$5:$G$100,3,FALSE)&amp;")","")</f>
        <v/>
      </c>
      <c r="H246" s="26">
        <f>IFERROR(IF(B246&lt;&gt;'06_Target KPI'!$B$3,0,IF(VLOOKUP(F246,'05_Master KPI'!$B$5:$G$100,6,FALSE)="Kumulatif",INDEX('06_Target KPI'!$E$5:$P$100,MATCH(F246,'06_Target KPI'!$B$5:$B$100,0),MATCH(A246,'06_Target KPI'!$E$4:$P$4,0))*DAY(C246)/DAY(EOMONTH(C246,0)),INDEX('06_Target KPI'!$E$5:$P$100,MATCH(F246,'06_Target KPI'!$B$5:$B$100,0),MATCH(A246,'06_Target KPI'!$E$4:$P$4,0)))),0)</f>
        <v>0</v>
      </c>
      <c r="I246" s="24"/>
      <c r="J246" s="27">
        <f>IFERROR(MIN(IF(VLOOKUP(F246,'05_Master KPI'!$B$5:$G$100,5,FALSE)="Lower",H246/I246,I246/H246),1),0)</f>
        <v>0</v>
      </c>
      <c r="K246" s="26">
        <f>IFERROR(VLOOKUP(F246,'05_Master KPI'!$B$5:$G$100,4,FALSE),0)</f>
        <v>0</v>
      </c>
      <c r="L246" s="28">
        <f t="shared" si="3"/>
        <v>0</v>
      </c>
      <c r="M246" s="26" t="str">
        <f>IF(D246="","",IF(J246&gt;='13_Setting'!$H$7,"Tercapai",IF(J246&gt;='13_Setting'!$H$6,"On Track","Tertinggal")))</f>
        <v/>
      </c>
      <c r="N246" s="24"/>
    </row>
    <row r="247" spans="1:14">
      <c r="A247" s="24"/>
      <c r="B247" s="24"/>
      <c r="C247" s="25"/>
      <c r="D247" s="24"/>
      <c r="E247" s="26" t="str">
        <f>IFERROR(VLOOKUP(D247,'04_Master Karyawan'!$A$5:$F$50,2,FALSE),"")</f>
        <v/>
      </c>
      <c r="F247" s="24"/>
      <c r="G247" s="26" t="str">
        <f>IFERROR(VLOOKUP(F247,'05_Master KPI'!$B$5:$G$100,2,FALSE)&amp;" ("&amp;VLOOKUP(F247,'05_Master KPI'!$B$5:$G$100,3,FALSE)&amp;")","")</f>
        <v/>
      </c>
      <c r="H247" s="26">
        <f>IFERROR(IF(B247&lt;&gt;'06_Target KPI'!$B$3,0,IF(VLOOKUP(F247,'05_Master KPI'!$B$5:$G$100,6,FALSE)="Kumulatif",INDEX('06_Target KPI'!$E$5:$P$100,MATCH(F247,'06_Target KPI'!$B$5:$B$100,0),MATCH(A247,'06_Target KPI'!$E$4:$P$4,0))*DAY(C247)/DAY(EOMONTH(C247,0)),INDEX('06_Target KPI'!$E$5:$P$100,MATCH(F247,'06_Target KPI'!$B$5:$B$100,0),MATCH(A247,'06_Target KPI'!$E$4:$P$4,0)))),0)</f>
        <v>0</v>
      </c>
      <c r="I247" s="24"/>
      <c r="J247" s="27">
        <f>IFERROR(MIN(IF(VLOOKUP(F247,'05_Master KPI'!$B$5:$G$100,5,FALSE)="Lower",H247/I247,I247/H247),1),0)</f>
        <v>0</v>
      </c>
      <c r="K247" s="26">
        <f>IFERROR(VLOOKUP(F247,'05_Master KPI'!$B$5:$G$100,4,FALSE),0)</f>
        <v>0</v>
      </c>
      <c r="L247" s="28">
        <f t="shared" si="3"/>
        <v>0</v>
      </c>
      <c r="M247" s="26" t="str">
        <f>IF(D247="","",IF(J247&gt;='13_Setting'!$H$7,"Tercapai",IF(J247&gt;='13_Setting'!$H$6,"On Track","Tertinggal")))</f>
        <v/>
      </c>
      <c r="N247" s="24"/>
    </row>
    <row r="248" spans="1:14">
      <c r="A248" s="24"/>
      <c r="B248" s="24"/>
      <c r="C248" s="25"/>
      <c r="D248" s="24"/>
      <c r="E248" s="26" t="str">
        <f>IFERROR(VLOOKUP(D248,'04_Master Karyawan'!$A$5:$F$50,2,FALSE),"")</f>
        <v/>
      </c>
      <c r="F248" s="24"/>
      <c r="G248" s="26" t="str">
        <f>IFERROR(VLOOKUP(F248,'05_Master KPI'!$B$5:$G$100,2,FALSE)&amp;" ("&amp;VLOOKUP(F248,'05_Master KPI'!$B$5:$G$100,3,FALSE)&amp;")","")</f>
        <v/>
      </c>
      <c r="H248" s="26">
        <f>IFERROR(IF(B248&lt;&gt;'06_Target KPI'!$B$3,0,IF(VLOOKUP(F248,'05_Master KPI'!$B$5:$G$100,6,FALSE)="Kumulatif",INDEX('06_Target KPI'!$E$5:$P$100,MATCH(F248,'06_Target KPI'!$B$5:$B$100,0),MATCH(A248,'06_Target KPI'!$E$4:$P$4,0))*DAY(C248)/DAY(EOMONTH(C248,0)),INDEX('06_Target KPI'!$E$5:$P$100,MATCH(F248,'06_Target KPI'!$B$5:$B$100,0),MATCH(A248,'06_Target KPI'!$E$4:$P$4,0)))),0)</f>
        <v>0</v>
      </c>
      <c r="I248" s="24"/>
      <c r="J248" s="27">
        <f>IFERROR(MIN(IF(VLOOKUP(F248,'05_Master KPI'!$B$5:$G$100,5,FALSE)="Lower",H248/I248,I248/H248),1),0)</f>
        <v>0</v>
      </c>
      <c r="K248" s="26">
        <f>IFERROR(VLOOKUP(F248,'05_Master KPI'!$B$5:$G$100,4,FALSE),0)</f>
        <v>0</v>
      </c>
      <c r="L248" s="28">
        <f t="shared" si="3"/>
        <v>0</v>
      </c>
      <c r="M248" s="26" t="str">
        <f>IF(D248="","",IF(J248&gt;='13_Setting'!$H$7,"Tercapai",IF(J248&gt;='13_Setting'!$H$6,"On Track","Tertinggal")))</f>
        <v/>
      </c>
      <c r="N248" s="24"/>
    </row>
    <row r="249" spans="1:14">
      <c r="A249" s="24"/>
      <c r="B249" s="24"/>
      <c r="C249" s="25"/>
      <c r="D249" s="24"/>
      <c r="E249" s="26" t="str">
        <f>IFERROR(VLOOKUP(D249,'04_Master Karyawan'!$A$5:$F$50,2,FALSE),"")</f>
        <v/>
      </c>
      <c r="F249" s="24"/>
      <c r="G249" s="26" t="str">
        <f>IFERROR(VLOOKUP(F249,'05_Master KPI'!$B$5:$G$100,2,FALSE)&amp;" ("&amp;VLOOKUP(F249,'05_Master KPI'!$B$5:$G$100,3,FALSE)&amp;")","")</f>
        <v/>
      </c>
      <c r="H249" s="26">
        <f>IFERROR(IF(B249&lt;&gt;'06_Target KPI'!$B$3,0,IF(VLOOKUP(F249,'05_Master KPI'!$B$5:$G$100,6,FALSE)="Kumulatif",INDEX('06_Target KPI'!$E$5:$P$100,MATCH(F249,'06_Target KPI'!$B$5:$B$100,0),MATCH(A249,'06_Target KPI'!$E$4:$P$4,0))*DAY(C249)/DAY(EOMONTH(C249,0)),INDEX('06_Target KPI'!$E$5:$P$100,MATCH(F249,'06_Target KPI'!$B$5:$B$100,0),MATCH(A249,'06_Target KPI'!$E$4:$P$4,0)))),0)</f>
        <v>0</v>
      </c>
      <c r="I249" s="24"/>
      <c r="J249" s="27">
        <f>IFERROR(MIN(IF(VLOOKUP(F249,'05_Master KPI'!$B$5:$G$100,5,FALSE)="Lower",H249/I249,I249/H249),1),0)</f>
        <v>0</v>
      </c>
      <c r="K249" s="26">
        <f>IFERROR(VLOOKUP(F249,'05_Master KPI'!$B$5:$G$100,4,FALSE),0)</f>
        <v>0</v>
      </c>
      <c r="L249" s="28">
        <f t="shared" si="3"/>
        <v>0</v>
      </c>
      <c r="M249" s="26" t="str">
        <f>IF(D249="","",IF(J249&gt;='13_Setting'!$H$7,"Tercapai",IF(J249&gt;='13_Setting'!$H$6,"On Track","Tertinggal")))</f>
        <v/>
      </c>
      <c r="N249" s="24"/>
    </row>
    <row r="250" spans="1:14">
      <c r="A250" s="24"/>
      <c r="B250" s="24"/>
      <c r="C250" s="25"/>
      <c r="D250" s="24"/>
      <c r="E250" s="26" t="str">
        <f>IFERROR(VLOOKUP(D250,'04_Master Karyawan'!$A$5:$F$50,2,FALSE),"")</f>
        <v/>
      </c>
      <c r="F250" s="24"/>
      <c r="G250" s="26" t="str">
        <f>IFERROR(VLOOKUP(F250,'05_Master KPI'!$B$5:$G$100,2,FALSE)&amp;" ("&amp;VLOOKUP(F250,'05_Master KPI'!$B$5:$G$100,3,FALSE)&amp;")","")</f>
        <v/>
      </c>
      <c r="H250" s="26">
        <f>IFERROR(IF(B250&lt;&gt;'06_Target KPI'!$B$3,0,IF(VLOOKUP(F250,'05_Master KPI'!$B$5:$G$100,6,FALSE)="Kumulatif",INDEX('06_Target KPI'!$E$5:$P$100,MATCH(F250,'06_Target KPI'!$B$5:$B$100,0),MATCH(A250,'06_Target KPI'!$E$4:$P$4,0))*DAY(C250)/DAY(EOMONTH(C250,0)),INDEX('06_Target KPI'!$E$5:$P$100,MATCH(F250,'06_Target KPI'!$B$5:$B$100,0),MATCH(A250,'06_Target KPI'!$E$4:$P$4,0)))),0)</f>
        <v>0</v>
      </c>
      <c r="I250" s="24"/>
      <c r="J250" s="27">
        <f>IFERROR(MIN(IF(VLOOKUP(F250,'05_Master KPI'!$B$5:$G$100,5,FALSE)="Lower",H250/I250,I250/H250),1),0)</f>
        <v>0</v>
      </c>
      <c r="K250" s="26">
        <f>IFERROR(VLOOKUP(F250,'05_Master KPI'!$B$5:$G$100,4,FALSE),0)</f>
        <v>0</v>
      </c>
      <c r="L250" s="28">
        <f t="shared" si="3"/>
        <v>0</v>
      </c>
      <c r="M250" s="26" t="str">
        <f>IF(D250="","",IF(J250&gt;='13_Setting'!$H$7,"Tercapai",IF(J250&gt;='13_Setting'!$H$6,"On Track","Tertinggal")))</f>
        <v/>
      </c>
      <c r="N250" s="24"/>
    </row>
    <row r="251" spans="1:14">
      <c r="A251" s="24"/>
      <c r="B251" s="24"/>
      <c r="C251" s="25"/>
      <c r="D251" s="24"/>
      <c r="E251" s="26" t="str">
        <f>IFERROR(VLOOKUP(D251,'04_Master Karyawan'!$A$5:$F$50,2,FALSE),"")</f>
        <v/>
      </c>
      <c r="F251" s="24"/>
      <c r="G251" s="26" t="str">
        <f>IFERROR(VLOOKUP(F251,'05_Master KPI'!$B$5:$G$100,2,FALSE)&amp;" ("&amp;VLOOKUP(F251,'05_Master KPI'!$B$5:$G$100,3,FALSE)&amp;")","")</f>
        <v/>
      </c>
      <c r="H251" s="26">
        <f>IFERROR(IF(B251&lt;&gt;'06_Target KPI'!$B$3,0,IF(VLOOKUP(F251,'05_Master KPI'!$B$5:$G$100,6,FALSE)="Kumulatif",INDEX('06_Target KPI'!$E$5:$P$100,MATCH(F251,'06_Target KPI'!$B$5:$B$100,0),MATCH(A251,'06_Target KPI'!$E$4:$P$4,0))*DAY(C251)/DAY(EOMONTH(C251,0)),INDEX('06_Target KPI'!$E$5:$P$100,MATCH(F251,'06_Target KPI'!$B$5:$B$100,0),MATCH(A251,'06_Target KPI'!$E$4:$P$4,0)))),0)</f>
        <v>0</v>
      </c>
      <c r="I251" s="24"/>
      <c r="J251" s="27">
        <f>IFERROR(MIN(IF(VLOOKUP(F251,'05_Master KPI'!$B$5:$G$100,5,FALSE)="Lower",H251/I251,I251/H251),1),0)</f>
        <v>0</v>
      </c>
      <c r="K251" s="26">
        <f>IFERROR(VLOOKUP(F251,'05_Master KPI'!$B$5:$G$100,4,FALSE),0)</f>
        <v>0</v>
      </c>
      <c r="L251" s="28">
        <f t="shared" si="3"/>
        <v>0</v>
      </c>
      <c r="M251" s="26" t="str">
        <f>IF(D251="","",IF(J251&gt;='13_Setting'!$H$7,"Tercapai",IF(J251&gt;='13_Setting'!$H$6,"On Track","Tertinggal")))</f>
        <v/>
      </c>
      <c r="N251" s="24"/>
    </row>
    <row r="252" spans="1:14">
      <c r="A252" s="24"/>
      <c r="B252" s="24"/>
      <c r="C252" s="25"/>
      <c r="D252" s="24"/>
      <c r="E252" s="26" t="str">
        <f>IFERROR(VLOOKUP(D252,'04_Master Karyawan'!$A$5:$F$50,2,FALSE),"")</f>
        <v/>
      </c>
      <c r="F252" s="24"/>
      <c r="G252" s="26" t="str">
        <f>IFERROR(VLOOKUP(F252,'05_Master KPI'!$B$5:$G$100,2,FALSE)&amp;" ("&amp;VLOOKUP(F252,'05_Master KPI'!$B$5:$G$100,3,FALSE)&amp;")","")</f>
        <v/>
      </c>
      <c r="H252" s="26">
        <f>IFERROR(IF(B252&lt;&gt;'06_Target KPI'!$B$3,0,IF(VLOOKUP(F252,'05_Master KPI'!$B$5:$G$100,6,FALSE)="Kumulatif",INDEX('06_Target KPI'!$E$5:$P$100,MATCH(F252,'06_Target KPI'!$B$5:$B$100,0),MATCH(A252,'06_Target KPI'!$E$4:$P$4,0))*DAY(C252)/DAY(EOMONTH(C252,0)),INDEX('06_Target KPI'!$E$5:$P$100,MATCH(F252,'06_Target KPI'!$B$5:$B$100,0),MATCH(A252,'06_Target KPI'!$E$4:$P$4,0)))),0)</f>
        <v>0</v>
      </c>
      <c r="I252" s="24"/>
      <c r="J252" s="27">
        <f>IFERROR(MIN(IF(VLOOKUP(F252,'05_Master KPI'!$B$5:$G$100,5,FALSE)="Lower",H252/I252,I252/H252),1),0)</f>
        <v>0</v>
      </c>
      <c r="K252" s="26">
        <f>IFERROR(VLOOKUP(F252,'05_Master KPI'!$B$5:$G$100,4,FALSE),0)</f>
        <v>0</v>
      </c>
      <c r="L252" s="28">
        <f t="shared" si="3"/>
        <v>0</v>
      </c>
      <c r="M252" s="26" t="str">
        <f>IF(D252="","",IF(J252&gt;='13_Setting'!$H$7,"Tercapai",IF(J252&gt;='13_Setting'!$H$6,"On Track","Tertinggal")))</f>
        <v/>
      </c>
      <c r="N252" s="24"/>
    </row>
    <row r="253" spans="1:14">
      <c r="A253" s="24"/>
      <c r="B253" s="24"/>
      <c r="C253" s="25"/>
      <c r="D253" s="24"/>
      <c r="E253" s="26" t="str">
        <f>IFERROR(VLOOKUP(D253,'04_Master Karyawan'!$A$5:$F$50,2,FALSE),"")</f>
        <v/>
      </c>
      <c r="F253" s="24"/>
      <c r="G253" s="26" t="str">
        <f>IFERROR(VLOOKUP(F253,'05_Master KPI'!$B$5:$G$100,2,FALSE)&amp;" ("&amp;VLOOKUP(F253,'05_Master KPI'!$B$5:$G$100,3,FALSE)&amp;")","")</f>
        <v/>
      </c>
      <c r="H253" s="26">
        <f>IFERROR(IF(B253&lt;&gt;'06_Target KPI'!$B$3,0,IF(VLOOKUP(F253,'05_Master KPI'!$B$5:$G$100,6,FALSE)="Kumulatif",INDEX('06_Target KPI'!$E$5:$P$100,MATCH(F253,'06_Target KPI'!$B$5:$B$100,0),MATCH(A253,'06_Target KPI'!$E$4:$P$4,0))*DAY(C253)/DAY(EOMONTH(C253,0)),INDEX('06_Target KPI'!$E$5:$P$100,MATCH(F253,'06_Target KPI'!$B$5:$B$100,0),MATCH(A253,'06_Target KPI'!$E$4:$P$4,0)))),0)</f>
        <v>0</v>
      </c>
      <c r="I253" s="24"/>
      <c r="J253" s="27">
        <f>IFERROR(MIN(IF(VLOOKUP(F253,'05_Master KPI'!$B$5:$G$100,5,FALSE)="Lower",H253/I253,I253/H253),1),0)</f>
        <v>0</v>
      </c>
      <c r="K253" s="26">
        <f>IFERROR(VLOOKUP(F253,'05_Master KPI'!$B$5:$G$100,4,FALSE),0)</f>
        <v>0</v>
      </c>
      <c r="L253" s="28">
        <f t="shared" si="3"/>
        <v>0</v>
      </c>
      <c r="M253" s="26" t="str">
        <f>IF(D253="","",IF(J253&gt;='13_Setting'!$H$7,"Tercapai",IF(J253&gt;='13_Setting'!$H$6,"On Track","Tertinggal")))</f>
        <v/>
      </c>
      <c r="N253" s="24"/>
    </row>
    <row r="254" spans="1:14">
      <c r="A254" s="24"/>
      <c r="B254" s="24"/>
      <c r="C254" s="25"/>
      <c r="D254" s="24"/>
      <c r="E254" s="26" t="str">
        <f>IFERROR(VLOOKUP(D254,'04_Master Karyawan'!$A$5:$F$50,2,FALSE),"")</f>
        <v/>
      </c>
      <c r="F254" s="24"/>
      <c r="G254" s="26" t="str">
        <f>IFERROR(VLOOKUP(F254,'05_Master KPI'!$B$5:$G$100,2,FALSE)&amp;" ("&amp;VLOOKUP(F254,'05_Master KPI'!$B$5:$G$100,3,FALSE)&amp;")","")</f>
        <v/>
      </c>
      <c r="H254" s="26">
        <f>IFERROR(IF(B254&lt;&gt;'06_Target KPI'!$B$3,0,IF(VLOOKUP(F254,'05_Master KPI'!$B$5:$G$100,6,FALSE)="Kumulatif",INDEX('06_Target KPI'!$E$5:$P$100,MATCH(F254,'06_Target KPI'!$B$5:$B$100,0),MATCH(A254,'06_Target KPI'!$E$4:$P$4,0))*DAY(C254)/DAY(EOMONTH(C254,0)),INDEX('06_Target KPI'!$E$5:$P$100,MATCH(F254,'06_Target KPI'!$B$5:$B$100,0),MATCH(A254,'06_Target KPI'!$E$4:$P$4,0)))),0)</f>
        <v>0</v>
      </c>
      <c r="I254" s="24"/>
      <c r="J254" s="27">
        <f>IFERROR(MIN(IF(VLOOKUP(F254,'05_Master KPI'!$B$5:$G$100,5,FALSE)="Lower",H254/I254,I254/H254),1),0)</f>
        <v>0</v>
      </c>
      <c r="K254" s="26">
        <f>IFERROR(VLOOKUP(F254,'05_Master KPI'!$B$5:$G$100,4,FALSE),0)</f>
        <v>0</v>
      </c>
      <c r="L254" s="28">
        <f t="shared" si="3"/>
        <v>0</v>
      </c>
      <c r="M254" s="26" t="str">
        <f>IF(D254="","",IF(J254&gt;='13_Setting'!$H$7,"Tercapai",IF(J254&gt;='13_Setting'!$H$6,"On Track","Tertinggal")))</f>
        <v/>
      </c>
      <c r="N254" s="24"/>
    </row>
    <row r="255" spans="1:14">
      <c r="A255" s="24"/>
      <c r="B255" s="24"/>
      <c r="C255" s="25"/>
      <c r="D255" s="24"/>
      <c r="E255" s="26" t="str">
        <f>IFERROR(VLOOKUP(D255,'04_Master Karyawan'!$A$5:$F$50,2,FALSE),"")</f>
        <v/>
      </c>
      <c r="F255" s="24"/>
      <c r="G255" s="26" t="str">
        <f>IFERROR(VLOOKUP(F255,'05_Master KPI'!$B$5:$G$100,2,FALSE)&amp;" ("&amp;VLOOKUP(F255,'05_Master KPI'!$B$5:$G$100,3,FALSE)&amp;")","")</f>
        <v/>
      </c>
      <c r="H255" s="26">
        <f>IFERROR(IF(B255&lt;&gt;'06_Target KPI'!$B$3,0,IF(VLOOKUP(F255,'05_Master KPI'!$B$5:$G$100,6,FALSE)="Kumulatif",INDEX('06_Target KPI'!$E$5:$P$100,MATCH(F255,'06_Target KPI'!$B$5:$B$100,0),MATCH(A255,'06_Target KPI'!$E$4:$P$4,0))*DAY(C255)/DAY(EOMONTH(C255,0)),INDEX('06_Target KPI'!$E$5:$P$100,MATCH(F255,'06_Target KPI'!$B$5:$B$100,0),MATCH(A255,'06_Target KPI'!$E$4:$P$4,0)))),0)</f>
        <v>0</v>
      </c>
      <c r="I255" s="24"/>
      <c r="J255" s="27">
        <f>IFERROR(MIN(IF(VLOOKUP(F255,'05_Master KPI'!$B$5:$G$100,5,FALSE)="Lower",H255/I255,I255/H255),1),0)</f>
        <v>0</v>
      </c>
      <c r="K255" s="26">
        <f>IFERROR(VLOOKUP(F255,'05_Master KPI'!$B$5:$G$100,4,FALSE),0)</f>
        <v>0</v>
      </c>
      <c r="L255" s="28">
        <f t="shared" si="3"/>
        <v>0</v>
      </c>
      <c r="M255" s="26" t="str">
        <f>IF(D255="","",IF(J255&gt;='13_Setting'!$H$7,"Tercapai",IF(J255&gt;='13_Setting'!$H$6,"On Track","Tertinggal")))</f>
        <v/>
      </c>
      <c r="N255" s="24"/>
    </row>
    <row r="256" spans="1:14">
      <c r="A256" s="24"/>
      <c r="B256" s="24"/>
      <c r="C256" s="25"/>
      <c r="D256" s="24"/>
      <c r="E256" s="26" t="str">
        <f>IFERROR(VLOOKUP(D256,'04_Master Karyawan'!$A$5:$F$50,2,FALSE),"")</f>
        <v/>
      </c>
      <c r="F256" s="24"/>
      <c r="G256" s="26" t="str">
        <f>IFERROR(VLOOKUP(F256,'05_Master KPI'!$B$5:$G$100,2,FALSE)&amp;" ("&amp;VLOOKUP(F256,'05_Master KPI'!$B$5:$G$100,3,FALSE)&amp;")","")</f>
        <v/>
      </c>
      <c r="H256" s="26">
        <f>IFERROR(IF(B256&lt;&gt;'06_Target KPI'!$B$3,0,IF(VLOOKUP(F256,'05_Master KPI'!$B$5:$G$100,6,FALSE)="Kumulatif",INDEX('06_Target KPI'!$E$5:$P$100,MATCH(F256,'06_Target KPI'!$B$5:$B$100,0),MATCH(A256,'06_Target KPI'!$E$4:$P$4,0))*DAY(C256)/DAY(EOMONTH(C256,0)),INDEX('06_Target KPI'!$E$5:$P$100,MATCH(F256,'06_Target KPI'!$B$5:$B$100,0),MATCH(A256,'06_Target KPI'!$E$4:$P$4,0)))),0)</f>
        <v>0</v>
      </c>
      <c r="I256" s="24"/>
      <c r="J256" s="27">
        <f>IFERROR(MIN(IF(VLOOKUP(F256,'05_Master KPI'!$B$5:$G$100,5,FALSE)="Lower",H256/I256,I256/H256),1),0)</f>
        <v>0</v>
      </c>
      <c r="K256" s="26">
        <f>IFERROR(VLOOKUP(F256,'05_Master KPI'!$B$5:$G$100,4,FALSE),0)</f>
        <v>0</v>
      </c>
      <c r="L256" s="28">
        <f t="shared" si="3"/>
        <v>0</v>
      </c>
      <c r="M256" s="26" t="str">
        <f>IF(D256="","",IF(J256&gt;='13_Setting'!$H$7,"Tercapai",IF(J256&gt;='13_Setting'!$H$6,"On Track","Tertinggal")))</f>
        <v/>
      </c>
      <c r="N256" s="24"/>
    </row>
    <row r="257" spans="1:14">
      <c r="A257" s="24"/>
      <c r="B257" s="24"/>
      <c r="C257" s="25"/>
      <c r="D257" s="24"/>
      <c r="E257" s="26" t="str">
        <f>IFERROR(VLOOKUP(D257,'04_Master Karyawan'!$A$5:$F$50,2,FALSE),"")</f>
        <v/>
      </c>
      <c r="F257" s="24"/>
      <c r="G257" s="26" t="str">
        <f>IFERROR(VLOOKUP(F257,'05_Master KPI'!$B$5:$G$100,2,FALSE)&amp;" ("&amp;VLOOKUP(F257,'05_Master KPI'!$B$5:$G$100,3,FALSE)&amp;")","")</f>
        <v/>
      </c>
      <c r="H257" s="26">
        <f>IFERROR(IF(B257&lt;&gt;'06_Target KPI'!$B$3,0,IF(VLOOKUP(F257,'05_Master KPI'!$B$5:$G$100,6,FALSE)="Kumulatif",INDEX('06_Target KPI'!$E$5:$P$100,MATCH(F257,'06_Target KPI'!$B$5:$B$100,0),MATCH(A257,'06_Target KPI'!$E$4:$P$4,0))*DAY(C257)/DAY(EOMONTH(C257,0)),INDEX('06_Target KPI'!$E$5:$P$100,MATCH(F257,'06_Target KPI'!$B$5:$B$100,0),MATCH(A257,'06_Target KPI'!$E$4:$P$4,0)))),0)</f>
        <v>0</v>
      </c>
      <c r="I257" s="24"/>
      <c r="J257" s="27">
        <f>IFERROR(MIN(IF(VLOOKUP(F257,'05_Master KPI'!$B$5:$G$100,5,FALSE)="Lower",H257/I257,I257/H257),1),0)</f>
        <v>0</v>
      </c>
      <c r="K257" s="26">
        <f>IFERROR(VLOOKUP(F257,'05_Master KPI'!$B$5:$G$100,4,FALSE),0)</f>
        <v>0</v>
      </c>
      <c r="L257" s="28">
        <f t="shared" si="3"/>
        <v>0</v>
      </c>
      <c r="M257" s="26" t="str">
        <f>IF(D257="","",IF(J257&gt;='13_Setting'!$H$7,"Tercapai",IF(J257&gt;='13_Setting'!$H$6,"On Track","Tertinggal")))</f>
        <v/>
      </c>
      <c r="N257" s="24"/>
    </row>
    <row r="258" spans="1:14">
      <c r="A258" s="24"/>
      <c r="B258" s="24"/>
      <c r="C258" s="25"/>
      <c r="D258" s="24"/>
      <c r="E258" s="26" t="str">
        <f>IFERROR(VLOOKUP(D258,'04_Master Karyawan'!$A$5:$F$50,2,FALSE),"")</f>
        <v/>
      </c>
      <c r="F258" s="24"/>
      <c r="G258" s="26" t="str">
        <f>IFERROR(VLOOKUP(F258,'05_Master KPI'!$B$5:$G$100,2,FALSE)&amp;" ("&amp;VLOOKUP(F258,'05_Master KPI'!$B$5:$G$100,3,FALSE)&amp;")","")</f>
        <v/>
      </c>
      <c r="H258" s="26">
        <f>IFERROR(IF(B258&lt;&gt;'06_Target KPI'!$B$3,0,IF(VLOOKUP(F258,'05_Master KPI'!$B$5:$G$100,6,FALSE)="Kumulatif",INDEX('06_Target KPI'!$E$5:$P$100,MATCH(F258,'06_Target KPI'!$B$5:$B$100,0),MATCH(A258,'06_Target KPI'!$E$4:$P$4,0))*DAY(C258)/DAY(EOMONTH(C258,0)),INDEX('06_Target KPI'!$E$5:$P$100,MATCH(F258,'06_Target KPI'!$B$5:$B$100,0),MATCH(A258,'06_Target KPI'!$E$4:$P$4,0)))),0)</f>
        <v>0</v>
      </c>
      <c r="I258" s="24"/>
      <c r="J258" s="27">
        <f>IFERROR(MIN(IF(VLOOKUP(F258,'05_Master KPI'!$B$5:$G$100,5,FALSE)="Lower",H258/I258,I258/H258),1),0)</f>
        <v>0</v>
      </c>
      <c r="K258" s="26">
        <f>IFERROR(VLOOKUP(F258,'05_Master KPI'!$B$5:$G$100,4,FALSE),0)</f>
        <v>0</v>
      </c>
      <c r="L258" s="28">
        <f t="shared" si="3"/>
        <v>0</v>
      </c>
      <c r="M258" s="26" t="str">
        <f>IF(D258="","",IF(J258&gt;='13_Setting'!$H$7,"Tercapai",IF(J258&gt;='13_Setting'!$H$6,"On Track","Tertinggal")))</f>
        <v/>
      </c>
      <c r="N258" s="24"/>
    </row>
    <row r="259" spans="1:14">
      <c r="A259" s="24"/>
      <c r="B259" s="24"/>
      <c r="C259" s="25"/>
      <c r="D259" s="24"/>
      <c r="E259" s="26" t="str">
        <f>IFERROR(VLOOKUP(D259,'04_Master Karyawan'!$A$5:$F$50,2,FALSE),"")</f>
        <v/>
      </c>
      <c r="F259" s="24"/>
      <c r="G259" s="26" t="str">
        <f>IFERROR(VLOOKUP(F259,'05_Master KPI'!$B$5:$G$100,2,FALSE)&amp;" ("&amp;VLOOKUP(F259,'05_Master KPI'!$B$5:$G$100,3,FALSE)&amp;")","")</f>
        <v/>
      </c>
      <c r="H259" s="26">
        <f>IFERROR(IF(B259&lt;&gt;'06_Target KPI'!$B$3,0,IF(VLOOKUP(F259,'05_Master KPI'!$B$5:$G$100,6,FALSE)="Kumulatif",INDEX('06_Target KPI'!$E$5:$P$100,MATCH(F259,'06_Target KPI'!$B$5:$B$100,0),MATCH(A259,'06_Target KPI'!$E$4:$P$4,0))*DAY(C259)/DAY(EOMONTH(C259,0)),INDEX('06_Target KPI'!$E$5:$P$100,MATCH(F259,'06_Target KPI'!$B$5:$B$100,0),MATCH(A259,'06_Target KPI'!$E$4:$P$4,0)))),0)</f>
        <v>0</v>
      </c>
      <c r="I259" s="24"/>
      <c r="J259" s="27">
        <f>IFERROR(MIN(IF(VLOOKUP(F259,'05_Master KPI'!$B$5:$G$100,5,FALSE)="Lower",H259/I259,I259/H259),1),0)</f>
        <v>0</v>
      </c>
      <c r="K259" s="26">
        <f>IFERROR(VLOOKUP(F259,'05_Master KPI'!$B$5:$G$100,4,FALSE),0)</f>
        <v>0</v>
      </c>
      <c r="L259" s="28">
        <f t="shared" si="3"/>
        <v>0</v>
      </c>
      <c r="M259" s="26" t="str">
        <f>IF(D259="","",IF(J259&gt;='13_Setting'!$H$7,"Tercapai",IF(J259&gt;='13_Setting'!$H$6,"On Track","Tertinggal")))</f>
        <v/>
      </c>
      <c r="N259" s="24"/>
    </row>
    <row r="260" spans="1:14">
      <c r="A260" s="24"/>
      <c r="B260" s="24"/>
      <c r="C260" s="25"/>
      <c r="D260" s="24"/>
      <c r="E260" s="26" t="str">
        <f>IFERROR(VLOOKUP(D260,'04_Master Karyawan'!$A$5:$F$50,2,FALSE),"")</f>
        <v/>
      </c>
      <c r="F260" s="24"/>
      <c r="G260" s="26" t="str">
        <f>IFERROR(VLOOKUP(F260,'05_Master KPI'!$B$5:$G$100,2,FALSE)&amp;" ("&amp;VLOOKUP(F260,'05_Master KPI'!$B$5:$G$100,3,FALSE)&amp;")","")</f>
        <v/>
      </c>
      <c r="H260" s="26">
        <f>IFERROR(IF(B260&lt;&gt;'06_Target KPI'!$B$3,0,IF(VLOOKUP(F260,'05_Master KPI'!$B$5:$G$100,6,FALSE)="Kumulatif",INDEX('06_Target KPI'!$E$5:$P$100,MATCH(F260,'06_Target KPI'!$B$5:$B$100,0),MATCH(A260,'06_Target KPI'!$E$4:$P$4,0))*DAY(C260)/DAY(EOMONTH(C260,0)),INDEX('06_Target KPI'!$E$5:$P$100,MATCH(F260,'06_Target KPI'!$B$5:$B$100,0),MATCH(A260,'06_Target KPI'!$E$4:$P$4,0)))),0)</f>
        <v>0</v>
      </c>
      <c r="I260" s="24"/>
      <c r="J260" s="27">
        <f>IFERROR(MIN(IF(VLOOKUP(F260,'05_Master KPI'!$B$5:$G$100,5,FALSE)="Lower",H260/I260,I260/H260),1),0)</f>
        <v>0</v>
      </c>
      <c r="K260" s="26">
        <f>IFERROR(VLOOKUP(F260,'05_Master KPI'!$B$5:$G$100,4,FALSE),0)</f>
        <v>0</v>
      </c>
      <c r="L260" s="28">
        <f t="shared" si="3"/>
        <v>0</v>
      </c>
      <c r="M260" s="26" t="str">
        <f>IF(D260="","",IF(J260&gt;='13_Setting'!$H$7,"Tercapai",IF(J260&gt;='13_Setting'!$H$6,"On Track","Tertinggal")))</f>
        <v/>
      </c>
      <c r="N260" s="24"/>
    </row>
    <row r="261" spans="1:14">
      <c r="A261" s="24"/>
      <c r="B261" s="24"/>
      <c r="C261" s="25"/>
      <c r="D261" s="24"/>
      <c r="E261" s="26" t="str">
        <f>IFERROR(VLOOKUP(D261,'04_Master Karyawan'!$A$5:$F$50,2,FALSE),"")</f>
        <v/>
      </c>
      <c r="F261" s="24"/>
      <c r="G261" s="26" t="str">
        <f>IFERROR(VLOOKUP(F261,'05_Master KPI'!$B$5:$G$100,2,FALSE)&amp;" ("&amp;VLOOKUP(F261,'05_Master KPI'!$B$5:$G$100,3,FALSE)&amp;")","")</f>
        <v/>
      </c>
      <c r="H261" s="26">
        <f>IFERROR(IF(B261&lt;&gt;'06_Target KPI'!$B$3,0,IF(VLOOKUP(F261,'05_Master KPI'!$B$5:$G$100,6,FALSE)="Kumulatif",INDEX('06_Target KPI'!$E$5:$P$100,MATCH(F261,'06_Target KPI'!$B$5:$B$100,0),MATCH(A261,'06_Target KPI'!$E$4:$P$4,0))*DAY(C261)/DAY(EOMONTH(C261,0)),INDEX('06_Target KPI'!$E$5:$P$100,MATCH(F261,'06_Target KPI'!$B$5:$B$100,0),MATCH(A261,'06_Target KPI'!$E$4:$P$4,0)))),0)</f>
        <v>0</v>
      </c>
      <c r="I261" s="24"/>
      <c r="J261" s="27">
        <f>IFERROR(MIN(IF(VLOOKUP(F261,'05_Master KPI'!$B$5:$G$100,5,FALSE)="Lower",H261/I261,I261/H261),1),0)</f>
        <v>0</v>
      </c>
      <c r="K261" s="26">
        <f>IFERROR(VLOOKUP(F261,'05_Master KPI'!$B$5:$G$100,4,FALSE),0)</f>
        <v>0</v>
      </c>
      <c r="L261" s="28">
        <f t="shared" ref="L261:L304" si="4">J261*K261</f>
        <v>0</v>
      </c>
      <c r="M261" s="26" t="str">
        <f>IF(D261="","",IF(J261&gt;='13_Setting'!$H$7,"Tercapai",IF(J261&gt;='13_Setting'!$H$6,"On Track","Tertinggal")))</f>
        <v/>
      </c>
      <c r="N261" s="24"/>
    </row>
    <row r="262" spans="1:14">
      <c r="A262" s="24"/>
      <c r="B262" s="24"/>
      <c r="C262" s="25"/>
      <c r="D262" s="24"/>
      <c r="E262" s="26" t="str">
        <f>IFERROR(VLOOKUP(D262,'04_Master Karyawan'!$A$5:$F$50,2,FALSE),"")</f>
        <v/>
      </c>
      <c r="F262" s="24"/>
      <c r="G262" s="26" t="str">
        <f>IFERROR(VLOOKUP(F262,'05_Master KPI'!$B$5:$G$100,2,FALSE)&amp;" ("&amp;VLOOKUP(F262,'05_Master KPI'!$B$5:$G$100,3,FALSE)&amp;")","")</f>
        <v/>
      </c>
      <c r="H262" s="26">
        <f>IFERROR(IF(B262&lt;&gt;'06_Target KPI'!$B$3,0,IF(VLOOKUP(F262,'05_Master KPI'!$B$5:$G$100,6,FALSE)="Kumulatif",INDEX('06_Target KPI'!$E$5:$P$100,MATCH(F262,'06_Target KPI'!$B$5:$B$100,0),MATCH(A262,'06_Target KPI'!$E$4:$P$4,0))*DAY(C262)/DAY(EOMONTH(C262,0)),INDEX('06_Target KPI'!$E$5:$P$100,MATCH(F262,'06_Target KPI'!$B$5:$B$100,0),MATCH(A262,'06_Target KPI'!$E$4:$P$4,0)))),0)</f>
        <v>0</v>
      </c>
      <c r="I262" s="24"/>
      <c r="J262" s="27">
        <f>IFERROR(MIN(IF(VLOOKUP(F262,'05_Master KPI'!$B$5:$G$100,5,FALSE)="Lower",H262/I262,I262/H262),1),0)</f>
        <v>0</v>
      </c>
      <c r="K262" s="26">
        <f>IFERROR(VLOOKUP(F262,'05_Master KPI'!$B$5:$G$100,4,FALSE),0)</f>
        <v>0</v>
      </c>
      <c r="L262" s="28">
        <f t="shared" si="4"/>
        <v>0</v>
      </c>
      <c r="M262" s="26" t="str">
        <f>IF(D262="","",IF(J262&gt;='13_Setting'!$H$7,"Tercapai",IF(J262&gt;='13_Setting'!$H$6,"On Track","Tertinggal")))</f>
        <v/>
      </c>
      <c r="N262" s="24"/>
    </row>
    <row r="263" spans="1:14">
      <c r="A263" s="24"/>
      <c r="B263" s="24"/>
      <c r="C263" s="25"/>
      <c r="D263" s="24"/>
      <c r="E263" s="26" t="str">
        <f>IFERROR(VLOOKUP(D263,'04_Master Karyawan'!$A$5:$F$50,2,FALSE),"")</f>
        <v/>
      </c>
      <c r="F263" s="24"/>
      <c r="G263" s="26" t="str">
        <f>IFERROR(VLOOKUP(F263,'05_Master KPI'!$B$5:$G$100,2,FALSE)&amp;" ("&amp;VLOOKUP(F263,'05_Master KPI'!$B$5:$G$100,3,FALSE)&amp;")","")</f>
        <v/>
      </c>
      <c r="H263" s="26">
        <f>IFERROR(IF(B263&lt;&gt;'06_Target KPI'!$B$3,0,IF(VLOOKUP(F263,'05_Master KPI'!$B$5:$G$100,6,FALSE)="Kumulatif",INDEX('06_Target KPI'!$E$5:$P$100,MATCH(F263,'06_Target KPI'!$B$5:$B$100,0),MATCH(A263,'06_Target KPI'!$E$4:$P$4,0))*DAY(C263)/DAY(EOMONTH(C263,0)),INDEX('06_Target KPI'!$E$5:$P$100,MATCH(F263,'06_Target KPI'!$B$5:$B$100,0),MATCH(A263,'06_Target KPI'!$E$4:$P$4,0)))),0)</f>
        <v>0</v>
      </c>
      <c r="I263" s="24"/>
      <c r="J263" s="27">
        <f>IFERROR(MIN(IF(VLOOKUP(F263,'05_Master KPI'!$B$5:$G$100,5,FALSE)="Lower",H263/I263,I263/H263),1),0)</f>
        <v>0</v>
      </c>
      <c r="K263" s="26">
        <f>IFERROR(VLOOKUP(F263,'05_Master KPI'!$B$5:$G$100,4,FALSE),0)</f>
        <v>0</v>
      </c>
      <c r="L263" s="28">
        <f t="shared" si="4"/>
        <v>0</v>
      </c>
      <c r="M263" s="26" t="str">
        <f>IF(D263="","",IF(J263&gt;='13_Setting'!$H$7,"Tercapai",IF(J263&gt;='13_Setting'!$H$6,"On Track","Tertinggal")))</f>
        <v/>
      </c>
      <c r="N263" s="24"/>
    </row>
    <row r="264" spans="1:14">
      <c r="A264" s="24"/>
      <c r="B264" s="24"/>
      <c r="C264" s="25"/>
      <c r="D264" s="24"/>
      <c r="E264" s="26" t="str">
        <f>IFERROR(VLOOKUP(D264,'04_Master Karyawan'!$A$5:$F$50,2,FALSE),"")</f>
        <v/>
      </c>
      <c r="F264" s="24"/>
      <c r="G264" s="26" t="str">
        <f>IFERROR(VLOOKUP(F264,'05_Master KPI'!$B$5:$G$100,2,FALSE)&amp;" ("&amp;VLOOKUP(F264,'05_Master KPI'!$B$5:$G$100,3,FALSE)&amp;")","")</f>
        <v/>
      </c>
      <c r="H264" s="26">
        <f>IFERROR(IF(B264&lt;&gt;'06_Target KPI'!$B$3,0,IF(VLOOKUP(F264,'05_Master KPI'!$B$5:$G$100,6,FALSE)="Kumulatif",INDEX('06_Target KPI'!$E$5:$P$100,MATCH(F264,'06_Target KPI'!$B$5:$B$100,0),MATCH(A264,'06_Target KPI'!$E$4:$P$4,0))*DAY(C264)/DAY(EOMONTH(C264,0)),INDEX('06_Target KPI'!$E$5:$P$100,MATCH(F264,'06_Target KPI'!$B$5:$B$100,0),MATCH(A264,'06_Target KPI'!$E$4:$P$4,0)))),0)</f>
        <v>0</v>
      </c>
      <c r="I264" s="24"/>
      <c r="J264" s="27">
        <f>IFERROR(MIN(IF(VLOOKUP(F264,'05_Master KPI'!$B$5:$G$100,5,FALSE)="Lower",H264/I264,I264/H264),1),0)</f>
        <v>0</v>
      </c>
      <c r="K264" s="26">
        <f>IFERROR(VLOOKUP(F264,'05_Master KPI'!$B$5:$G$100,4,FALSE),0)</f>
        <v>0</v>
      </c>
      <c r="L264" s="28">
        <f t="shared" si="4"/>
        <v>0</v>
      </c>
      <c r="M264" s="26" t="str">
        <f>IF(D264="","",IF(J264&gt;='13_Setting'!$H$7,"Tercapai",IF(J264&gt;='13_Setting'!$H$6,"On Track","Tertinggal")))</f>
        <v/>
      </c>
      <c r="N264" s="24"/>
    </row>
    <row r="265" spans="1:14">
      <c r="A265" s="24"/>
      <c r="B265" s="24"/>
      <c r="C265" s="25"/>
      <c r="D265" s="24"/>
      <c r="E265" s="26" t="str">
        <f>IFERROR(VLOOKUP(D265,'04_Master Karyawan'!$A$5:$F$50,2,FALSE),"")</f>
        <v/>
      </c>
      <c r="F265" s="24"/>
      <c r="G265" s="26" t="str">
        <f>IFERROR(VLOOKUP(F265,'05_Master KPI'!$B$5:$G$100,2,FALSE)&amp;" ("&amp;VLOOKUP(F265,'05_Master KPI'!$B$5:$G$100,3,FALSE)&amp;")","")</f>
        <v/>
      </c>
      <c r="H265" s="26">
        <f>IFERROR(IF(B265&lt;&gt;'06_Target KPI'!$B$3,0,IF(VLOOKUP(F265,'05_Master KPI'!$B$5:$G$100,6,FALSE)="Kumulatif",INDEX('06_Target KPI'!$E$5:$P$100,MATCH(F265,'06_Target KPI'!$B$5:$B$100,0),MATCH(A265,'06_Target KPI'!$E$4:$P$4,0))*DAY(C265)/DAY(EOMONTH(C265,0)),INDEX('06_Target KPI'!$E$5:$P$100,MATCH(F265,'06_Target KPI'!$B$5:$B$100,0),MATCH(A265,'06_Target KPI'!$E$4:$P$4,0)))),0)</f>
        <v>0</v>
      </c>
      <c r="I265" s="24"/>
      <c r="J265" s="27">
        <f>IFERROR(MIN(IF(VLOOKUP(F265,'05_Master KPI'!$B$5:$G$100,5,FALSE)="Lower",H265/I265,I265/H265),1),0)</f>
        <v>0</v>
      </c>
      <c r="K265" s="26">
        <f>IFERROR(VLOOKUP(F265,'05_Master KPI'!$B$5:$G$100,4,FALSE),0)</f>
        <v>0</v>
      </c>
      <c r="L265" s="28">
        <f t="shared" si="4"/>
        <v>0</v>
      </c>
      <c r="M265" s="26" t="str">
        <f>IF(D265="","",IF(J265&gt;='13_Setting'!$H$7,"Tercapai",IF(J265&gt;='13_Setting'!$H$6,"On Track","Tertinggal")))</f>
        <v/>
      </c>
      <c r="N265" s="24"/>
    </row>
    <row r="266" spans="1:14">
      <c r="A266" s="24"/>
      <c r="B266" s="24"/>
      <c r="C266" s="25"/>
      <c r="D266" s="24"/>
      <c r="E266" s="26" t="str">
        <f>IFERROR(VLOOKUP(D266,'04_Master Karyawan'!$A$5:$F$50,2,FALSE),"")</f>
        <v/>
      </c>
      <c r="F266" s="24"/>
      <c r="G266" s="26" t="str">
        <f>IFERROR(VLOOKUP(F266,'05_Master KPI'!$B$5:$G$100,2,FALSE)&amp;" ("&amp;VLOOKUP(F266,'05_Master KPI'!$B$5:$G$100,3,FALSE)&amp;")","")</f>
        <v/>
      </c>
      <c r="H266" s="26">
        <f>IFERROR(IF(B266&lt;&gt;'06_Target KPI'!$B$3,0,IF(VLOOKUP(F266,'05_Master KPI'!$B$5:$G$100,6,FALSE)="Kumulatif",INDEX('06_Target KPI'!$E$5:$P$100,MATCH(F266,'06_Target KPI'!$B$5:$B$100,0),MATCH(A266,'06_Target KPI'!$E$4:$P$4,0))*DAY(C266)/DAY(EOMONTH(C266,0)),INDEX('06_Target KPI'!$E$5:$P$100,MATCH(F266,'06_Target KPI'!$B$5:$B$100,0),MATCH(A266,'06_Target KPI'!$E$4:$P$4,0)))),0)</f>
        <v>0</v>
      </c>
      <c r="I266" s="24"/>
      <c r="J266" s="27">
        <f>IFERROR(MIN(IF(VLOOKUP(F266,'05_Master KPI'!$B$5:$G$100,5,FALSE)="Lower",H266/I266,I266/H266),1),0)</f>
        <v>0</v>
      </c>
      <c r="K266" s="26">
        <f>IFERROR(VLOOKUP(F266,'05_Master KPI'!$B$5:$G$100,4,FALSE),0)</f>
        <v>0</v>
      </c>
      <c r="L266" s="28">
        <f t="shared" si="4"/>
        <v>0</v>
      </c>
      <c r="M266" s="26" t="str">
        <f>IF(D266="","",IF(J266&gt;='13_Setting'!$H$7,"Tercapai",IF(J266&gt;='13_Setting'!$H$6,"On Track","Tertinggal")))</f>
        <v/>
      </c>
      <c r="N266" s="24"/>
    </row>
    <row r="267" spans="1:14">
      <c r="A267" s="24"/>
      <c r="B267" s="24"/>
      <c r="C267" s="25"/>
      <c r="D267" s="24"/>
      <c r="E267" s="26" t="str">
        <f>IFERROR(VLOOKUP(D267,'04_Master Karyawan'!$A$5:$F$50,2,FALSE),"")</f>
        <v/>
      </c>
      <c r="F267" s="24"/>
      <c r="G267" s="26" t="str">
        <f>IFERROR(VLOOKUP(F267,'05_Master KPI'!$B$5:$G$100,2,FALSE)&amp;" ("&amp;VLOOKUP(F267,'05_Master KPI'!$B$5:$G$100,3,FALSE)&amp;")","")</f>
        <v/>
      </c>
      <c r="H267" s="26">
        <f>IFERROR(IF(B267&lt;&gt;'06_Target KPI'!$B$3,0,IF(VLOOKUP(F267,'05_Master KPI'!$B$5:$G$100,6,FALSE)="Kumulatif",INDEX('06_Target KPI'!$E$5:$P$100,MATCH(F267,'06_Target KPI'!$B$5:$B$100,0),MATCH(A267,'06_Target KPI'!$E$4:$P$4,0))*DAY(C267)/DAY(EOMONTH(C267,0)),INDEX('06_Target KPI'!$E$5:$P$100,MATCH(F267,'06_Target KPI'!$B$5:$B$100,0),MATCH(A267,'06_Target KPI'!$E$4:$P$4,0)))),0)</f>
        <v>0</v>
      </c>
      <c r="I267" s="24"/>
      <c r="J267" s="27">
        <f>IFERROR(MIN(IF(VLOOKUP(F267,'05_Master KPI'!$B$5:$G$100,5,FALSE)="Lower",H267/I267,I267/H267),1),0)</f>
        <v>0</v>
      </c>
      <c r="K267" s="26">
        <f>IFERROR(VLOOKUP(F267,'05_Master KPI'!$B$5:$G$100,4,FALSE),0)</f>
        <v>0</v>
      </c>
      <c r="L267" s="28">
        <f t="shared" si="4"/>
        <v>0</v>
      </c>
      <c r="M267" s="26" t="str">
        <f>IF(D267="","",IF(J267&gt;='13_Setting'!$H$7,"Tercapai",IF(J267&gt;='13_Setting'!$H$6,"On Track","Tertinggal")))</f>
        <v/>
      </c>
      <c r="N267" s="24"/>
    </row>
    <row r="268" spans="1:14">
      <c r="A268" s="24"/>
      <c r="B268" s="24"/>
      <c r="C268" s="25"/>
      <c r="D268" s="24"/>
      <c r="E268" s="26" t="str">
        <f>IFERROR(VLOOKUP(D268,'04_Master Karyawan'!$A$5:$F$50,2,FALSE),"")</f>
        <v/>
      </c>
      <c r="F268" s="24"/>
      <c r="G268" s="26" t="str">
        <f>IFERROR(VLOOKUP(F268,'05_Master KPI'!$B$5:$G$100,2,FALSE)&amp;" ("&amp;VLOOKUP(F268,'05_Master KPI'!$B$5:$G$100,3,FALSE)&amp;")","")</f>
        <v/>
      </c>
      <c r="H268" s="26">
        <f>IFERROR(IF(B268&lt;&gt;'06_Target KPI'!$B$3,0,IF(VLOOKUP(F268,'05_Master KPI'!$B$5:$G$100,6,FALSE)="Kumulatif",INDEX('06_Target KPI'!$E$5:$P$100,MATCH(F268,'06_Target KPI'!$B$5:$B$100,0),MATCH(A268,'06_Target KPI'!$E$4:$P$4,0))*DAY(C268)/DAY(EOMONTH(C268,0)),INDEX('06_Target KPI'!$E$5:$P$100,MATCH(F268,'06_Target KPI'!$B$5:$B$100,0),MATCH(A268,'06_Target KPI'!$E$4:$P$4,0)))),0)</f>
        <v>0</v>
      </c>
      <c r="I268" s="24"/>
      <c r="J268" s="27">
        <f>IFERROR(MIN(IF(VLOOKUP(F268,'05_Master KPI'!$B$5:$G$100,5,FALSE)="Lower",H268/I268,I268/H268),1),0)</f>
        <v>0</v>
      </c>
      <c r="K268" s="26">
        <f>IFERROR(VLOOKUP(F268,'05_Master KPI'!$B$5:$G$100,4,FALSE),0)</f>
        <v>0</v>
      </c>
      <c r="L268" s="28">
        <f t="shared" si="4"/>
        <v>0</v>
      </c>
      <c r="M268" s="26" t="str">
        <f>IF(D268="","",IF(J268&gt;='13_Setting'!$H$7,"Tercapai",IF(J268&gt;='13_Setting'!$H$6,"On Track","Tertinggal")))</f>
        <v/>
      </c>
      <c r="N268" s="24"/>
    </row>
    <row r="269" spans="1:14">
      <c r="A269" s="24"/>
      <c r="B269" s="24"/>
      <c r="C269" s="25"/>
      <c r="D269" s="24"/>
      <c r="E269" s="26" t="str">
        <f>IFERROR(VLOOKUP(D269,'04_Master Karyawan'!$A$5:$F$50,2,FALSE),"")</f>
        <v/>
      </c>
      <c r="F269" s="24"/>
      <c r="G269" s="26" t="str">
        <f>IFERROR(VLOOKUP(F269,'05_Master KPI'!$B$5:$G$100,2,FALSE)&amp;" ("&amp;VLOOKUP(F269,'05_Master KPI'!$B$5:$G$100,3,FALSE)&amp;")","")</f>
        <v/>
      </c>
      <c r="H269" s="26">
        <f>IFERROR(IF(B269&lt;&gt;'06_Target KPI'!$B$3,0,IF(VLOOKUP(F269,'05_Master KPI'!$B$5:$G$100,6,FALSE)="Kumulatif",INDEX('06_Target KPI'!$E$5:$P$100,MATCH(F269,'06_Target KPI'!$B$5:$B$100,0),MATCH(A269,'06_Target KPI'!$E$4:$P$4,0))*DAY(C269)/DAY(EOMONTH(C269,0)),INDEX('06_Target KPI'!$E$5:$P$100,MATCH(F269,'06_Target KPI'!$B$5:$B$100,0),MATCH(A269,'06_Target KPI'!$E$4:$P$4,0)))),0)</f>
        <v>0</v>
      </c>
      <c r="I269" s="24"/>
      <c r="J269" s="27">
        <f>IFERROR(MIN(IF(VLOOKUP(F269,'05_Master KPI'!$B$5:$G$100,5,FALSE)="Lower",H269/I269,I269/H269),1),0)</f>
        <v>0</v>
      </c>
      <c r="K269" s="26">
        <f>IFERROR(VLOOKUP(F269,'05_Master KPI'!$B$5:$G$100,4,FALSE),0)</f>
        <v>0</v>
      </c>
      <c r="L269" s="28">
        <f t="shared" si="4"/>
        <v>0</v>
      </c>
      <c r="M269" s="26" t="str">
        <f>IF(D269="","",IF(J269&gt;='13_Setting'!$H$7,"Tercapai",IF(J269&gt;='13_Setting'!$H$6,"On Track","Tertinggal")))</f>
        <v/>
      </c>
      <c r="N269" s="24"/>
    </row>
    <row r="270" spans="1:14">
      <c r="A270" s="24"/>
      <c r="B270" s="24"/>
      <c r="C270" s="25"/>
      <c r="D270" s="24"/>
      <c r="E270" s="26" t="str">
        <f>IFERROR(VLOOKUP(D270,'04_Master Karyawan'!$A$5:$F$50,2,FALSE),"")</f>
        <v/>
      </c>
      <c r="F270" s="24"/>
      <c r="G270" s="26" t="str">
        <f>IFERROR(VLOOKUP(F270,'05_Master KPI'!$B$5:$G$100,2,FALSE)&amp;" ("&amp;VLOOKUP(F270,'05_Master KPI'!$B$5:$G$100,3,FALSE)&amp;")","")</f>
        <v/>
      </c>
      <c r="H270" s="26">
        <f>IFERROR(IF(B270&lt;&gt;'06_Target KPI'!$B$3,0,IF(VLOOKUP(F270,'05_Master KPI'!$B$5:$G$100,6,FALSE)="Kumulatif",INDEX('06_Target KPI'!$E$5:$P$100,MATCH(F270,'06_Target KPI'!$B$5:$B$100,0),MATCH(A270,'06_Target KPI'!$E$4:$P$4,0))*DAY(C270)/DAY(EOMONTH(C270,0)),INDEX('06_Target KPI'!$E$5:$P$100,MATCH(F270,'06_Target KPI'!$B$5:$B$100,0),MATCH(A270,'06_Target KPI'!$E$4:$P$4,0)))),0)</f>
        <v>0</v>
      </c>
      <c r="I270" s="24"/>
      <c r="J270" s="27">
        <f>IFERROR(MIN(IF(VLOOKUP(F270,'05_Master KPI'!$B$5:$G$100,5,FALSE)="Lower",H270/I270,I270/H270),1),0)</f>
        <v>0</v>
      </c>
      <c r="K270" s="26">
        <f>IFERROR(VLOOKUP(F270,'05_Master KPI'!$B$5:$G$100,4,FALSE),0)</f>
        <v>0</v>
      </c>
      <c r="L270" s="28">
        <f t="shared" si="4"/>
        <v>0</v>
      </c>
      <c r="M270" s="26" t="str">
        <f>IF(D270="","",IF(J270&gt;='13_Setting'!$H$7,"Tercapai",IF(J270&gt;='13_Setting'!$H$6,"On Track","Tertinggal")))</f>
        <v/>
      </c>
      <c r="N270" s="24"/>
    </row>
    <row r="271" spans="1:14">
      <c r="A271" s="24"/>
      <c r="B271" s="24"/>
      <c r="C271" s="25"/>
      <c r="D271" s="24"/>
      <c r="E271" s="26" t="str">
        <f>IFERROR(VLOOKUP(D271,'04_Master Karyawan'!$A$5:$F$50,2,FALSE),"")</f>
        <v/>
      </c>
      <c r="F271" s="24"/>
      <c r="G271" s="26" t="str">
        <f>IFERROR(VLOOKUP(F271,'05_Master KPI'!$B$5:$G$100,2,FALSE)&amp;" ("&amp;VLOOKUP(F271,'05_Master KPI'!$B$5:$G$100,3,FALSE)&amp;")","")</f>
        <v/>
      </c>
      <c r="H271" s="26">
        <f>IFERROR(IF(B271&lt;&gt;'06_Target KPI'!$B$3,0,IF(VLOOKUP(F271,'05_Master KPI'!$B$5:$G$100,6,FALSE)="Kumulatif",INDEX('06_Target KPI'!$E$5:$P$100,MATCH(F271,'06_Target KPI'!$B$5:$B$100,0),MATCH(A271,'06_Target KPI'!$E$4:$P$4,0))*DAY(C271)/DAY(EOMONTH(C271,0)),INDEX('06_Target KPI'!$E$5:$P$100,MATCH(F271,'06_Target KPI'!$B$5:$B$100,0),MATCH(A271,'06_Target KPI'!$E$4:$P$4,0)))),0)</f>
        <v>0</v>
      </c>
      <c r="I271" s="24"/>
      <c r="J271" s="27">
        <f>IFERROR(MIN(IF(VLOOKUP(F271,'05_Master KPI'!$B$5:$G$100,5,FALSE)="Lower",H271/I271,I271/H271),1),0)</f>
        <v>0</v>
      </c>
      <c r="K271" s="26">
        <f>IFERROR(VLOOKUP(F271,'05_Master KPI'!$B$5:$G$100,4,FALSE),0)</f>
        <v>0</v>
      </c>
      <c r="L271" s="28">
        <f t="shared" si="4"/>
        <v>0</v>
      </c>
      <c r="M271" s="26" t="str">
        <f>IF(D271="","",IF(J271&gt;='13_Setting'!$H$7,"Tercapai",IF(J271&gt;='13_Setting'!$H$6,"On Track","Tertinggal")))</f>
        <v/>
      </c>
      <c r="N271" s="24"/>
    </row>
    <row r="272" spans="1:14">
      <c r="A272" s="24"/>
      <c r="B272" s="24"/>
      <c r="C272" s="25"/>
      <c r="D272" s="24"/>
      <c r="E272" s="26" t="str">
        <f>IFERROR(VLOOKUP(D272,'04_Master Karyawan'!$A$5:$F$50,2,FALSE),"")</f>
        <v/>
      </c>
      <c r="F272" s="24"/>
      <c r="G272" s="26" t="str">
        <f>IFERROR(VLOOKUP(F272,'05_Master KPI'!$B$5:$G$100,2,FALSE)&amp;" ("&amp;VLOOKUP(F272,'05_Master KPI'!$B$5:$G$100,3,FALSE)&amp;")","")</f>
        <v/>
      </c>
      <c r="H272" s="26">
        <f>IFERROR(IF(B272&lt;&gt;'06_Target KPI'!$B$3,0,IF(VLOOKUP(F272,'05_Master KPI'!$B$5:$G$100,6,FALSE)="Kumulatif",INDEX('06_Target KPI'!$E$5:$P$100,MATCH(F272,'06_Target KPI'!$B$5:$B$100,0),MATCH(A272,'06_Target KPI'!$E$4:$P$4,0))*DAY(C272)/DAY(EOMONTH(C272,0)),INDEX('06_Target KPI'!$E$5:$P$100,MATCH(F272,'06_Target KPI'!$B$5:$B$100,0),MATCH(A272,'06_Target KPI'!$E$4:$P$4,0)))),0)</f>
        <v>0</v>
      </c>
      <c r="I272" s="24"/>
      <c r="J272" s="27">
        <f>IFERROR(MIN(IF(VLOOKUP(F272,'05_Master KPI'!$B$5:$G$100,5,FALSE)="Lower",H272/I272,I272/H272),1),0)</f>
        <v>0</v>
      </c>
      <c r="K272" s="26">
        <f>IFERROR(VLOOKUP(F272,'05_Master KPI'!$B$5:$G$100,4,FALSE),0)</f>
        <v>0</v>
      </c>
      <c r="L272" s="28">
        <f t="shared" si="4"/>
        <v>0</v>
      </c>
      <c r="M272" s="26" t="str">
        <f>IF(D272="","",IF(J272&gt;='13_Setting'!$H$7,"Tercapai",IF(J272&gt;='13_Setting'!$H$6,"On Track","Tertinggal")))</f>
        <v/>
      </c>
      <c r="N272" s="24"/>
    </row>
    <row r="273" spans="1:14">
      <c r="A273" s="24"/>
      <c r="B273" s="24"/>
      <c r="C273" s="25"/>
      <c r="D273" s="24"/>
      <c r="E273" s="26" t="str">
        <f>IFERROR(VLOOKUP(D273,'04_Master Karyawan'!$A$5:$F$50,2,FALSE),"")</f>
        <v/>
      </c>
      <c r="F273" s="24"/>
      <c r="G273" s="26" t="str">
        <f>IFERROR(VLOOKUP(F273,'05_Master KPI'!$B$5:$G$100,2,FALSE)&amp;" ("&amp;VLOOKUP(F273,'05_Master KPI'!$B$5:$G$100,3,FALSE)&amp;")","")</f>
        <v/>
      </c>
      <c r="H273" s="26">
        <f>IFERROR(IF(B273&lt;&gt;'06_Target KPI'!$B$3,0,IF(VLOOKUP(F273,'05_Master KPI'!$B$5:$G$100,6,FALSE)="Kumulatif",INDEX('06_Target KPI'!$E$5:$P$100,MATCH(F273,'06_Target KPI'!$B$5:$B$100,0),MATCH(A273,'06_Target KPI'!$E$4:$P$4,0))*DAY(C273)/DAY(EOMONTH(C273,0)),INDEX('06_Target KPI'!$E$5:$P$100,MATCH(F273,'06_Target KPI'!$B$5:$B$100,0),MATCH(A273,'06_Target KPI'!$E$4:$P$4,0)))),0)</f>
        <v>0</v>
      </c>
      <c r="I273" s="24"/>
      <c r="J273" s="27">
        <f>IFERROR(MIN(IF(VLOOKUP(F273,'05_Master KPI'!$B$5:$G$100,5,FALSE)="Lower",H273/I273,I273/H273),1),0)</f>
        <v>0</v>
      </c>
      <c r="K273" s="26">
        <f>IFERROR(VLOOKUP(F273,'05_Master KPI'!$B$5:$G$100,4,FALSE),0)</f>
        <v>0</v>
      </c>
      <c r="L273" s="28">
        <f t="shared" si="4"/>
        <v>0</v>
      </c>
      <c r="M273" s="26" t="str">
        <f>IF(D273="","",IF(J273&gt;='13_Setting'!$H$7,"Tercapai",IF(J273&gt;='13_Setting'!$H$6,"On Track","Tertinggal")))</f>
        <v/>
      </c>
      <c r="N273" s="24"/>
    </row>
    <row r="274" spans="1:14">
      <c r="A274" s="24"/>
      <c r="B274" s="24"/>
      <c r="C274" s="25"/>
      <c r="D274" s="24"/>
      <c r="E274" s="26" t="str">
        <f>IFERROR(VLOOKUP(D274,'04_Master Karyawan'!$A$5:$F$50,2,FALSE),"")</f>
        <v/>
      </c>
      <c r="F274" s="24"/>
      <c r="G274" s="26" t="str">
        <f>IFERROR(VLOOKUP(F274,'05_Master KPI'!$B$5:$G$100,2,FALSE)&amp;" ("&amp;VLOOKUP(F274,'05_Master KPI'!$B$5:$G$100,3,FALSE)&amp;")","")</f>
        <v/>
      </c>
      <c r="H274" s="26">
        <f>IFERROR(IF(B274&lt;&gt;'06_Target KPI'!$B$3,0,IF(VLOOKUP(F274,'05_Master KPI'!$B$5:$G$100,6,FALSE)="Kumulatif",INDEX('06_Target KPI'!$E$5:$P$100,MATCH(F274,'06_Target KPI'!$B$5:$B$100,0),MATCH(A274,'06_Target KPI'!$E$4:$P$4,0))*DAY(C274)/DAY(EOMONTH(C274,0)),INDEX('06_Target KPI'!$E$5:$P$100,MATCH(F274,'06_Target KPI'!$B$5:$B$100,0),MATCH(A274,'06_Target KPI'!$E$4:$P$4,0)))),0)</f>
        <v>0</v>
      </c>
      <c r="I274" s="24"/>
      <c r="J274" s="27">
        <f>IFERROR(MIN(IF(VLOOKUP(F274,'05_Master KPI'!$B$5:$G$100,5,FALSE)="Lower",H274/I274,I274/H274),1),0)</f>
        <v>0</v>
      </c>
      <c r="K274" s="26">
        <f>IFERROR(VLOOKUP(F274,'05_Master KPI'!$B$5:$G$100,4,FALSE),0)</f>
        <v>0</v>
      </c>
      <c r="L274" s="28">
        <f t="shared" si="4"/>
        <v>0</v>
      </c>
      <c r="M274" s="26" t="str">
        <f>IF(D274="","",IF(J274&gt;='13_Setting'!$H$7,"Tercapai",IF(J274&gt;='13_Setting'!$H$6,"On Track","Tertinggal")))</f>
        <v/>
      </c>
      <c r="N274" s="24"/>
    </row>
    <row r="275" spans="1:14">
      <c r="A275" s="24"/>
      <c r="B275" s="24"/>
      <c r="C275" s="25"/>
      <c r="D275" s="24"/>
      <c r="E275" s="26" t="str">
        <f>IFERROR(VLOOKUP(D275,'04_Master Karyawan'!$A$5:$F$50,2,FALSE),"")</f>
        <v/>
      </c>
      <c r="F275" s="24"/>
      <c r="G275" s="26" t="str">
        <f>IFERROR(VLOOKUP(F275,'05_Master KPI'!$B$5:$G$100,2,FALSE)&amp;" ("&amp;VLOOKUP(F275,'05_Master KPI'!$B$5:$G$100,3,FALSE)&amp;")","")</f>
        <v/>
      </c>
      <c r="H275" s="26">
        <f>IFERROR(IF(B275&lt;&gt;'06_Target KPI'!$B$3,0,IF(VLOOKUP(F275,'05_Master KPI'!$B$5:$G$100,6,FALSE)="Kumulatif",INDEX('06_Target KPI'!$E$5:$P$100,MATCH(F275,'06_Target KPI'!$B$5:$B$100,0),MATCH(A275,'06_Target KPI'!$E$4:$P$4,0))*DAY(C275)/DAY(EOMONTH(C275,0)),INDEX('06_Target KPI'!$E$5:$P$100,MATCH(F275,'06_Target KPI'!$B$5:$B$100,0),MATCH(A275,'06_Target KPI'!$E$4:$P$4,0)))),0)</f>
        <v>0</v>
      </c>
      <c r="I275" s="24"/>
      <c r="J275" s="27">
        <f>IFERROR(MIN(IF(VLOOKUP(F275,'05_Master KPI'!$B$5:$G$100,5,FALSE)="Lower",H275/I275,I275/H275),1),0)</f>
        <v>0</v>
      </c>
      <c r="K275" s="26">
        <f>IFERROR(VLOOKUP(F275,'05_Master KPI'!$B$5:$G$100,4,FALSE),0)</f>
        <v>0</v>
      </c>
      <c r="L275" s="28">
        <f t="shared" si="4"/>
        <v>0</v>
      </c>
      <c r="M275" s="26" t="str">
        <f>IF(D275="","",IF(J275&gt;='13_Setting'!$H$7,"Tercapai",IF(J275&gt;='13_Setting'!$H$6,"On Track","Tertinggal")))</f>
        <v/>
      </c>
      <c r="N275" s="24"/>
    </row>
    <row r="276" spans="1:14">
      <c r="A276" s="24"/>
      <c r="B276" s="24"/>
      <c r="C276" s="25"/>
      <c r="D276" s="24"/>
      <c r="E276" s="26" t="str">
        <f>IFERROR(VLOOKUP(D276,'04_Master Karyawan'!$A$5:$F$50,2,FALSE),"")</f>
        <v/>
      </c>
      <c r="F276" s="24"/>
      <c r="G276" s="26" t="str">
        <f>IFERROR(VLOOKUP(F276,'05_Master KPI'!$B$5:$G$100,2,FALSE)&amp;" ("&amp;VLOOKUP(F276,'05_Master KPI'!$B$5:$G$100,3,FALSE)&amp;")","")</f>
        <v/>
      </c>
      <c r="H276" s="26">
        <f>IFERROR(IF(B276&lt;&gt;'06_Target KPI'!$B$3,0,IF(VLOOKUP(F276,'05_Master KPI'!$B$5:$G$100,6,FALSE)="Kumulatif",INDEX('06_Target KPI'!$E$5:$P$100,MATCH(F276,'06_Target KPI'!$B$5:$B$100,0),MATCH(A276,'06_Target KPI'!$E$4:$P$4,0))*DAY(C276)/DAY(EOMONTH(C276,0)),INDEX('06_Target KPI'!$E$5:$P$100,MATCH(F276,'06_Target KPI'!$B$5:$B$100,0),MATCH(A276,'06_Target KPI'!$E$4:$P$4,0)))),0)</f>
        <v>0</v>
      </c>
      <c r="I276" s="24"/>
      <c r="J276" s="27">
        <f>IFERROR(MIN(IF(VLOOKUP(F276,'05_Master KPI'!$B$5:$G$100,5,FALSE)="Lower",H276/I276,I276/H276),1),0)</f>
        <v>0</v>
      </c>
      <c r="K276" s="26">
        <f>IFERROR(VLOOKUP(F276,'05_Master KPI'!$B$5:$G$100,4,FALSE),0)</f>
        <v>0</v>
      </c>
      <c r="L276" s="28">
        <f t="shared" si="4"/>
        <v>0</v>
      </c>
      <c r="M276" s="26" t="str">
        <f>IF(D276="","",IF(J276&gt;='13_Setting'!$H$7,"Tercapai",IF(J276&gt;='13_Setting'!$H$6,"On Track","Tertinggal")))</f>
        <v/>
      </c>
      <c r="N276" s="24"/>
    </row>
    <row r="277" spans="1:14">
      <c r="A277" s="24"/>
      <c r="B277" s="24"/>
      <c r="C277" s="25"/>
      <c r="D277" s="24"/>
      <c r="E277" s="26" t="str">
        <f>IFERROR(VLOOKUP(D277,'04_Master Karyawan'!$A$5:$F$50,2,FALSE),"")</f>
        <v/>
      </c>
      <c r="F277" s="24"/>
      <c r="G277" s="26" t="str">
        <f>IFERROR(VLOOKUP(F277,'05_Master KPI'!$B$5:$G$100,2,FALSE)&amp;" ("&amp;VLOOKUP(F277,'05_Master KPI'!$B$5:$G$100,3,FALSE)&amp;")","")</f>
        <v/>
      </c>
      <c r="H277" s="26">
        <f>IFERROR(IF(B277&lt;&gt;'06_Target KPI'!$B$3,0,IF(VLOOKUP(F277,'05_Master KPI'!$B$5:$G$100,6,FALSE)="Kumulatif",INDEX('06_Target KPI'!$E$5:$P$100,MATCH(F277,'06_Target KPI'!$B$5:$B$100,0),MATCH(A277,'06_Target KPI'!$E$4:$P$4,0))*DAY(C277)/DAY(EOMONTH(C277,0)),INDEX('06_Target KPI'!$E$5:$P$100,MATCH(F277,'06_Target KPI'!$B$5:$B$100,0),MATCH(A277,'06_Target KPI'!$E$4:$P$4,0)))),0)</f>
        <v>0</v>
      </c>
      <c r="I277" s="24"/>
      <c r="J277" s="27">
        <f>IFERROR(MIN(IF(VLOOKUP(F277,'05_Master KPI'!$B$5:$G$100,5,FALSE)="Lower",H277/I277,I277/H277),1),0)</f>
        <v>0</v>
      </c>
      <c r="K277" s="26">
        <f>IFERROR(VLOOKUP(F277,'05_Master KPI'!$B$5:$G$100,4,FALSE),0)</f>
        <v>0</v>
      </c>
      <c r="L277" s="28">
        <f t="shared" si="4"/>
        <v>0</v>
      </c>
      <c r="M277" s="26" t="str">
        <f>IF(D277="","",IF(J277&gt;='13_Setting'!$H$7,"Tercapai",IF(J277&gt;='13_Setting'!$H$6,"On Track","Tertinggal")))</f>
        <v/>
      </c>
      <c r="N277" s="24"/>
    </row>
    <row r="278" spans="1:14">
      <c r="A278" s="24"/>
      <c r="B278" s="24"/>
      <c r="C278" s="25"/>
      <c r="D278" s="24"/>
      <c r="E278" s="26" t="str">
        <f>IFERROR(VLOOKUP(D278,'04_Master Karyawan'!$A$5:$F$50,2,FALSE),"")</f>
        <v/>
      </c>
      <c r="F278" s="24"/>
      <c r="G278" s="26" t="str">
        <f>IFERROR(VLOOKUP(F278,'05_Master KPI'!$B$5:$G$100,2,FALSE)&amp;" ("&amp;VLOOKUP(F278,'05_Master KPI'!$B$5:$G$100,3,FALSE)&amp;")","")</f>
        <v/>
      </c>
      <c r="H278" s="26">
        <f>IFERROR(IF(B278&lt;&gt;'06_Target KPI'!$B$3,0,IF(VLOOKUP(F278,'05_Master KPI'!$B$5:$G$100,6,FALSE)="Kumulatif",INDEX('06_Target KPI'!$E$5:$P$100,MATCH(F278,'06_Target KPI'!$B$5:$B$100,0),MATCH(A278,'06_Target KPI'!$E$4:$P$4,0))*DAY(C278)/DAY(EOMONTH(C278,0)),INDEX('06_Target KPI'!$E$5:$P$100,MATCH(F278,'06_Target KPI'!$B$5:$B$100,0),MATCH(A278,'06_Target KPI'!$E$4:$P$4,0)))),0)</f>
        <v>0</v>
      </c>
      <c r="I278" s="24"/>
      <c r="J278" s="27">
        <f>IFERROR(MIN(IF(VLOOKUP(F278,'05_Master KPI'!$B$5:$G$100,5,FALSE)="Lower",H278/I278,I278/H278),1),0)</f>
        <v>0</v>
      </c>
      <c r="K278" s="26">
        <f>IFERROR(VLOOKUP(F278,'05_Master KPI'!$B$5:$G$100,4,FALSE),0)</f>
        <v>0</v>
      </c>
      <c r="L278" s="28">
        <f t="shared" si="4"/>
        <v>0</v>
      </c>
      <c r="M278" s="26" t="str">
        <f>IF(D278="","",IF(J278&gt;='13_Setting'!$H$7,"Tercapai",IF(J278&gt;='13_Setting'!$H$6,"On Track","Tertinggal")))</f>
        <v/>
      </c>
      <c r="N278" s="24"/>
    </row>
    <row r="279" spans="1:14">
      <c r="A279" s="24"/>
      <c r="B279" s="24"/>
      <c r="C279" s="25"/>
      <c r="D279" s="24"/>
      <c r="E279" s="26" t="str">
        <f>IFERROR(VLOOKUP(D279,'04_Master Karyawan'!$A$5:$F$50,2,FALSE),"")</f>
        <v/>
      </c>
      <c r="F279" s="24"/>
      <c r="G279" s="26" t="str">
        <f>IFERROR(VLOOKUP(F279,'05_Master KPI'!$B$5:$G$100,2,FALSE)&amp;" ("&amp;VLOOKUP(F279,'05_Master KPI'!$B$5:$G$100,3,FALSE)&amp;")","")</f>
        <v/>
      </c>
      <c r="H279" s="26">
        <f>IFERROR(IF(B279&lt;&gt;'06_Target KPI'!$B$3,0,IF(VLOOKUP(F279,'05_Master KPI'!$B$5:$G$100,6,FALSE)="Kumulatif",INDEX('06_Target KPI'!$E$5:$P$100,MATCH(F279,'06_Target KPI'!$B$5:$B$100,0),MATCH(A279,'06_Target KPI'!$E$4:$P$4,0))*DAY(C279)/DAY(EOMONTH(C279,0)),INDEX('06_Target KPI'!$E$5:$P$100,MATCH(F279,'06_Target KPI'!$B$5:$B$100,0),MATCH(A279,'06_Target KPI'!$E$4:$P$4,0)))),0)</f>
        <v>0</v>
      </c>
      <c r="I279" s="24"/>
      <c r="J279" s="27">
        <f>IFERROR(MIN(IF(VLOOKUP(F279,'05_Master KPI'!$B$5:$G$100,5,FALSE)="Lower",H279/I279,I279/H279),1),0)</f>
        <v>0</v>
      </c>
      <c r="K279" s="26">
        <f>IFERROR(VLOOKUP(F279,'05_Master KPI'!$B$5:$G$100,4,FALSE),0)</f>
        <v>0</v>
      </c>
      <c r="L279" s="28">
        <f t="shared" si="4"/>
        <v>0</v>
      </c>
      <c r="M279" s="26" t="str">
        <f>IF(D279="","",IF(J279&gt;='13_Setting'!$H$7,"Tercapai",IF(J279&gt;='13_Setting'!$H$6,"On Track","Tertinggal")))</f>
        <v/>
      </c>
      <c r="N279" s="24"/>
    </row>
    <row r="280" spans="1:14">
      <c r="A280" s="24"/>
      <c r="B280" s="24"/>
      <c r="C280" s="25"/>
      <c r="D280" s="24"/>
      <c r="E280" s="26" t="str">
        <f>IFERROR(VLOOKUP(D280,'04_Master Karyawan'!$A$5:$F$50,2,FALSE),"")</f>
        <v/>
      </c>
      <c r="F280" s="24"/>
      <c r="G280" s="26" t="str">
        <f>IFERROR(VLOOKUP(F280,'05_Master KPI'!$B$5:$G$100,2,FALSE)&amp;" ("&amp;VLOOKUP(F280,'05_Master KPI'!$B$5:$G$100,3,FALSE)&amp;")","")</f>
        <v/>
      </c>
      <c r="H280" s="26">
        <f>IFERROR(IF(B280&lt;&gt;'06_Target KPI'!$B$3,0,IF(VLOOKUP(F280,'05_Master KPI'!$B$5:$G$100,6,FALSE)="Kumulatif",INDEX('06_Target KPI'!$E$5:$P$100,MATCH(F280,'06_Target KPI'!$B$5:$B$100,0),MATCH(A280,'06_Target KPI'!$E$4:$P$4,0))*DAY(C280)/DAY(EOMONTH(C280,0)),INDEX('06_Target KPI'!$E$5:$P$100,MATCH(F280,'06_Target KPI'!$B$5:$B$100,0),MATCH(A280,'06_Target KPI'!$E$4:$P$4,0)))),0)</f>
        <v>0</v>
      </c>
      <c r="I280" s="24"/>
      <c r="J280" s="27">
        <f>IFERROR(MIN(IF(VLOOKUP(F280,'05_Master KPI'!$B$5:$G$100,5,FALSE)="Lower",H280/I280,I280/H280),1),0)</f>
        <v>0</v>
      </c>
      <c r="K280" s="26">
        <f>IFERROR(VLOOKUP(F280,'05_Master KPI'!$B$5:$G$100,4,FALSE),0)</f>
        <v>0</v>
      </c>
      <c r="L280" s="28">
        <f t="shared" si="4"/>
        <v>0</v>
      </c>
      <c r="M280" s="26" t="str">
        <f>IF(D280="","",IF(J280&gt;='13_Setting'!$H$7,"Tercapai",IF(J280&gt;='13_Setting'!$H$6,"On Track","Tertinggal")))</f>
        <v/>
      </c>
      <c r="N280" s="24"/>
    </row>
    <row r="281" spans="1:14">
      <c r="A281" s="24"/>
      <c r="B281" s="24"/>
      <c r="C281" s="25"/>
      <c r="D281" s="24"/>
      <c r="E281" s="26" t="str">
        <f>IFERROR(VLOOKUP(D281,'04_Master Karyawan'!$A$5:$F$50,2,FALSE),"")</f>
        <v/>
      </c>
      <c r="F281" s="24"/>
      <c r="G281" s="26" t="str">
        <f>IFERROR(VLOOKUP(F281,'05_Master KPI'!$B$5:$G$100,2,FALSE)&amp;" ("&amp;VLOOKUP(F281,'05_Master KPI'!$B$5:$G$100,3,FALSE)&amp;")","")</f>
        <v/>
      </c>
      <c r="H281" s="26">
        <f>IFERROR(IF(B281&lt;&gt;'06_Target KPI'!$B$3,0,IF(VLOOKUP(F281,'05_Master KPI'!$B$5:$G$100,6,FALSE)="Kumulatif",INDEX('06_Target KPI'!$E$5:$P$100,MATCH(F281,'06_Target KPI'!$B$5:$B$100,0),MATCH(A281,'06_Target KPI'!$E$4:$P$4,0))*DAY(C281)/DAY(EOMONTH(C281,0)),INDEX('06_Target KPI'!$E$5:$P$100,MATCH(F281,'06_Target KPI'!$B$5:$B$100,0),MATCH(A281,'06_Target KPI'!$E$4:$P$4,0)))),0)</f>
        <v>0</v>
      </c>
      <c r="I281" s="24"/>
      <c r="J281" s="27">
        <f>IFERROR(MIN(IF(VLOOKUP(F281,'05_Master KPI'!$B$5:$G$100,5,FALSE)="Lower",H281/I281,I281/H281),1),0)</f>
        <v>0</v>
      </c>
      <c r="K281" s="26">
        <f>IFERROR(VLOOKUP(F281,'05_Master KPI'!$B$5:$G$100,4,FALSE),0)</f>
        <v>0</v>
      </c>
      <c r="L281" s="28">
        <f t="shared" si="4"/>
        <v>0</v>
      </c>
      <c r="M281" s="26" t="str">
        <f>IF(D281="","",IF(J281&gt;='13_Setting'!$H$7,"Tercapai",IF(J281&gt;='13_Setting'!$H$6,"On Track","Tertinggal")))</f>
        <v/>
      </c>
      <c r="N281" s="24"/>
    </row>
    <row r="282" spans="1:14">
      <c r="A282" s="24"/>
      <c r="B282" s="24"/>
      <c r="C282" s="25"/>
      <c r="D282" s="24"/>
      <c r="E282" s="26" t="str">
        <f>IFERROR(VLOOKUP(D282,'04_Master Karyawan'!$A$5:$F$50,2,FALSE),"")</f>
        <v/>
      </c>
      <c r="F282" s="24"/>
      <c r="G282" s="26" t="str">
        <f>IFERROR(VLOOKUP(F282,'05_Master KPI'!$B$5:$G$100,2,FALSE)&amp;" ("&amp;VLOOKUP(F282,'05_Master KPI'!$B$5:$G$100,3,FALSE)&amp;")","")</f>
        <v/>
      </c>
      <c r="H282" s="26">
        <f>IFERROR(IF(B282&lt;&gt;'06_Target KPI'!$B$3,0,IF(VLOOKUP(F282,'05_Master KPI'!$B$5:$G$100,6,FALSE)="Kumulatif",INDEX('06_Target KPI'!$E$5:$P$100,MATCH(F282,'06_Target KPI'!$B$5:$B$100,0),MATCH(A282,'06_Target KPI'!$E$4:$P$4,0))*DAY(C282)/DAY(EOMONTH(C282,0)),INDEX('06_Target KPI'!$E$5:$P$100,MATCH(F282,'06_Target KPI'!$B$5:$B$100,0),MATCH(A282,'06_Target KPI'!$E$4:$P$4,0)))),0)</f>
        <v>0</v>
      </c>
      <c r="I282" s="24"/>
      <c r="J282" s="27">
        <f>IFERROR(MIN(IF(VLOOKUP(F282,'05_Master KPI'!$B$5:$G$100,5,FALSE)="Lower",H282/I282,I282/H282),1),0)</f>
        <v>0</v>
      </c>
      <c r="K282" s="26">
        <f>IFERROR(VLOOKUP(F282,'05_Master KPI'!$B$5:$G$100,4,FALSE),0)</f>
        <v>0</v>
      </c>
      <c r="L282" s="28">
        <f t="shared" si="4"/>
        <v>0</v>
      </c>
      <c r="M282" s="26" t="str">
        <f>IF(D282="","",IF(J282&gt;='13_Setting'!$H$7,"Tercapai",IF(J282&gt;='13_Setting'!$H$6,"On Track","Tertinggal")))</f>
        <v/>
      </c>
      <c r="N282" s="24"/>
    </row>
    <row r="283" spans="1:14">
      <c r="A283" s="24"/>
      <c r="B283" s="24"/>
      <c r="C283" s="25"/>
      <c r="D283" s="24"/>
      <c r="E283" s="26" t="str">
        <f>IFERROR(VLOOKUP(D283,'04_Master Karyawan'!$A$5:$F$50,2,FALSE),"")</f>
        <v/>
      </c>
      <c r="F283" s="24"/>
      <c r="G283" s="26" t="str">
        <f>IFERROR(VLOOKUP(F283,'05_Master KPI'!$B$5:$G$100,2,FALSE)&amp;" ("&amp;VLOOKUP(F283,'05_Master KPI'!$B$5:$G$100,3,FALSE)&amp;")","")</f>
        <v/>
      </c>
      <c r="H283" s="26">
        <f>IFERROR(IF(B283&lt;&gt;'06_Target KPI'!$B$3,0,IF(VLOOKUP(F283,'05_Master KPI'!$B$5:$G$100,6,FALSE)="Kumulatif",INDEX('06_Target KPI'!$E$5:$P$100,MATCH(F283,'06_Target KPI'!$B$5:$B$100,0),MATCH(A283,'06_Target KPI'!$E$4:$P$4,0))*DAY(C283)/DAY(EOMONTH(C283,0)),INDEX('06_Target KPI'!$E$5:$P$100,MATCH(F283,'06_Target KPI'!$B$5:$B$100,0),MATCH(A283,'06_Target KPI'!$E$4:$P$4,0)))),0)</f>
        <v>0</v>
      </c>
      <c r="I283" s="24"/>
      <c r="J283" s="27">
        <f>IFERROR(MIN(IF(VLOOKUP(F283,'05_Master KPI'!$B$5:$G$100,5,FALSE)="Lower",H283/I283,I283/H283),1),0)</f>
        <v>0</v>
      </c>
      <c r="K283" s="26">
        <f>IFERROR(VLOOKUP(F283,'05_Master KPI'!$B$5:$G$100,4,FALSE),0)</f>
        <v>0</v>
      </c>
      <c r="L283" s="28">
        <f t="shared" si="4"/>
        <v>0</v>
      </c>
      <c r="M283" s="26" t="str">
        <f>IF(D283="","",IF(J283&gt;='13_Setting'!$H$7,"Tercapai",IF(J283&gt;='13_Setting'!$H$6,"On Track","Tertinggal")))</f>
        <v/>
      </c>
      <c r="N283" s="24"/>
    </row>
    <row r="284" spans="1:14">
      <c r="A284" s="24"/>
      <c r="B284" s="24"/>
      <c r="C284" s="25"/>
      <c r="D284" s="24"/>
      <c r="E284" s="26" t="str">
        <f>IFERROR(VLOOKUP(D284,'04_Master Karyawan'!$A$5:$F$50,2,FALSE),"")</f>
        <v/>
      </c>
      <c r="F284" s="24"/>
      <c r="G284" s="26" t="str">
        <f>IFERROR(VLOOKUP(F284,'05_Master KPI'!$B$5:$G$100,2,FALSE)&amp;" ("&amp;VLOOKUP(F284,'05_Master KPI'!$B$5:$G$100,3,FALSE)&amp;")","")</f>
        <v/>
      </c>
      <c r="H284" s="26">
        <f>IFERROR(IF(B284&lt;&gt;'06_Target KPI'!$B$3,0,IF(VLOOKUP(F284,'05_Master KPI'!$B$5:$G$100,6,FALSE)="Kumulatif",INDEX('06_Target KPI'!$E$5:$P$100,MATCH(F284,'06_Target KPI'!$B$5:$B$100,0),MATCH(A284,'06_Target KPI'!$E$4:$P$4,0))*DAY(C284)/DAY(EOMONTH(C284,0)),INDEX('06_Target KPI'!$E$5:$P$100,MATCH(F284,'06_Target KPI'!$B$5:$B$100,0),MATCH(A284,'06_Target KPI'!$E$4:$P$4,0)))),0)</f>
        <v>0</v>
      </c>
      <c r="I284" s="24"/>
      <c r="J284" s="27">
        <f>IFERROR(MIN(IF(VLOOKUP(F284,'05_Master KPI'!$B$5:$G$100,5,FALSE)="Lower",H284/I284,I284/H284),1),0)</f>
        <v>0</v>
      </c>
      <c r="K284" s="26">
        <f>IFERROR(VLOOKUP(F284,'05_Master KPI'!$B$5:$G$100,4,FALSE),0)</f>
        <v>0</v>
      </c>
      <c r="L284" s="28">
        <f t="shared" si="4"/>
        <v>0</v>
      </c>
      <c r="M284" s="26" t="str">
        <f>IF(D284="","",IF(J284&gt;='13_Setting'!$H$7,"Tercapai",IF(J284&gt;='13_Setting'!$H$6,"On Track","Tertinggal")))</f>
        <v/>
      </c>
      <c r="N284" s="24"/>
    </row>
    <row r="285" spans="1:14">
      <c r="A285" s="24"/>
      <c r="B285" s="24"/>
      <c r="C285" s="25"/>
      <c r="D285" s="24"/>
      <c r="E285" s="26" t="str">
        <f>IFERROR(VLOOKUP(D285,'04_Master Karyawan'!$A$5:$F$50,2,FALSE),"")</f>
        <v/>
      </c>
      <c r="F285" s="24"/>
      <c r="G285" s="26" t="str">
        <f>IFERROR(VLOOKUP(F285,'05_Master KPI'!$B$5:$G$100,2,FALSE)&amp;" ("&amp;VLOOKUP(F285,'05_Master KPI'!$B$5:$G$100,3,FALSE)&amp;")","")</f>
        <v/>
      </c>
      <c r="H285" s="26">
        <f>IFERROR(IF(B285&lt;&gt;'06_Target KPI'!$B$3,0,IF(VLOOKUP(F285,'05_Master KPI'!$B$5:$G$100,6,FALSE)="Kumulatif",INDEX('06_Target KPI'!$E$5:$P$100,MATCH(F285,'06_Target KPI'!$B$5:$B$100,0),MATCH(A285,'06_Target KPI'!$E$4:$P$4,0))*DAY(C285)/DAY(EOMONTH(C285,0)),INDEX('06_Target KPI'!$E$5:$P$100,MATCH(F285,'06_Target KPI'!$B$5:$B$100,0),MATCH(A285,'06_Target KPI'!$E$4:$P$4,0)))),0)</f>
        <v>0</v>
      </c>
      <c r="I285" s="24"/>
      <c r="J285" s="27">
        <f>IFERROR(MIN(IF(VLOOKUP(F285,'05_Master KPI'!$B$5:$G$100,5,FALSE)="Lower",H285/I285,I285/H285),1),0)</f>
        <v>0</v>
      </c>
      <c r="K285" s="26">
        <f>IFERROR(VLOOKUP(F285,'05_Master KPI'!$B$5:$G$100,4,FALSE),0)</f>
        <v>0</v>
      </c>
      <c r="L285" s="28">
        <f t="shared" si="4"/>
        <v>0</v>
      </c>
      <c r="M285" s="26" t="str">
        <f>IF(D285="","",IF(J285&gt;='13_Setting'!$H$7,"Tercapai",IF(J285&gt;='13_Setting'!$H$6,"On Track","Tertinggal")))</f>
        <v/>
      </c>
      <c r="N285" s="24"/>
    </row>
    <row r="286" spans="1:14">
      <c r="A286" s="24"/>
      <c r="B286" s="24"/>
      <c r="C286" s="25"/>
      <c r="D286" s="24"/>
      <c r="E286" s="26" t="str">
        <f>IFERROR(VLOOKUP(D286,'04_Master Karyawan'!$A$5:$F$50,2,FALSE),"")</f>
        <v/>
      </c>
      <c r="F286" s="24"/>
      <c r="G286" s="26" t="str">
        <f>IFERROR(VLOOKUP(F286,'05_Master KPI'!$B$5:$G$100,2,FALSE)&amp;" ("&amp;VLOOKUP(F286,'05_Master KPI'!$B$5:$G$100,3,FALSE)&amp;")","")</f>
        <v/>
      </c>
      <c r="H286" s="26">
        <f>IFERROR(IF(B286&lt;&gt;'06_Target KPI'!$B$3,0,IF(VLOOKUP(F286,'05_Master KPI'!$B$5:$G$100,6,FALSE)="Kumulatif",INDEX('06_Target KPI'!$E$5:$P$100,MATCH(F286,'06_Target KPI'!$B$5:$B$100,0),MATCH(A286,'06_Target KPI'!$E$4:$P$4,0))*DAY(C286)/DAY(EOMONTH(C286,0)),INDEX('06_Target KPI'!$E$5:$P$100,MATCH(F286,'06_Target KPI'!$B$5:$B$100,0),MATCH(A286,'06_Target KPI'!$E$4:$P$4,0)))),0)</f>
        <v>0</v>
      </c>
      <c r="I286" s="24"/>
      <c r="J286" s="27">
        <f>IFERROR(MIN(IF(VLOOKUP(F286,'05_Master KPI'!$B$5:$G$100,5,FALSE)="Lower",H286/I286,I286/H286),1),0)</f>
        <v>0</v>
      </c>
      <c r="K286" s="26">
        <f>IFERROR(VLOOKUP(F286,'05_Master KPI'!$B$5:$G$100,4,FALSE),0)</f>
        <v>0</v>
      </c>
      <c r="L286" s="28">
        <f t="shared" si="4"/>
        <v>0</v>
      </c>
      <c r="M286" s="26" t="str">
        <f>IF(D286="","",IF(J286&gt;='13_Setting'!$H$7,"Tercapai",IF(J286&gt;='13_Setting'!$H$6,"On Track","Tertinggal")))</f>
        <v/>
      </c>
      <c r="N286" s="24"/>
    </row>
    <row r="287" spans="1:14">
      <c r="A287" s="24"/>
      <c r="B287" s="24"/>
      <c r="C287" s="25"/>
      <c r="D287" s="24"/>
      <c r="E287" s="26" t="str">
        <f>IFERROR(VLOOKUP(D287,'04_Master Karyawan'!$A$5:$F$50,2,FALSE),"")</f>
        <v/>
      </c>
      <c r="F287" s="24"/>
      <c r="G287" s="26" t="str">
        <f>IFERROR(VLOOKUP(F287,'05_Master KPI'!$B$5:$G$100,2,FALSE)&amp;" ("&amp;VLOOKUP(F287,'05_Master KPI'!$B$5:$G$100,3,FALSE)&amp;")","")</f>
        <v/>
      </c>
      <c r="H287" s="26">
        <f>IFERROR(IF(B287&lt;&gt;'06_Target KPI'!$B$3,0,IF(VLOOKUP(F287,'05_Master KPI'!$B$5:$G$100,6,FALSE)="Kumulatif",INDEX('06_Target KPI'!$E$5:$P$100,MATCH(F287,'06_Target KPI'!$B$5:$B$100,0),MATCH(A287,'06_Target KPI'!$E$4:$P$4,0))*DAY(C287)/DAY(EOMONTH(C287,0)),INDEX('06_Target KPI'!$E$5:$P$100,MATCH(F287,'06_Target KPI'!$B$5:$B$100,0),MATCH(A287,'06_Target KPI'!$E$4:$P$4,0)))),0)</f>
        <v>0</v>
      </c>
      <c r="I287" s="24"/>
      <c r="J287" s="27">
        <f>IFERROR(MIN(IF(VLOOKUP(F287,'05_Master KPI'!$B$5:$G$100,5,FALSE)="Lower",H287/I287,I287/H287),1),0)</f>
        <v>0</v>
      </c>
      <c r="K287" s="26">
        <f>IFERROR(VLOOKUP(F287,'05_Master KPI'!$B$5:$G$100,4,FALSE),0)</f>
        <v>0</v>
      </c>
      <c r="L287" s="28">
        <f t="shared" si="4"/>
        <v>0</v>
      </c>
      <c r="M287" s="26" t="str">
        <f>IF(D287="","",IF(J287&gt;='13_Setting'!$H$7,"Tercapai",IF(J287&gt;='13_Setting'!$H$6,"On Track","Tertinggal")))</f>
        <v/>
      </c>
      <c r="N287" s="24"/>
    </row>
    <row r="288" spans="1:14">
      <c r="A288" s="24"/>
      <c r="B288" s="24"/>
      <c r="C288" s="25"/>
      <c r="D288" s="24"/>
      <c r="E288" s="26" t="str">
        <f>IFERROR(VLOOKUP(D288,'04_Master Karyawan'!$A$5:$F$50,2,FALSE),"")</f>
        <v/>
      </c>
      <c r="F288" s="24"/>
      <c r="G288" s="26" t="str">
        <f>IFERROR(VLOOKUP(F288,'05_Master KPI'!$B$5:$G$100,2,FALSE)&amp;" ("&amp;VLOOKUP(F288,'05_Master KPI'!$B$5:$G$100,3,FALSE)&amp;")","")</f>
        <v/>
      </c>
      <c r="H288" s="26">
        <f>IFERROR(IF(B288&lt;&gt;'06_Target KPI'!$B$3,0,IF(VLOOKUP(F288,'05_Master KPI'!$B$5:$G$100,6,FALSE)="Kumulatif",INDEX('06_Target KPI'!$E$5:$P$100,MATCH(F288,'06_Target KPI'!$B$5:$B$100,0),MATCH(A288,'06_Target KPI'!$E$4:$P$4,0))*DAY(C288)/DAY(EOMONTH(C288,0)),INDEX('06_Target KPI'!$E$5:$P$100,MATCH(F288,'06_Target KPI'!$B$5:$B$100,0),MATCH(A288,'06_Target KPI'!$E$4:$P$4,0)))),0)</f>
        <v>0</v>
      </c>
      <c r="I288" s="24"/>
      <c r="J288" s="27">
        <f>IFERROR(MIN(IF(VLOOKUP(F288,'05_Master KPI'!$B$5:$G$100,5,FALSE)="Lower",H288/I288,I288/H288),1),0)</f>
        <v>0</v>
      </c>
      <c r="K288" s="26">
        <f>IFERROR(VLOOKUP(F288,'05_Master KPI'!$B$5:$G$100,4,FALSE),0)</f>
        <v>0</v>
      </c>
      <c r="L288" s="28">
        <f t="shared" si="4"/>
        <v>0</v>
      </c>
      <c r="M288" s="26" t="str">
        <f>IF(D288="","",IF(J288&gt;='13_Setting'!$H$7,"Tercapai",IF(J288&gt;='13_Setting'!$H$6,"On Track","Tertinggal")))</f>
        <v/>
      </c>
      <c r="N288" s="24"/>
    </row>
    <row r="289" spans="1:14">
      <c r="A289" s="24"/>
      <c r="B289" s="24"/>
      <c r="C289" s="25"/>
      <c r="D289" s="24"/>
      <c r="E289" s="26" t="str">
        <f>IFERROR(VLOOKUP(D289,'04_Master Karyawan'!$A$5:$F$50,2,FALSE),"")</f>
        <v/>
      </c>
      <c r="F289" s="24"/>
      <c r="G289" s="26" t="str">
        <f>IFERROR(VLOOKUP(F289,'05_Master KPI'!$B$5:$G$100,2,FALSE)&amp;" ("&amp;VLOOKUP(F289,'05_Master KPI'!$B$5:$G$100,3,FALSE)&amp;")","")</f>
        <v/>
      </c>
      <c r="H289" s="26">
        <f>IFERROR(IF(B289&lt;&gt;'06_Target KPI'!$B$3,0,IF(VLOOKUP(F289,'05_Master KPI'!$B$5:$G$100,6,FALSE)="Kumulatif",INDEX('06_Target KPI'!$E$5:$P$100,MATCH(F289,'06_Target KPI'!$B$5:$B$100,0),MATCH(A289,'06_Target KPI'!$E$4:$P$4,0))*DAY(C289)/DAY(EOMONTH(C289,0)),INDEX('06_Target KPI'!$E$5:$P$100,MATCH(F289,'06_Target KPI'!$B$5:$B$100,0),MATCH(A289,'06_Target KPI'!$E$4:$P$4,0)))),0)</f>
        <v>0</v>
      </c>
      <c r="I289" s="24"/>
      <c r="J289" s="27">
        <f>IFERROR(MIN(IF(VLOOKUP(F289,'05_Master KPI'!$B$5:$G$100,5,FALSE)="Lower",H289/I289,I289/H289),1),0)</f>
        <v>0</v>
      </c>
      <c r="K289" s="26">
        <f>IFERROR(VLOOKUP(F289,'05_Master KPI'!$B$5:$G$100,4,FALSE),0)</f>
        <v>0</v>
      </c>
      <c r="L289" s="28">
        <f t="shared" si="4"/>
        <v>0</v>
      </c>
      <c r="M289" s="26" t="str">
        <f>IF(D289="","",IF(J289&gt;='13_Setting'!$H$7,"Tercapai",IF(J289&gt;='13_Setting'!$H$6,"On Track","Tertinggal")))</f>
        <v/>
      </c>
      <c r="N289" s="24"/>
    </row>
    <row r="290" spans="1:14">
      <c r="A290" s="24"/>
      <c r="B290" s="24"/>
      <c r="C290" s="25"/>
      <c r="D290" s="24"/>
      <c r="E290" s="26" t="str">
        <f>IFERROR(VLOOKUP(D290,'04_Master Karyawan'!$A$5:$F$50,2,FALSE),"")</f>
        <v/>
      </c>
      <c r="F290" s="24"/>
      <c r="G290" s="26" t="str">
        <f>IFERROR(VLOOKUP(F290,'05_Master KPI'!$B$5:$G$100,2,FALSE)&amp;" ("&amp;VLOOKUP(F290,'05_Master KPI'!$B$5:$G$100,3,FALSE)&amp;")","")</f>
        <v/>
      </c>
      <c r="H290" s="26">
        <f>IFERROR(IF(B290&lt;&gt;'06_Target KPI'!$B$3,0,IF(VLOOKUP(F290,'05_Master KPI'!$B$5:$G$100,6,FALSE)="Kumulatif",INDEX('06_Target KPI'!$E$5:$P$100,MATCH(F290,'06_Target KPI'!$B$5:$B$100,0),MATCH(A290,'06_Target KPI'!$E$4:$P$4,0))*DAY(C290)/DAY(EOMONTH(C290,0)),INDEX('06_Target KPI'!$E$5:$P$100,MATCH(F290,'06_Target KPI'!$B$5:$B$100,0),MATCH(A290,'06_Target KPI'!$E$4:$P$4,0)))),0)</f>
        <v>0</v>
      </c>
      <c r="I290" s="24"/>
      <c r="J290" s="27">
        <f>IFERROR(MIN(IF(VLOOKUP(F290,'05_Master KPI'!$B$5:$G$100,5,FALSE)="Lower",H290/I290,I290/H290),1),0)</f>
        <v>0</v>
      </c>
      <c r="K290" s="26">
        <f>IFERROR(VLOOKUP(F290,'05_Master KPI'!$B$5:$G$100,4,FALSE),0)</f>
        <v>0</v>
      </c>
      <c r="L290" s="28">
        <f t="shared" si="4"/>
        <v>0</v>
      </c>
      <c r="M290" s="26" t="str">
        <f>IF(D290="","",IF(J290&gt;='13_Setting'!$H$7,"Tercapai",IF(J290&gt;='13_Setting'!$H$6,"On Track","Tertinggal")))</f>
        <v/>
      </c>
      <c r="N290" s="24"/>
    </row>
    <row r="291" spans="1:14">
      <c r="A291" s="24"/>
      <c r="B291" s="24"/>
      <c r="C291" s="25"/>
      <c r="D291" s="24"/>
      <c r="E291" s="26" t="str">
        <f>IFERROR(VLOOKUP(D291,'04_Master Karyawan'!$A$5:$F$50,2,FALSE),"")</f>
        <v/>
      </c>
      <c r="F291" s="24"/>
      <c r="G291" s="26" t="str">
        <f>IFERROR(VLOOKUP(F291,'05_Master KPI'!$B$5:$G$100,2,FALSE)&amp;" ("&amp;VLOOKUP(F291,'05_Master KPI'!$B$5:$G$100,3,FALSE)&amp;")","")</f>
        <v/>
      </c>
      <c r="H291" s="26">
        <f>IFERROR(IF(B291&lt;&gt;'06_Target KPI'!$B$3,0,IF(VLOOKUP(F291,'05_Master KPI'!$B$5:$G$100,6,FALSE)="Kumulatif",INDEX('06_Target KPI'!$E$5:$P$100,MATCH(F291,'06_Target KPI'!$B$5:$B$100,0),MATCH(A291,'06_Target KPI'!$E$4:$P$4,0))*DAY(C291)/DAY(EOMONTH(C291,0)),INDEX('06_Target KPI'!$E$5:$P$100,MATCH(F291,'06_Target KPI'!$B$5:$B$100,0),MATCH(A291,'06_Target KPI'!$E$4:$P$4,0)))),0)</f>
        <v>0</v>
      </c>
      <c r="I291" s="24"/>
      <c r="J291" s="27">
        <f>IFERROR(MIN(IF(VLOOKUP(F291,'05_Master KPI'!$B$5:$G$100,5,FALSE)="Lower",H291/I291,I291/H291),1),0)</f>
        <v>0</v>
      </c>
      <c r="K291" s="26">
        <f>IFERROR(VLOOKUP(F291,'05_Master KPI'!$B$5:$G$100,4,FALSE),0)</f>
        <v>0</v>
      </c>
      <c r="L291" s="28">
        <f t="shared" si="4"/>
        <v>0</v>
      </c>
      <c r="M291" s="26" t="str">
        <f>IF(D291="","",IF(J291&gt;='13_Setting'!$H$7,"Tercapai",IF(J291&gt;='13_Setting'!$H$6,"On Track","Tertinggal")))</f>
        <v/>
      </c>
      <c r="N291" s="24"/>
    </row>
    <row r="292" spans="1:14">
      <c r="A292" s="24"/>
      <c r="B292" s="24"/>
      <c r="C292" s="25"/>
      <c r="D292" s="24"/>
      <c r="E292" s="26" t="str">
        <f>IFERROR(VLOOKUP(D292,'04_Master Karyawan'!$A$5:$F$50,2,FALSE),"")</f>
        <v/>
      </c>
      <c r="F292" s="24"/>
      <c r="G292" s="26" t="str">
        <f>IFERROR(VLOOKUP(F292,'05_Master KPI'!$B$5:$G$100,2,FALSE)&amp;" ("&amp;VLOOKUP(F292,'05_Master KPI'!$B$5:$G$100,3,FALSE)&amp;")","")</f>
        <v/>
      </c>
      <c r="H292" s="26">
        <f>IFERROR(IF(B292&lt;&gt;'06_Target KPI'!$B$3,0,IF(VLOOKUP(F292,'05_Master KPI'!$B$5:$G$100,6,FALSE)="Kumulatif",INDEX('06_Target KPI'!$E$5:$P$100,MATCH(F292,'06_Target KPI'!$B$5:$B$100,0),MATCH(A292,'06_Target KPI'!$E$4:$P$4,0))*DAY(C292)/DAY(EOMONTH(C292,0)),INDEX('06_Target KPI'!$E$5:$P$100,MATCH(F292,'06_Target KPI'!$B$5:$B$100,0),MATCH(A292,'06_Target KPI'!$E$4:$P$4,0)))),0)</f>
        <v>0</v>
      </c>
      <c r="I292" s="24"/>
      <c r="J292" s="27">
        <f>IFERROR(MIN(IF(VLOOKUP(F292,'05_Master KPI'!$B$5:$G$100,5,FALSE)="Lower",H292/I292,I292/H292),1),0)</f>
        <v>0</v>
      </c>
      <c r="K292" s="26">
        <f>IFERROR(VLOOKUP(F292,'05_Master KPI'!$B$5:$G$100,4,FALSE),0)</f>
        <v>0</v>
      </c>
      <c r="L292" s="28">
        <f t="shared" si="4"/>
        <v>0</v>
      </c>
      <c r="M292" s="26" t="str">
        <f>IF(D292="","",IF(J292&gt;='13_Setting'!$H$7,"Tercapai",IF(J292&gt;='13_Setting'!$H$6,"On Track","Tertinggal")))</f>
        <v/>
      </c>
      <c r="N292" s="24"/>
    </row>
    <row r="293" spans="1:14">
      <c r="A293" s="24"/>
      <c r="B293" s="24"/>
      <c r="C293" s="25"/>
      <c r="D293" s="24"/>
      <c r="E293" s="26" t="str">
        <f>IFERROR(VLOOKUP(D293,'04_Master Karyawan'!$A$5:$F$50,2,FALSE),"")</f>
        <v/>
      </c>
      <c r="F293" s="24"/>
      <c r="G293" s="26" t="str">
        <f>IFERROR(VLOOKUP(F293,'05_Master KPI'!$B$5:$G$100,2,FALSE)&amp;" ("&amp;VLOOKUP(F293,'05_Master KPI'!$B$5:$G$100,3,FALSE)&amp;")","")</f>
        <v/>
      </c>
      <c r="H293" s="26">
        <f>IFERROR(IF(B293&lt;&gt;'06_Target KPI'!$B$3,0,IF(VLOOKUP(F293,'05_Master KPI'!$B$5:$G$100,6,FALSE)="Kumulatif",INDEX('06_Target KPI'!$E$5:$P$100,MATCH(F293,'06_Target KPI'!$B$5:$B$100,0),MATCH(A293,'06_Target KPI'!$E$4:$P$4,0))*DAY(C293)/DAY(EOMONTH(C293,0)),INDEX('06_Target KPI'!$E$5:$P$100,MATCH(F293,'06_Target KPI'!$B$5:$B$100,0),MATCH(A293,'06_Target KPI'!$E$4:$P$4,0)))),0)</f>
        <v>0</v>
      </c>
      <c r="I293" s="24"/>
      <c r="J293" s="27">
        <f>IFERROR(MIN(IF(VLOOKUP(F293,'05_Master KPI'!$B$5:$G$100,5,FALSE)="Lower",H293/I293,I293/H293),1),0)</f>
        <v>0</v>
      </c>
      <c r="K293" s="26">
        <f>IFERROR(VLOOKUP(F293,'05_Master KPI'!$B$5:$G$100,4,FALSE),0)</f>
        <v>0</v>
      </c>
      <c r="L293" s="28">
        <f t="shared" si="4"/>
        <v>0</v>
      </c>
      <c r="M293" s="26" t="str">
        <f>IF(D293="","",IF(J293&gt;='13_Setting'!$H$7,"Tercapai",IF(J293&gt;='13_Setting'!$H$6,"On Track","Tertinggal")))</f>
        <v/>
      </c>
      <c r="N293" s="24"/>
    </row>
    <row r="294" spans="1:14">
      <c r="A294" s="24"/>
      <c r="B294" s="24"/>
      <c r="C294" s="25"/>
      <c r="D294" s="24"/>
      <c r="E294" s="26" t="str">
        <f>IFERROR(VLOOKUP(D294,'04_Master Karyawan'!$A$5:$F$50,2,FALSE),"")</f>
        <v/>
      </c>
      <c r="F294" s="24"/>
      <c r="G294" s="26" t="str">
        <f>IFERROR(VLOOKUP(F294,'05_Master KPI'!$B$5:$G$100,2,FALSE)&amp;" ("&amp;VLOOKUP(F294,'05_Master KPI'!$B$5:$G$100,3,FALSE)&amp;")","")</f>
        <v/>
      </c>
      <c r="H294" s="26">
        <f>IFERROR(IF(B294&lt;&gt;'06_Target KPI'!$B$3,0,IF(VLOOKUP(F294,'05_Master KPI'!$B$5:$G$100,6,FALSE)="Kumulatif",INDEX('06_Target KPI'!$E$5:$P$100,MATCH(F294,'06_Target KPI'!$B$5:$B$100,0),MATCH(A294,'06_Target KPI'!$E$4:$P$4,0))*DAY(C294)/DAY(EOMONTH(C294,0)),INDEX('06_Target KPI'!$E$5:$P$100,MATCH(F294,'06_Target KPI'!$B$5:$B$100,0),MATCH(A294,'06_Target KPI'!$E$4:$P$4,0)))),0)</f>
        <v>0</v>
      </c>
      <c r="I294" s="24"/>
      <c r="J294" s="27">
        <f>IFERROR(MIN(IF(VLOOKUP(F294,'05_Master KPI'!$B$5:$G$100,5,FALSE)="Lower",H294/I294,I294/H294),1),0)</f>
        <v>0</v>
      </c>
      <c r="K294" s="26">
        <f>IFERROR(VLOOKUP(F294,'05_Master KPI'!$B$5:$G$100,4,FALSE),0)</f>
        <v>0</v>
      </c>
      <c r="L294" s="28">
        <f t="shared" si="4"/>
        <v>0</v>
      </c>
      <c r="M294" s="26" t="str">
        <f>IF(D294="","",IF(J294&gt;='13_Setting'!$H$7,"Tercapai",IF(J294&gt;='13_Setting'!$H$6,"On Track","Tertinggal")))</f>
        <v/>
      </c>
      <c r="N294" s="24"/>
    </row>
    <row r="295" spans="1:14">
      <c r="A295" s="24"/>
      <c r="B295" s="24"/>
      <c r="C295" s="25"/>
      <c r="D295" s="24"/>
      <c r="E295" s="26" t="str">
        <f>IFERROR(VLOOKUP(D295,'04_Master Karyawan'!$A$5:$F$50,2,FALSE),"")</f>
        <v/>
      </c>
      <c r="F295" s="24"/>
      <c r="G295" s="26" t="str">
        <f>IFERROR(VLOOKUP(F295,'05_Master KPI'!$B$5:$G$100,2,FALSE)&amp;" ("&amp;VLOOKUP(F295,'05_Master KPI'!$B$5:$G$100,3,FALSE)&amp;")","")</f>
        <v/>
      </c>
      <c r="H295" s="26">
        <f>IFERROR(IF(B295&lt;&gt;'06_Target KPI'!$B$3,0,IF(VLOOKUP(F295,'05_Master KPI'!$B$5:$G$100,6,FALSE)="Kumulatif",INDEX('06_Target KPI'!$E$5:$P$100,MATCH(F295,'06_Target KPI'!$B$5:$B$100,0),MATCH(A295,'06_Target KPI'!$E$4:$P$4,0))*DAY(C295)/DAY(EOMONTH(C295,0)),INDEX('06_Target KPI'!$E$5:$P$100,MATCH(F295,'06_Target KPI'!$B$5:$B$100,0),MATCH(A295,'06_Target KPI'!$E$4:$P$4,0)))),0)</f>
        <v>0</v>
      </c>
      <c r="I295" s="24"/>
      <c r="J295" s="27">
        <f>IFERROR(MIN(IF(VLOOKUP(F295,'05_Master KPI'!$B$5:$G$100,5,FALSE)="Lower",H295/I295,I295/H295),1),0)</f>
        <v>0</v>
      </c>
      <c r="K295" s="26">
        <f>IFERROR(VLOOKUP(F295,'05_Master KPI'!$B$5:$G$100,4,FALSE),0)</f>
        <v>0</v>
      </c>
      <c r="L295" s="28">
        <f t="shared" si="4"/>
        <v>0</v>
      </c>
      <c r="M295" s="26" t="str">
        <f>IF(D295="","",IF(J295&gt;='13_Setting'!$H$7,"Tercapai",IF(J295&gt;='13_Setting'!$H$6,"On Track","Tertinggal")))</f>
        <v/>
      </c>
      <c r="N295" s="24"/>
    </row>
    <row r="296" spans="1:14">
      <c r="A296" s="24"/>
      <c r="B296" s="24"/>
      <c r="C296" s="25"/>
      <c r="D296" s="24"/>
      <c r="E296" s="26" t="str">
        <f>IFERROR(VLOOKUP(D296,'04_Master Karyawan'!$A$5:$F$50,2,FALSE),"")</f>
        <v/>
      </c>
      <c r="F296" s="24"/>
      <c r="G296" s="26" t="str">
        <f>IFERROR(VLOOKUP(F296,'05_Master KPI'!$B$5:$G$100,2,FALSE)&amp;" ("&amp;VLOOKUP(F296,'05_Master KPI'!$B$5:$G$100,3,FALSE)&amp;")","")</f>
        <v/>
      </c>
      <c r="H296" s="26">
        <f>IFERROR(IF(B296&lt;&gt;'06_Target KPI'!$B$3,0,IF(VLOOKUP(F296,'05_Master KPI'!$B$5:$G$100,6,FALSE)="Kumulatif",INDEX('06_Target KPI'!$E$5:$P$100,MATCH(F296,'06_Target KPI'!$B$5:$B$100,0),MATCH(A296,'06_Target KPI'!$E$4:$P$4,0))*DAY(C296)/DAY(EOMONTH(C296,0)),INDEX('06_Target KPI'!$E$5:$P$100,MATCH(F296,'06_Target KPI'!$B$5:$B$100,0),MATCH(A296,'06_Target KPI'!$E$4:$P$4,0)))),0)</f>
        <v>0</v>
      </c>
      <c r="I296" s="24"/>
      <c r="J296" s="27">
        <f>IFERROR(MIN(IF(VLOOKUP(F296,'05_Master KPI'!$B$5:$G$100,5,FALSE)="Lower",H296/I296,I296/H296),1),0)</f>
        <v>0</v>
      </c>
      <c r="K296" s="26">
        <f>IFERROR(VLOOKUP(F296,'05_Master KPI'!$B$5:$G$100,4,FALSE),0)</f>
        <v>0</v>
      </c>
      <c r="L296" s="28">
        <f t="shared" si="4"/>
        <v>0</v>
      </c>
      <c r="M296" s="26" t="str">
        <f>IF(D296="","",IF(J296&gt;='13_Setting'!$H$7,"Tercapai",IF(J296&gt;='13_Setting'!$H$6,"On Track","Tertinggal")))</f>
        <v/>
      </c>
      <c r="N296" s="24"/>
    </row>
    <row r="297" spans="1:14">
      <c r="A297" s="24"/>
      <c r="B297" s="24"/>
      <c r="C297" s="25"/>
      <c r="D297" s="24"/>
      <c r="E297" s="26" t="str">
        <f>IFERROR(VLOOKUP(D297,'04_Master Karyawan'!$A$5:$F$50,2,FALSE),"")</f>
        <v/>
      </c>
      <c r="F297" s="24"/>
      <c r="G297" s="26" t="str">
        <f>IFERROR(VLOOKUP(F297,'05_Master KPI'!$B$5:$G$100,2,FALSE)&amp;" ("&amp;VLOOKUP(F297,'05_Master KPI'!$B$5:$G$100,3,FALSE)&amp;")","")</f>
        <v/>
      </c>
      <c r="H297" s="26">
        <f>IFERROR(IF(B297&lt;&gt;'06_Target KPI'!$B$3,0,IF(VLOOKUP(F297,'05_Master KPI'!$B$5:$G$100,6,FALSE)="Kumulatif",INDEX('06_Target KPI'!$E$5:$P$100,MATCH(F297,'06_Target KPI'!$B$5:$B$100,0),MATCH(A297,'06_Target KPI'!$E$4:$P$4,0))*DAY(C297)/DAY(EOMONTH(C297,0)),INDEX('06_Target KPI'!$E$5:$P$100,MATCH(F297,'06_Target KPI'!$B$5:$B$100,0),MATCH(A297,'06_Target KPI'!$E$4:$P$4,0)))),0)</f>
        <v>0</v>
      </c>
      <c r="I297" s="24"/>
      <c r="J297" s="27">
        <f>IFERROR(MIN(IF(VLOOKUP(F297,'05_Master KPI'!$B$5:$G$100,5,FALSE)="Lower",H297/I297,I297/H297),1),0)</f>
        <v>0</v>
      </c>
      <c r="K297" s="26">
        <f>IFERROR(VLOOKUP(F297,'05_Master KPI'!$B$5:$G$100,4,FALSE),0)</f>
        <v>0</v>
      </c>
      <c r="L297" s="28">
        <f t="shared" si="4"/>
        <v>0</v>
      </c>
      <c r="M297" s="26" t="str">
        <f>IF(D297="","",IF(J297&gt;='13_Setting'!$H$7,"Tercapai",IF(J297&gt;='13_Setting'!$H$6,"On Track","Tertinggal")))</f>
        <v/>
      </c>
      <c r="N297" s="24"/>
    </row>
    <row r="298" spans="1:14">
      <c r="A298" s="24"/>
      <c r="B298" s="24"/>
      <c r="C298" s="25"/>
      <c r="D298" s="24"/>
      <c r="E298" s="26" t="str">
        <f>IFERROR(VLOOKUP(D298,'04_Master Karyawan'!$A$5:$F$50,2,FALSE),"")</f>
        <v/>
      </c>
      <c r="F298" s="24"/>
      <c r="G298" s="26" t="str">
        <f>IFERROR(VLOOKUP(F298,'05_Master KPI'!$B$5:$G$100,2,FALSE)&amp;" ("&amp;VLOOKUP(F298,'05_Master KPI'!$B$5:$G$100,3,FALSE)&amp;")","")</f>
        <v/>
      </c>
      <c r="H298" s="26">
        <f>IFERROR(IF(B298&lt;&gt;'06_Target KPI'!$B$3,0,IF(VLOOKUP(F298,'05_Master KPI'!$B$5:$G$100,6,FALSE)="Kumulatif",INDEX('06_Target KPI'!$E$5:$P$100,MATCH(F298,'06_Target KPI'!$B$5:$B$100,0),MATCH(A298,'06_Target KPI'!$E$4:$P$4,0))*DAY(C298)/DAY(EOMONTH(C298,0)),INDEX('06_Target KPI'!$E$5:$P$100,MATCH(F298,'06_Target KPI'!$B$5:$B$100,0),MATCH(A298,'06_Target KPI'!$E$4:$P$4,0)))),0)</f>
        <v>0</v>
      </c>
      <c r="I298" s="24"/>
      <c r="J298" s="27">
        <f>IFERROR(MIN(IF(VLOOKUP(F298,'05_Master KPI'!$B$5:$G$100,5,FALSE)="Lower",H298/I298,I298/H298),1),0)</f>
        <v>0</v>
      </c>
      <c r="K298" s="26">
        <f>IFERROR(VLOOKUP(F298,'05_Master KPI'!$B$5:$G$100,4,FALSE),0)</f>
        <v>0</v>
      </c>
      <c r="L298" s="28">
        <f t="shared" si="4"/>
        <v>0</v>
      </c>
      <c r="M298" s="26" t="str">
        <f>IF(D298="","",IF(J298&gt;='13_Setting'!$H$7,"Tercapai",IF(J298&gt;='13_Setting'!$H$6,"On Track","Tertinggal")))</f>
        <v/>
      </c>
      <c r="N298" s="24"/>
    </row>
    <row r="299" spans="1:14">
      <c r="A299" s="24"/>
      <c r="B299" s="24"/>
      <c r="C299" s="25"/>
      <c r="D299" s="24"/>
      <c r="E299" s="26" t="str">
        <f>IFERROR(VLOOKUP(D299,'04_Master Karyawan'!$A$5:$F$50,2,FALSE),"")</f>
        <v/>
      </c>
      <c r="F299" s="24"/>
      <c r="G299" s="26" t="str">
        <f>IFERROR(VLOOKUP(F299,'05_Master KPI'!$B$5:$G$100,2,FALSE)&amp;" ("&amp;VLOOKUP(F299,'05_Master KPI'!$B$5:$G$100,3,FALSE)&amp;")","")</f>
        <v/>
      </c>
      <c r="H299" s="26">
        <f>IFERROR(IF(B299&lt;&gt;'06_Target KPI'!$B$3,0,IF(VLOOKUP(F299,'05_Master KPI'!$B$5:$G$100,6,FALSE)="Kumulatif",INDEX('06_Target KPI'!$E$5:$P$100,MATCH(F299,'06_Target KPI'!$B$5:$B$100,0),MATCH(A299,'06_Target KPI'!$E$4:$P$4,0))*DAY(C299)/DAY(EOMONTH(C299,0)),INDEX('06_Target KPI'!$E$5:$P$100,MATCH(F299,'06_Target KPI'!$B$5:$B$100,0),MATCH(A299,'06_Target KPI'!$E$4:$P$4,0)))),0)</f>
        <v>0</v>
      </c>
      <c r="I299" s="24"/>
      <c r="J299" s="27">
        <f>IFERROR(MIN(IF(VLOOKUP(F299,'05_Master KPI'!$B$5:$G$100,5,FALSE)="Lower",H299/I299,I299/H299),1),0)</f>
        <v>0</v>
      </c>
      <c r="K299" s="26">
        <f>IFERROR(VLOOKUP(F299,'05_Master KPI'!$B$5:$G$100,4,FALSE),0)</f>
        <v>0</v>
      </c>
      <c r="L299" s="28">
        <f t="shared" si="4"/>
        <v>0</v>
      </c>
      <c r="M299" s="26" t="str">
        <f>IF(D299="","",IF(J299&gt;='13_Setting'!$H$7,"Tercapai",IF(J299&gt;='13_Setting'!$H$6,"On Track","Tertinggal")))</f>
        <v/>
      </c>
      <c r="N299" s="24"/>
    </row>
    <row r="300" spans="1:14">
      <c r="A300" s="24"/>
      <c r="B300" s="24"/>
      <c r="C300" s="25"/>
      <c r="D300" s="24"/>
      <c r="E300" s="26" t="str">
        <f>IFERROR(VLOOKUP(D300,'04_Master Karyawan'!$A$5:$F$50,2,FALSE),"")</f>
        <v/>
      </c>
      <c r="F300" s="24"/>
      <c r="G300" s="26" t="str">
        <f>IFERROR(VLOOKUP(F300,'05_Master KPI'!$B$5:$G$100,2,FALSE)&amp;" ("&amp;VLOOKUP(F300,'05_Master KPI'!$B$5:$G$100,3,FALSE)&amp;")","")</f>
        <v/>
      </c>
      <c r="H300" s="26">
        <f>IFERROR(IF(B300&lt;&gt;'06_Target KPI'!$B$3,0,IF(VLOOKUP(F300,'05_Master KPI'!$B$5:$G$100,6,FALSE)="Kumulatif",INDEX('06_Target KPI'!$E$5:$P$100,MATCH(F300,'06_Target KPI'!$B$5:$B$100,0),MATCH(A300,'06_Target KPI'!$E$4:$P$4,0))*DAY(C300)/DAY(EOMONTH(C300,0)),INDEX('06_Target KPI'!$E$5:$P$100,MATCH(F300,'06_Target KPI'!$B$5:$B$100,0),MATCH(A300,'06_Target KPI'!$E$4:$P$4,0)))),0)</f>
        <v>0</v>
      </c>
      <c r="I300" s="24"/>
      <c r="J300" s="27">
        <f>IFERROR(MIN(IF(VLOOKUP(F300,'05_Master KPI'!$B$5:$G$100,5,FALSE)="Lower",H300/I300,I300/H300),1),0)</f>
        <v>0</v>
      </c>
      <c r="K300" s="26">
        <f>IFERROR(VLOOKUP(F300,'05_Master KPI'!$B$5:$G$100,4,FALSE),0)</f>
        <v>0</v>
      </c>
      <c r="L300" s="28">
        <f t="shared" si="4"/>
        <v>0</v>
      </c>
      <c r="M300" s="26" t="str">
        <f>IF(D300="","",IF(J300&gt;='13_Setting'!$H$7,"Tercapai",IF(J300&gt;='13_Setting'!$H$6,"On Track","Tertinggal")))</f>
        <v/>
      </c>
      <c r="N300" s="24"/>
    </row>
    <row r="301" spans="1:14">
      <c r="A301" s="24"/>
      <c r="B301" s="24"/>
      <c r="C301" s="25"/>
      <c r="D301" s="24"/>
      <c r="E301" s="26" t="str">
        <f>IFERROR(VLOOKUP(D301,'04_Master Karyawan'!$A$5:$F$50,2,FALSE),"")</f>
        <v/>
      </c>
      <c r="F301" s="24"/>
      <c r="G301" s="26" t="str">
        <f>IFERROR(VLOOKUP(F301,'05_Master KPI'!$B$5:$G$100,2,FALSE)&amp;" ("&amp;VLOOKUP(F301,'05_Master KPI'!$B$5:$G$100,3,FALSE)&amp;")","")</f>
        <v/>
      </c>
      <c r="H301" s="26">
        <f>IFERROR(IF(B301&lt;&gt;'06_Target KPI'!$B$3,0,IF(VLOOKUP(F301,'05_Master KPI'!$B$5:$G$100,6,FALSE)="Kumulatif",INDEX('06_Target KPI'!$E$5:$P$100,MATCH(F301,'06_Target KPI'!$B$5:$B$100,0),MATCH(A301,'06_Target KPI'!$E$4:$P$4,0))*DAY(C301)/DAY(EOMONTH(C301,0)),INDEX('06_Target KPI'!$E$5:$P$100,MATCH(F301,'06_Target KPI'!$B$5:$B$100,0),MATCH(A301,'06_Target KPI'!$E$4:$P$4,0)))),0)</f>
        <v>0</v>
      </c>
      <c r="I301" s="24"/>
      <c r="J301" s="27">
        <f>IFERROR(MIN(IF(VLOOKUP(F301,'05_Master KPI'!$B$5:$G$100,5,FALSE)="Lower",H301/I301,I301/H301),1),0)</f>
        <v>0</v>
      </c>
      <c r="K301" s="26">
        <f>IFERROR(VLOOKUP(F301,'05_Master KPI'!$B$5:$G$100,4,FALSE),0)</f>
        <v>0</v>
      </c>
      <c r="L301" s="28">
        <f t="shared" si="4"/>
        <v>0</v>
      </c>
      <c r="M301" s="26" t="str">
        <f>IF(D301="","",IF(J301&gt;='13_Setting'!$H$7,"Tercapai",IF(J301&gt;='13_Setting'!$H$6,"On Track","Tertinggal")))</f>
        <v/>
      </c>
      <c r="N301" s="24"/>
    </row>
    <row r="302" spans="1:14">
      <c r="A302" s="24"/>
      <c r="B302" s="24"/>
      <c r="C302" s="25"/>
      <c r="D302" s="24"/>
      <c r="E302" s="26" t="str">
        <f>IFERROR(VLOOKUP(D302,'04_Master Karyawan'!$A$5:$F$50,2,FALSE),"")</f>
        <v/>
      </c>
      <c r="F302" s="24"/>
      <c r="G302" s="26" t="str">
        <f>IFERROR(VLOOKUP(F302,'05_Master KPI'!$B$5:$G$100,2,FALSE)&amp;" ("&amp;VLOOKUP(F302,'05_Master KPI'!$B$5:$G$100,3,FALSE)&amp;")","")</f>
        <v/>
      </c>
      <c r="H302" s="26">
        <f>IFERROR(IF(B302&lt;&gt;'06_Target KPI'!$B$3,0,IF(VLOOKUP(F302,'05_Master KPI'!$B$5:$G$100,6,FALSE)="Kumulatif",INDEX('06_Target KPI'!$E$5:$P$100,MATCH(F302,'06_Target KPI'!$B$5:$B$100,0),MATCH(A302,'06_Target KPI'!$E$4:$P$4,0))*DAY(C302)/DAY(EOMONTH(C302,0)),INDEX('06_Target KPI'!$E$5:$P$100,MATCH(F302,'06_Target KPI'!$B$5:$B$100,0),MATCH(A302,'06_Target KPI'!$E$4:$P$4,0)))),0)</f>
        <v>0</v>
      </c>
      <c r="I302" s="24"/>
      <c r="J302" s="27">
        <f>IFERROR(MIN(IF(VLOOKUP(F302,'05_Master KPI'!$B$5:$G$100,5,FALSE)="Lower",H302/I302,I302/H302),1),0)</f>
        <v>0</v>
      </c>
      <c r="K302" s="26">
        <f>IFERROR(VLOOKUP(F302,'05_Master KPI'!$B$5:$G$100,4,FALSE),0)</f>
        <v>0</v>
      </c>
      <c r="L302" s="28">
        <f t="shared" si="4"/>
        <v>0</v>
      </c>
      <c r="M302" s="26" t="str">
        <f>IF(D302="","",IF(J302&gt;='13_Setting'!$H$7,"Tercapai",IF(J302&gt;='13_Setting'!$H$6,"On Track","Tertinggal")))</f>
        <v/>
      </c>
      <c r="N302" s="24"/>
    </row>
    <row r="303" spans="1:14">
      <c r="A303" s="24"/>
      <c r="B303" s="24"/>
      <c r="C303" s="25"/>
      <c r="D303" s="24"/>
      <c r="E303" s="26" t="str">
        <f>IFERROR(VLOOKUP(D303,'04_Master Karyawan'!$A$5:$F$50,2,FALSE),"")</f>
        <v/>
      </c>
      <c r="F303" s="24"/>
      <c r="G303" s="26" t="str">
        <f>IFERROR(VLOOKUP(F303,'05_Master KPI'!$B$5:$G$100,2,FALSE)&amp;" ("&amp;VLOOKUP(F303,'05_Master KPI'!$B$5:$G$100,3,FALSE)&amp;")","")</f>
        <v/>
      </c>
      <c r="H303" s="26">
        <f>IFERROR(IF(B303&lt;&gt;'06_Target KPI'!$B$3,0,IF(VLOOKUP(F303,'05_Master KPI'!$B$5:$G$100,6,FALSE)="Kumulatif",INDEX('06_Target KPI'!$E$5:$P$100,MATCH(F303,'06_Target KPI'!$B$5:$B$100,0),MATCH(A303,'06_Target KPI'!$E$4:$P$4,0))*DAY(C303)/DAY(EOMONTH(C303,0)),INDEX('06_Target KPI'!$E$5:$P$100,MATCH(F303,'06_Target KPI'!$B$5:$B$100,0),MATCH(A303,'06_Target KPI'!$E$4:$P$4,0)))),0)</f>
        <v>0</v>
      </c>
      <c r="I303" s="24"/>
      <c r="J303" s="27">
        <f>IFERROR(MIN(IF(VLOOKUP(F303,'05_Master KPI'!$B$5:$G$100,5,FALSE)="Lower",H303/I303,I303/H303),1),0)</f>
        <v>0</v>
      </c>
      <c r="K303" s="26">
        <f>IFERROR(VLOOKUP(F303,'05_Master KPI'!$B$5:$G$100,4,FALSE),0)</f>
        <v>0</v>
      </c>
      <c r="L303" s="28">
        <f t="shared" si="4"/>
        <v>0</v>
      </c>
      <c r="M303" s="26" t="str">
        <f>IF(D303="","",IF(J303&gt;='13_Setting'!$H$7,"Tercapai",IF(J303&gt;='13_Setting'!$H$6,"On Track","Tertinggal")))</f>
        <v/>
      </c>
      <c r="N303" s="24"/>
    </row>
    <row r="304" spans="1:14">
      <c r="A304" s="29"/>
      <c r="B304" s="29"/>
      <c r="C304" s="30"/>
      <c r="D304" s="29"/>
      <c r="E304" s="31" t="str">
        <f>IFERROR(VLOOKUP(D304,'04_Master Karyawan'!$A$5:$F$50,2,FALSE),"")</f>
        <v/>
      </c>
      <c r="F304" s="29"/>
      <c r="G304" s="31" t="str">
        <f>IFERROR(VLOOKUP(F304,'05_Master KPI'!$B$5:$G$100,2,FALSE)&amp;" ("&amp;VLOOKUP(F304,'05_Master KPI'!$B$5:$G$100,3,FALSE)&amp;")","")</f>
        <v/>
      </c>
      <c r="H304" s="31">
        <f>IFERROR(IF(B304&lt;&gt;'06_Target KPI'!$B$3,0,IF(VLOOKUP(F304,'05_Master KPI'!$B$5:$G$100,6,FALSE)="Kumulatif",INDEX('06_Target KPI'!$E$5:$P$100,MATCH(F304,'06_Target KPI'!$B$5:$B$100,0),MATCH(A304,'06_Target KPI'!$E$4:$P$4,0))*DAY(C304)/DAY(EOMONTH(C304,0)),INDEX('06_Target KPI'!$E$5:$P$100,MATCH(F304,'06_Target KPI'!$B$5:$B$100,0),MATCH(A304,'06_Target KPI'!$E$4:$P$4,0)))),0)</f>
        <v>0</v>
      </c>
      <c r="I304" s="29"/>
      <c r="J304" s="32">
        <f>IFERROR(MIN(IF(VLOOKUP(F304,'05_Master KPI'!$B$5:$G$100,5,FALSE)="Lower",H304/I304,I304/H304),1),0)</f>
        <v>0</v>
      </c>
      <c r="K304" s="31">
        <f>IFERROR(VLOOKUP(F304,'05_Master KPI'!$B$5:$G$100,4,FALSE),0)</f>
        <v>0</v>
      </c>
      <c r="L304" s="33">
        <f t="shared" si="4"/>
        <v>0</v>
      </c>
      <c r="M304" s="31" t="str">
        <f>IF(D304="","",IF(J304&gt;='13_Setting'!$H$7,"Tercapai",IF(J304&gt;='13_Setting'!$H$6,"On Track","Tertinggal")))</f>
        <v/>
      </c>
      <c r="N304" s="29"/>
    </row>
  </sheetData>
  <mergeCells count="2">
    <mergeCell ref="A1:N1"/>
    <mergeCell ref="A2:N2"/>
  </mergeCells>
  <conditionalFormatting sqref="M5:M304">
    <cfRule type="containsText" dxfId="18" priority="1" operator="containsText" text="Tercapai"/>
    <cfRule type="containsText" dxfId="17" priority="2" operator="containsText" text="On Track"/>
    <cfRule type="containsText" dxfId="16" priority="3" operator="containsText" text="Tertinggal"/>
  </conditionalFormatting>
  <dataValidations count="2">
    <dataValidation type="list" sqref="D5:D304" xr:uid="{00000000-0002-0000-0600-000002000000}">
      <formula1>"EMP007"</formula1>
    </dataValidation>
    <dataValidation type="list" sqref="F5:F304" xr:uid="{00000000-0002-0000-0600-000003000000}">
      <formula1>"PROD01,PROD02,PROD03,PROD04"</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xr:uid="{00000000-0002-0000-0600-000000000000}">
          <x14:formula1>
            <xm:f>'13_Setting'!$A$5:$A$16</xm:f>
          </x14:formula1>
          <xm:sqref>A5:A304</xm:sqref>
        </x14:dataValidation>
        <x14:dataValidation type="list" xr:uid="{00000000-0002-0000-0600-000001000000}">
          <x14:formula1>
            <xm:f>'13_Setting'!$D$5:$D$9</xm:f>
          </x14:formula1>
          <xm:sqref>B5:B304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304"/>
  <sheetViews>
    <sheetView showGridLines="0" workbookViewId="0"/>
  </sheetViews>
  <sheetFormatPr defaultRowHeight="13.8"/>
  <cols>
    <col min="1" max="1" width="14" customWidth="1"/>
    <col min="2" max="2" width="9" customWidth="1"/>
    <col min="3" max="3" width="14" customWidth="1"/>
    <col min="4" max="4" width="12" customWidth="1"/>
    <col min="5" max="5" width="28" customWidth="1"/>
    <col min="6" max="6" width="12" customWidth="1"/>
    <col min="7" max="7" width="30" customWidth="1"/>
    <col min="8" max="13" width="14" customWidth="1"/>
    <col min="14" max="14" width="30" customWidth="1"/>
  </cols>
  <sheetData>
    <row r="1" spans="1:26" ht="34.049999999999997" customHeight="1">
      <c r="A1" s="55" t="s">
        <v>213</v>
      </c>
      <c r="B1" s="55" t="s">
        <v>213</v>
      </c>
      <c r="C1" s="55" t="s">
        <v>213</v>
      </c>
      <c r="D1" s="55" t="s">
        <v>213</v>
      </c>
      <c r="E1" s="55" t="s">
        <v>213</v>
      </c>
      <c r="F1" s="55" t="s">
        <v>213</v>
      </c>
      <c r="G1" s="55" t="s">
        <v>213</v>
      </c>
      <c r="H1" s="55" t="s">
        <v>213</v>
      </c>
      <c r="I1" s="55" t="s">
        <v>213</v>
      </c>
      <c r="J1" s="55" t="s">
        <v>213</v>
      </c>
      <c r="K1" s="55" t="s">
        <v>213</v>
      </c>
      <c r="L1" s="55" t="s">
        <v>213</v>
      </c>
      <c r="M1" s="55" t="s">
        <v>213</v>
      </c>
      <c r="N1" s="55" t="s">
        <v>213</v>
      </c>
      <c r="O1" s="1"/>
      <c r="P1" s="1"/>
      <c r="Q1" s="1"/>
      <c r="R1" s="1"/>
      <c r="S1" s="1"/>
      <c r="T1" s="1"/>
      <c r="U1" s="1"/>
      <c r="V1" s="1"/>
      <c r="W1" s="1"/>
      <c r="X1" s="1"/>
      <c r="Y1" s="1"/>
      <c r="Z1" s="1"/>
    </row>
    <row r="2" spans="1:26" ht="24" customHeight="1">
      <c r="A2" s="56" t="s">
        <v>203</v>
      </c>
      <c r="B2" s="56" t="s">
        <v>203</v>
      </c>
      <c r="C2" s="56" t="s">
        <v>203</v>
      </c>
      <c r="D2" s="56" t="s">
        <v>203</v>
      </c>
      <c r="E2" s="56" t="s">
        <v>203</v>
      </c>
      <c r="F2" s="56" t="s">
        <v>203</v>
      </c>
      <c r="G2" s="56" t="s">
        <v>203</v>
      </c>
      <c r="H2" s="56" t="s">
        <v>203</v>
      </c>
      <c r="I2" s="56" t="s">
        <v>203</v>
      </c>
      <c r="J2" s="56" t="s">
        <v>203</v>
      </c>
      <c r="K2" s="56" t="s">
        <v>203</v>
      </c>
      <c r="L2" s="56" t="s">
        <v>203</v>
      </c>
      <c r="M2" s="56" t="s">
        <v>203</v>
      </c>
      <c r="N2" s="56" t="s">
        <v>203</v>
      </c>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204</v>
      </c>
      <c r="D4" s="6" t="s">
        <v>83</v>
      </c>
      <c r="E4" s="6" t="s">
        <v>34</v>
      </c>
      <c r="F4" s="6" t="s">
        <v>108</v>
      </c>
      <c r="G4" s="6" t="s">
        <v>205</v>
      </c>
      <c r="H4" s="6" t="s">
        <v>206</v>
      </c>
      <c r="I4" s="6" t="s">
        <v>207</v>
      </c>
      <c r="J4" s="6" t="s">
        <v>208</v>
      </c>
      <c r="K4" s="6" t="s">
        <v>111</v>
      </c>
      <c r="L4" s="6" t="s">
        <v>209</v>
      </c>
      <c r="M4" s="6" t="s">
        <v>85</v>
      </c>
      <c r="N4" s="3" t="s">
        <v>210</v>
      </c>
      <c r="O4" s="1"/>
      <c r="P4" s="1"/>
      <c r="Q4" s="1"/>
      <c r="R4" s="1"/>
      <c r="S4" s="1"/>
      <c r="T4" s="1"/>
      <c r="U4" s="1"/>
      <c r="V4" s="1"/>
      <c r="W4" s="1"/>
      <c r="X4" s="1"/>
      <c r="Y4" s="1"/>
      <c r="Z4" s="1"/>
    </row>
    <row r="5" spans="1:26">
      <c r="A5" s="16" t="s">
        <v>192</v>
      </c>
      <c r="B5" s="16">
        <v>2026</v>
      </c>
      <c r="C5" s="17">
        <v>46053</v>
      </c>
      <c r="D5" s="16" t="s">
        <v>86</v>
      </c>
      <c r="E5" s="8" t="str">
        <f>IFERROR(VLOOKUP(D5,'04_Master Karyawan'!$A$5:$F$50,2,FALSE),"")</f>
        <v>Stephan</v>
      </c>
      <c r="F5" s="16" t="s">
        <v>143</v>
      </c>
      <c r="G5" s="8" t="str">
        <f>IFERROR(VLOOKUP(F5,'05_Master KPI'!$B$5:$G$100,2,FALSE)&amp;" ("&amp;VLOOKUP(F5,'05_Master KPI'!$B$5:$G$100,3,FALSE)&amp;")","")</f>
        <v>Content Plan (konten)</v>
      </c>
      <c r="H5" s="8">
        <f>IFERROR(IF(B5&lt;&gt;'06_Target KPI'!$B$3,0,IF(VLOOKUP(F5,'05_Master KPI'!$B$5:$G$100,6,FALSE)="Kumulatif",INDEX('06_Target KPI'!$E$5:$P$100,MATCH(F5,'06_Target KPI'!$B$5:$B$100,0),MATCH(A5,'06_Target KPI'!$E$4:$P$4,0))*DAY(C5)/DAY(EOMONTH(C5,0)),INDEX('06_Target KPI'!$E$5:$P$100,MATCH(F5,'06_Target KPI'!$B$5:$B$100,0),MATCH(A5,'06_Target KPI'!$E$4:$P$4,0)))),0)</f>
        <v>30</v>
      </c>
      <c r="I5" s="16">
        <v>22</v>
      </c>
      <c r="J5" s="18">
        <f>IFERROR(MIN(IF(VLOOKUP(F5,'05_Master KPI'!$B$5:$G$100,5,FALSE)="Lower",H5/I5,I5/H5),1),0)</f>
        <v>0.73333333333333328</v>
      </c>
      <c r="K5" s="8">
        <f>IFERROR(VLOOKUP(F5,'05_Master KPI'!$B$5:$G$100,4,FALSE),0)</f>
        <v>15</v>
      </c>
      <c r="L5" s="19">
        <f t="shared" ref="L5:L68" si="0">J5*K5</f>
        <v>11</v>
      </c>
      <c r="M5" s="8" t="str">
        <f>IF(D5="","",IF(J5&gt;='13_Setting'!$H$7,"Tercapai",IF(J5&gt;='13_Setting'!$H$6,"On Track","Tertinggal")))</f>
        <v>Tertinggal</v>
      </c>
      <c r="N5" s="16" t="s">
        <v>211</v>
      </c>
      <c r="O5" s="1"/>
      <c r="P5" s="1"/>
      <c r="Q5" s="1"/>
      <c r="R5" s="1"/>
      <c r="S5" s="1"/>
      <c r="T5" s="1"/>
      <c r="U5" s="1"/>
      <c r="V5" s="1"/>
      <c r="W5" s="1"/>
      <c r="X5" s="1"/>
      <c r="Y5" s="1"/>
      <c r="Z5" s="1"/>
    </row>
    <row r="6" spans="1:26">
      <c r="A6" s="20" t="s">
        <v>192</v>
      </c>
      <c r="B6" s="20">
        <v>2026</v>
      </c>
      <c r="C6" s="21">
        <v>46053</v>
      </c>
      <c r="D6" s="20" t="s">
        <v>86</v>
      </c>
      <c r="E6" s="9" t="str">
        <f>IFERROR(VLOOKUP(D6,'04_Master Karyawan'!$A$5:$F$50,2,FALSE),"")</f>
        <v>Stephan</v>
      </c>
      <c r="F6" s="20" t="s">
        <v>146</v>
      </c>
      <c r="G6" s="9" t="str">
        <f>IFERROR(VLOOKUP(F6,'05_Master KPI'!$B$5:$G$100,2,FALSE)&amp;" ("&amp;VLOOKUP(F6,'05_Master KPI'!$B$5:$G$100,3,FALSE)&amp;")","")</f>
        <v>Engagement Rate (%)</v>
      </c>
      <c r="H6" s="9">
        <f>IFERROR(IF(B6&lt;&gt;'06_Target KPI'!$B$3,0,IF(VLOOKUP(F6,'05_Master KPI'!$B$5:$G$100,6,FALSE)="Kumulatif",INDEX('06_Target KPI'!$E$5:$P$100,MATCH(F6,'06_Target KPI'!$B$5:$B$100,0),MATCH(A6,'06_Target KPI'!$E$4:$P$4,0))*DAY(C6)/DAY(EOMONTH(C6,0)),INDEX('06_Target KPI'!$E$5:$P$100,MATCH(F6,'06_Target KPI'!$B$5:$B$100,0),MATCH(A6,'06_Target KPI'!$E$4:$P$4,0)))),0)</f>
        <v>5</v>
      </c>
      <c r="I6" s="20">
        <v>3.7</v>
      </c>
      <c r="J6" s="22">
        <f>IFERROR(MIN(IF(VLOOKUP(F6,'05_Master KPI'!$B$5:$G$100,5,FALSE)="Lower",H6/I6,I6/H6),1),0)</f>
        <v>0.74</v>
      </c>
      <c r="K6" s="9">
        <f>IFERROR(VLOOKUP(F6,'05_Master KPI'!$B$5:$G$100,4,FALSE),0)</f>
        <v>15</v>
      </c>
      <c r="L6" s="23">
        <f t="shared" si="0"/>
        <v>11.1</v>
      </c>
      <c r="M6" s="9" t="str">
        <f>IF(D6="","",IF(J6&gt;='13_Setting'!$H$7,"Tercapai",IF(J6&gt;='13_Setting'!$H$6,"On Track","Tertinggal")))</f>
        <v>Tertinggal</v>
      </c>
      <c r="N6" s="20" t="s">
        <v>211</v>
      </c>
      <c r="O6" s="1"/>
      <c r="P6" s="1"/>
      <c r="Q6" s="1"/>
      <c r="R6" s="1"/>
      <c r="S6" s="1"/>
      <c r="T6" s="1"/>
      <c r="U6" s="1"/>
      <c r="V6" s="1"/>
      <c r="W6" s="1"/>
      <c r="X6" s="1"/>
      <c r="Y6" s="1"/>
      <c r="Z6" s="1"/>
    </row>
    <row r="7" spans="1:26">
      <c r="A7" s="20" t="s">
        <v>192</v>
      </c>
      <c r="B7" s="20">
        <v>2026</v>
      </c>
      <c r="C7" s="21">
        <v>46053</v>
      </c>
      <c r="D7" s="20" t="s">
        <v>86</v>
      </c>
      <c r="E7" s="9" t="str">
        <f>IFERROR(VLOOKUP(D7,'04_Master Karyawan'!$A$5:$F$50,2,FALSE),"")</f>
        <v>Stephan</v>
      </c>
      <c r="F7" s="20" t="s">
        <v>148</v>
      </c>
      <c r="G7" s="9" t="str">
        <f>IFERROR(VLOOKUP(F7,'05_Master KPI'!$B$5:$G$100,2,FALSE)&amp;" ("&amp;VLOOKUP(F7,'05_Master KPI'!$B$5:$G$100,3,FALSE)&amp;")","")</f>
        <v>Qualified Leads (lead)</v>
      </c>
      <c r="H7" s="9">
        <f>IFERROR(IF(B7&lt;&gt;'06_Target KPI'!$B$3,0,IF(VLOOKUP(F7,'05_Master KPI'!$B$5:$G$100,6,FALSE)="Kumulatif",INDEX('06_Target KPI'!$E$5:$P$100,MATCH(F7,'06_Target KPI'!$B$5:$B$100,0),MATCH(A7,'06_Target KPI'!$E$4:$P$4,0))*DAY(C7)/DAY(EOMONTH(C7,0)),INDEX('06_Target KPI'!$E$5:$P$100,MATCH(F7,'06_Target KPI'!$B$5:$B$100,0),MATCH(A7,'06_Target KPI'!$E$4:$P$4,0)))),0)</f>
        <v>100</v>
      </c>
      <c r="I7" s="20">
        <v>74</v>
      </c>
      <c r="J7" s="22">
        <f>IFERROR(MIN(IF(VLOOKUP(F7,'05_Master KPI'!$B$5:$G$100,5,FALSE)="Lower",H7/I7,I7/H7),1),0)</f>
        <v>0.74</v>
      </c>
      <c r="K7" s="9">
        <f>IFERROR(VLOOKUP(F7,'05_Master KPI'!$B$5:$G$100,4,FALSE),0)</f>
        <v>20</v>
      </c>
      <c r="L7" s="23">
        <f t="shared" si="0"/>
        <v>14.8</v>
      </c>
      <c r="M7" s="9" t="str">
        <f>IF(D7="","",IF(J7&gt;='13_Setting'!$H$7,"Tercapai",IF(J7&gt;='13_Setting'!$H$6,"On Track","Tertinggal")))</f>
        <v>Tertinggal</v>
      </c>
      <c r="N7" s="20" t="s">
        <v>211</v>
      </c>
      <c r="O7" s="1"/>
      <c r="P7" s="1"/>
      <c r="Q7" s="1"/>
      <c r="R7" s="1"/>
      <c r="S7" s="1"/>
      <c r="T7" s="1"/>
      <c r="U7" s="1"/>
      <c r="V7" s="1"/>
      <c r="W7" s="1"/>
      <c r="X7" s="1"/>
      <c r="Y7" s="1"/>
      <c r="Z7" s="1"/>
    </row>
    <row r="8" spans="1:26">
      <c r="A8" s="20" t="s">
        <v>192</v>
      </c>
      <c r="B8" s="20">
        <v>2026</v>
      </c>
      <c r="C8" s="21">
        <v>46053</v>
      </c>
      <c r="D8" s="20" t="s">
        <v>86</v>
      </c>
      <c r="E8" s="9" t="str">
        <f>IFERROR(VLOOKUP(D8,'04_Master Karyawan'!$A$5:$F$50,2,FALSE),"")</f>
        <v>Stephan</v>
      </c>
      <c r="F8" s="20" t="s">
        <v>151</v>
      </c>
      <c r="G8" s="9" t="str">
        <f>IFERROR(VLOOKUP(F8,'05_Master KPI'!$B$5:$G$100,2,FALSE)&amp;" ("&amp;VLOOKUP(F8,'05_Master KPI'!$B$5:$G$100,3,FALSE)&amp;")","")</f>
        <v>Campaign Execution (%)</v>
      </c>
      <c r="H8" s="9">
        <f>IFERROR(IF(B8&lt;&gt;'06_Target KPI'!$B$3,0,IF(VLOOKUP(F8,'05_Master KPI'!$B$5:$G$100,6,FALSE)="Kumulatif",INDEX('06_Target KPI'!$E$5:$P$100,MATCH(F8,'06_Target KPI'!$B$5:$B$100,0),MATCH(A8,'06_Target KPI'!$E$4:$P$4,0))*DAY(C8)/DAY(EOMONTH(C8,0)),INDEX('06_Target KPI'!$E$5:$P$100,MATCH(F8,'06_Target KPI'!$B$5:$B$100,0),MATCH(A8,'06_Target KPI'!$E$4:$P$4,0)))),0)</f>
        <v>100</v>
      </c>
      <c r="I8" s="20">
        <v>74.3</v>
      </c>
      <c r="J8" s="22">
        <f>IFERROR(MIN(IF(VLOOKUP(F8,'05_Master KPI'!$B$5:$G$100,5,FALSE)="Lower",H8/I8,I8/H8),1),0)</f>
        <v>0.74299999999999999</v>
      </c>
      <c r="K8" s="9">
        <f>IFERROR(VLOOKUP(F8,'05_Master KPI'!$B$5:$G$100,4,FALSE),0)</f>
        <v>20</v>
      </c>
      <c r="L8" s="23">
        <f t="shared" si="0"/>
        <v>14.86</v>
      </c>
      <c r="M8" s="9" t="str">
        <f>IF(D8="","",IF(J8&gt;='13_Setting'!$H$7,"Tercapai",IF(J8&gt;='13_Setting'!$H$6,"On Track","Tertinggal")))</f>
        <v>Tertinggal</v>
      </c>
      <c r="N8" s="20" t="s">
        <v>211</v>
      </c>
      <c r="O8" s="1"/>
      <c r="P8" s="1"/>
      <c r="Q8" s="1"/>
      <c r="R8" s="1"/>
      <c r="S8" s="1"/>
      <c r="T8" s="1"/>
      <c r="U8" s="1"/>
      <c r="V8" s="1"/>
      <c r="W8" s="1"/>
      <c r="X8" s="1"/>
      <c r="Y8" s="1"/>
      <c r="Z8" s="1"/>
    </row>
    <row r="9" spans="1:26">
      <c r="A9" s="20" t="s">
        <v>192</v>
      </c>
      <c r="B9" s="20">
        <v>2026</v>
      </c>
      <c r="C9" s="21">
        <v>46053</v>
      </c>
      <c r="D9" s="20" t="s">
        <v>86</v>
      </c>
      <c r="E9" s="9" t="str">
        <f>IFERROR(VLOOKUP(D9,'04_Master Karyawan'!$A$5:$F$50,2,FALSE),"")</f>
        <v>Stephan</v>
      </c>
      <c r="F9" s="20" t="s">
        <v>153</v>
      </c>
      <c r="G9" s="9" t="str">
        <f>IFERROR(VLOOKUP(F9,'05_Master KPI'!$B$5:$G$100,2,FALSE)&amp;" ("&amp;VLOOKUP(F9,'05_Master KPI'!$B$5:$G$100,3,FALSE)&amp;")","")</f>
        <v>Lead Conversion (%)</v>
      </c>
      <c r="H9" s="9">
        <f>IFERROR(IF(B9&lt;&gt;'06_Target KPI'!$B$3,0,IF(VLOOKUP(F9,'05_Master KPI'!$B$5:$G$100,6,FALSE)="Kumulatif",INDEX('06_Target KPI'!$E$5:$P$100,MATCH(F9,'06_Target KPI'!$B$5:$B$100,0),MATCH(A9,'06_Target KPI'!$E$4:$P$4,0))*DAY(C9)/DAY(EOMONTH(C9,0)),INDEX('06_Target KPI'!$E$5:$P$100,MATCH(F9,'06_Target KPI'!$B$5:$B$100,0),MATCH(A9,'06_Target KPI'!$E$4:$P$4,0)))),0)</f>
        <v>10</v>
      </c>
      <c r="I9" s="20">
        <v>7.4</v>
      </c>
      <c r="J9" s="22">
        <f>IFERROR(MIN(IF(VLOOKUP(F9,'05_Master KPI'!$B$5:$G$100,5,FALSE)="Lower",H9/I9,I9/H9),1),0)</f>
        <v>0.74</v>
      </c>
      <c r="K9" s="9">
        <f>IFERROR(VLOOKUP(F9,'05_Master KPI'!$B$5:$G$100,4,FALSE),0)</f>
        <v>20</v>
      </c>
      <c r="L9" s="23">
        <f t="shared" si="0"/>
        <v>14.8</v>
      </c>
      <c r="M9" s="9" t="str">
        <f>IF(D9="","",IF(J9&gt;='13_Setting'!$H$7,"Tercapai",IF(J9&gt;='13_Setting'!$H$6,"On Track","Tertinggal")))</f>
        <v>Tertinggal</v>
      </c>
      <c r="N9" s="20" t="s">
        <v>211</v>
      </c>
      <c r="O9" s="1"/>
      <c r="P9" s="1"/>
      <c r="Q9" s="1"/>
      <c r="R9" s="1"/>
      <c r="S9" s="1"/>
      <c r="T9" s="1"/>
      <c r="U9" s="1"/>
      <c r="V9" s="1"/>
      <c r="W9" s="1"/>
      <c r="X9" s="1"/>
      <c r="Y9" s="1"/>
      <c r="Z9" s="1"/>
    </row>
    <row r="10" spans="1:26">
      <c r="A10" s="20" t="s">
        <v>192</v>
      </c>
      <c r="B10" s="20">
        <v>2026</v>
      </c>
      <c r="C10" s="21">
        <v>46053</v>
      </c>
      <c r="D10" s="20" t="s">
        <v>86</v>
      </c>
      <c r="E10" s="9" t="str">
        <f>IFERROR(VLOOKUP(D10,'04_Master Karyawan'!$A$5:$F$50,2,FALSE),"")</f>
        <v>Stephan</v>
      </c>
      <c r="F10" s="20" t="s">
        <v>155</v>
      </c>
      <c r="G10" s="9" t="str">
        <f>IFERROR(VLOOKUP(F10,'05_Master KPI'!$B$5:$G$100,2,FALSE)&amp;" ("&amp;VLOOKUP(F10,'05_Master KPI'!$B$5:$G$100,3,FALSE)&amp;")","")</f>
        <v>Reporting (%)</v>
      </c>
      <c r="H10" s="9">
        <f>IFERROR(IF(B10&lt;&gt;'06_Target KPI'!$B$3,0,IF(VLOOKUP(F10,'05_Master KPI'!$B$5:$G$100,6,FALSE)="Kumulatif",INDEX('06_Target KPI'!$E$5:$P$100,MATCH(F10,'06_Target KPI'!$B$5:$B$100,0),MATCH(A10,'06_Target KPI'!$E$4:$P$4,0))*DAY(C10)/DAY(EOMONTH(C10,0)),INDEX('06_Target KPI'!$E$5:$P$100,MATCH(F10,'06_Target KPI'!$B$5:$B$100,0),MATCH(A10,'06_Target KPI'!$E$4:$P$4,0)))),0)</f>
        <v>100</v>
      </c>
      <c r="I10" s="20">
        <v>74.3</v>
      </c>
      <c r="J10" s="22">
        <f>IFERROR(MIN(IF(VLOOKUP(F10,'05_Master KPI'!$B$5:$G$100,5,FALSE)="Lower",H10/I10,I10/H10),1),0)</f>
        <v>0.74299999999999999</v>
      </c>
      <c r="K10" s="9">
        <f>IFERROR(VLOOKUP(F10,'05_Master KPI'!$B$5:$G$100,4,FALSE),0)</f>
        <v>10</v>
      </c>
      <c r="L10" s="23">
        <f t="shared" si="0"/>
        <v>7.43</v>
      </c>
      <c r="M10" s="9" t="str">
        <f>IF(D10="","",IF(J10&gt;='13_Setting'!$H$7,"Tercapai",IF(J10&gt;='13_Setting'!$H$6,"On Track","Tertinggal")))</f>
        <v>Tertinggal</v>
      </c>
      <c r="N10" s="20" t="s">
        <v>211</v>
      </c>
      <c r="O10" s="1"/>
      <c r="P10" s="1"/>
      <c r="Q10" s="1"/>
      <c r="R10" s="1"/>
      <c r="S10" s="1"/>
      <c r="T10" s="1"/>
      <c r="U10" s="1"/>
      <c r="V10" s="1"/>
      <c r="W10" s="1"/>
      <c r="X10" s="1"/>
      <c r="Y10" s="1"/>
      <c r="Z10" s="1"/>
    </row>
    <row r="11" spans="1:26">
      <c r="A11" s="20" t="s">
        <v>192</v>
      </c>
      <c r="B11" s="20">
        <v>2026</v>
      </c>
      <c r="C11" s="21">
        <v>46053</v>
      </c>
      <c r="D11" s="20" t="s">
        <v>90</v>
      </c>
      <c r="E11" s="9" t="str">
        <f>IFERROR(VLOOKUP(D11,'04_Master Karyawan'!$A$5:$F$50,2,FALSE),"")</f>
        <v>Cantika</v>
      </c>
      <c r="F11" s="20" t="s">
        <v>143</v>
      </c>
      <c r="G11" s="9" t="str">
        <f>IFERROR(VLOOKUP(F11,'05_Master KPI'!$B$5:$G$100,2,FALSE)&amp;" ("&amp;VLOOKUP(F11,'05_Master KPI'!$B$5:$G$100,3,FALSE)&amp;")","")</f>
        <v>Content Plan (konten)</v>
      </c>
      <c r="H11" s="9">
        <f>IFERROR(IF(B11&lt;&gt;'06_Target KPI'!$B$3,0,IF(VLOOKUP(F11,'05_Master KPI'!$B$5:$G$100,6,FALSE)="Kumulatif",INDEX('06_Target KPI'!$E$5:$P$100,MATCH(F11,'06_Target KPI'!$B$5:$B$100,0),MATCH(A11,'06_Target KPI'!$E$4:$P$4,0))*DAY(C11)/DAY(EOMONTH(C11,0)),INDEX('06_Target KPI'!$E$5:$P$100,MATCH(F11,'06_Target KPI'!$B$5:$B$100,0),MATCH(A11,'06_Target KPI'!$E$4:$P$4,0)))),0)</f>
        <v>30</v>
      </c>
      <c r="I11" s="20">
        <v>23</v>
      </c>
      <c r="J11" s="22">
        <f>IFERROR(MIN(IF(VLOOKUP(F11,'05_Master KPI'!$B$5:$G$100,5,FALSE)="Lower",H11/I11,I11/H11),1),0)</f>
        <v>0.76666666666666672</v>
      </c>
      <c r="K11" s="9">
        <f>IFERROR(VLOOKUP(F11,'05_Master KPI'!$B$5:$G$100,4,FALSE),0)</f>
        <v>15</v>
      </c>
      <c r="L11" s="23">
        <f t="shared" si="0"/>
        <v>11.5</v>
      </c>
      <c r="M11" s="9" t="str">
        <f>IF(D11="","",IF(J11&gt;='13_Setting'!$H$7,"Tercapai",IF(J11&gt;='13_Setting'!$H$6,"On Track","Tertinggal")))</f>
        <v>Tertinggal</v>
      </c>
      <c r="N11" s="20" t="s">
        <v>211</v>
      </c>
      <c r="O11" s="1"/>
      <c r="P11" s="1"/>
      <c r="Q11" s="1"/>
      <c r="R11" s="1"/>
      <c r="S11" s="1"/>
      <c r="T11" s="1"/>
      <c r="U11" s="1"/>
      <c r="V11" s="1"/>
      <c r="W11" s="1"/>
      <c r="X11" s="1"/>
      <c r="Y11" s="1"/>
      <c r="Z11" s="1"/>
    </row>
    <row r="12" spans="1:26">
      <c r="A12" s="20" t="s">
        <v>192</v>
      </c>
      <c r="B12" s="20">
        <v>2026</v>
      </c>
      <c r="C12" s="21">
        <v>46053</v>
      </c>
      <c r="D12" s="20" t="s">
        <v>90</v>
      </c>
      <c r="E12" s="9" t="str">
        <f>IFERROR(VLOOKUP(D12,'04_Master Karyawan'!$A$5:$F$50,2,FALSE),"")</f>
        <v>Cantika</v>
      </c>
      <c r="F12" s="20" t="s">
        <v>146</v>
      </c>
      <c r="G12" s="9" t="str">
        <f>IFERROR(VLOOKUP(F12,'05_Master KPI'!$B$5:$G$100,2,FALSE)&amp;" ("&amp;VLOOKUP(F12,'05_Master KPI'!$B$5:$G$100,3,FALSE)&amp;")","")</f>
        <v>Engagement Rate (%)</v>
      </c>
      <c r="H12" s="9">
        <f>IFERROR(IF(B12&lt;&gt;'06_Target KPI'!$B$3,0,IF(VLOOKUP(F12,'05_Master KPI'!$B$5:$G$100,6,FALSE)="Kumulatif",INDEX('06_Target KPI'!$E$5:$P$100,MATCH(F12,'06_Target KPI'!$B$5:$B$100,0),MATCH(A12,'06_Target KPI'!$E$4:$P$4,0))*DAY(C12)/DAY(EOMONTH(C12,0)),INDEX('06_Target KPI'!$E$5:$P$100,MATCH(F12,'06_Target KPI'!$B$5:$B$100,0),MATCH(A12,'06_Target KPI'!$E$4:$P$4,0)))),0)</f>
        <v>5</v>
      </c>
      <c r="I12" s="20">
        <v>3.8</v>
      </c>
      <c r="J12" s="22">
        <f>IFERROR(MIN(IF(VLOOKUP(F12,'05_Master KPI'!$B$5:$G$100,5,FALSE)="Lower",H12/I12,I12/H12),1),0)</f>
        <v>0.76</v>
      </c>
      <c r="K12" s="9">
        <f>IFERROR(VLOOKUP(F12,'05_Master KPI'!$B$5:$G$100,4,FALSE),0)</f>
        <v>15</v>
      </c>
      <c r="L12" s="23">
        <f t="shared" si="0"/>
        <v>11.4</v>
      </c>
      <c r="M12" s="9" t="str">
        <f>IF(D12="","",IF(J12&gt;='13_Setting'!$H$7,"Tercapai",IF(J12&gt;='13_Setting'!$H$6,"On Track","Tertinggal")))</f>
        <v>Tertinggal</v>
      </c>
      <c r="N12" s="20" t="s">
        <v>211</v>
      </c>
      <c r="O12" s="1"/>
      <c r="P12" s="1"/>
      <c r="Q12" s="1"/>
      <c r="R12" s="1"/>
      <c r="S12" s="1"/>
      <c r="T12" s="1"/>
      <c r="U12" s="1"/>
      <c r="V12" s="1"/>
      <c r="W12" s="1"/>
      <c r="X12" s="1"/>
      <c r="Y12" s="1"/>
      <c r="Z12" s="1"/>
    </row>
    <row r="13" spans="1:26">
      <c r="A13" s="20" t="s">
        <v>192</v>
      </c>
      <c r="B13" s="20">
        <v>2026</v>
      </c>
      <c r="C13" s="21">
        <v>46053</v>
      </c>
      <c r="D13" s="20" t="s">
        <v>90</v>
      </c>
      <c r="E13" s="9" t="str">
        <f>IFERROR(VLOOKUP(D13,'04_Master Karyawan'!$A$5:$F$50,2,FALSE),"")</f>
        <v>Cantika</v>
      </c>
      <c r="F13" s="20" t="s">
        <v>148</v>
      </c>
      <c r="G13" s="9" t="str">
        <f>IFERROR(VLOOKUP(F13,'05_Master KPI'!$B$5:$G$100,2,FALSE)&amp;" ("&amp;VLOOKUP(F13,'05_Master KPI'!$B$5:$G$100,3,FALSE)&amp;")","")</f>
        <v>Qualified Leads (lead)</v>
      </c>
      <c r="H13" s="9">
        <f>IFERROR(IF(B13&lt;&gt;'06_Target KPI'!$B$3,0,IF(VLOOKUP(F13,'05_Master KPI'!$B$5:$G$100,6,FALSE)="Kumulatif",INDEX('06_Target KPI'!$E$5:$P$100,MATCH(F13,'06_Target KPI'!$B$5:$B$100,0),MATCH(A13,'06_Target KPI'!$E$4:$P$4,0))*DAY(C13)/DAY(EOMONTH(C13,0)),INDEX('06_Target KPI'!$E$5:$P$100,MATCH(F13,'06_Target KPI'!$B$5:$B$100,0),MATCH(A13,'06_Target KPI'!$E$4:$P$4,0)))),0)</f>
        <v>100</v>
      </c>
      <c r="I13" s="20">
        <v>77</v>
      </c>
      <c r="J13" s="22">
        <f>IFERROR(MIN(IF(VLOOKUP(F13,'05_Master KPI'!$B$5:$G$100,5,FALSE)="Lower",H13/I13,I13/H13),1),0)</f>
        <v>0.77</v>
      </c>
      <c r="K13" s="9">
        <f>IFERROR(VLOOKUP(F13,'05_Master KPI'!$B$5:$G$100,4,FALSE),0)</f>
        <v>20</v>
      </c>
      <c r="L13" s="23">
        <f t="shared" si="0"/>
        <v>15.4</v>
      </c>
      <c r="M13" s="9" t="str">
        <f>IF(D13="","",IF(J13&gt;='13_Setting'!$H$7,"Tercapai",IF(J13&gt;='13_Setting'!$H$6,"On Track","Tertinggal")))</f>
        <v>Tertinggal</v>
      </c>
      <c r="N13" s="20" t="s">
        <v>211</v>
      </c>
      <c r="O13" s="1"/>
      <c r="P13" s="1"/>
      <c r="Q13" s="1"/>
      <c r="R13" s="1"/>
      <c r="S13" s="1"/>
      <c r="T13" s="1"/>
      <c r="U13" s="1"/>
      <c r="V13" s="1"/>
      <c r="W13" s="1"/>
      <c r="X13" s="1"/>
      <c r="Y13" s="1"/>
      <c r="Z13" s="1"/>
    </row>
    <row r="14" spans="1:26">
      <c r="A14" s="20" t="s">
        <v>192</v>
      </c>
      <c r="B14" s="20">
        <v>2026</v>
      </c>
      <c r="C14" s="21">
        <v>46053</v>
      </c>
      <c r="D14" s="20" t="s">
        <v>90</v>
      </c>
      <c r="E14" s="9" t="str">
        <f>IFERROR(VLOOKUP(D14,'04_Master Karyawan'!$A$5:$F$50,2,FALSE),"")</f>
        <v>Cantika</v>
      </c>
      <c r="F14" s="20" t="s">
        <v>151</v>
      </c>
      <c r="G14" s="9" t="str">
        <f>IFERROR(VLOOKUP(F14,'05_Master KPI'!$B$5:$G$100,2,FALSE)&amp;" ("&amp;VLOOKUP(F14,'05_Master KPI'!$B$5:$G$100,3,FALSE)&amp;")","")</f>
        <v>Campaign Execution (%)</v>
      </c>
      <c r="H14" s="9">
        <f>IFERROR(IF(B14&lt;&gt;'06_Target KPI'!$B$3,0,IF(VLOOKUP(F14,'05_Master KPI'!$B$5:$G$100,6,FALSE)="Kumulatif",INDEX('06_Target KPI'!$E$5:$P$100,MATCH(F14,'06_Target KPI'!$B$5:$B$100,0),MATCH(A14,'06_Target KPI'!$E$4:$P$4,0))*DAY(C14)/DAY(EOMONTH(C14,0)),INDEX('06_Target KPI'!$E$5:$P$100,MATCH(F14,'06_Target KPI'!$B$5:$B$100,0),MATCH(A14,'06_Target KPI'!$E$4:$P$4,0)))),0)</f>
        <v>100</v>
      </c>
      <c r="I14" s="20">
        <v>76.8</v>
      </c>
      <c r="J14" s="22">
        <f>IFERROR(MIN(IF(VLOOKUP(F14,'05_Master KPI'!$B$5:$G$100,5,FALSE)="Lower",H14/I14,I14/H14),1),0)</f>
        <v>0.76800000000000002</v>
      </c>
      <c r="K14" s="9">
        <f>IFERROR(VLOOKUP(F14,'05_Master KPI'!$B$5:$G$100,4,FALSE),0)</f>
        <v>20</v>
      </c>
      <c r="L14" s="23">
        <f t="shared" si="0"/>
        <v>15.36</v>
      </c>
      <c r="M14" s="9" t="str">
        <f>IF(D14="","",IF(J14&gt;='13_Setting'!$H$7,"Tercapai",IF(J14&gt;='13_Setting'!$H$6,"On Track","Tertinggal")))</f>
        <v>Tertinggal</v>
      </c>
      <c r="N14" s="20" t="s">
        <v>211</v>
      </c>
      <c r="O14" s="1"/>
      <c r="P14" s="1"/>
      <c r="Q14" s="1"/>
      <c r="R14" s="1"/>
      <c r="S14" s="1"/>
      <c r="T14" s="1"/>
      <c r="U14" s="1"/>
      <c r="V14" s="1"/>
      <c r="W14" s="1"/>
      <c r="X14" s="1"/>
      <c r="Y14" s="1"/>
      <c r="Z14" s="1"/>
    </row>
    <row r="15" spans="1:26">
      <c r="A15" s="20" t="s">
        <v>192</v>
      </c>
      <c r="B15" s="20">
        <v>2026</v>
      </c>
      <c r="C15" s="21">
        <v>46053</v>
      </c>
      <c r="D15" s="20" t="s">
        <v>90</v>
      </c>
      <c r="E15" s="9" t="str">
        <f>IFERROR(VLOOKUP(D15,'04_Master Karyawan'!$A$5:$F$50,2,FALSE),"")</f>
        <v>Cantika</v>
      </c>
      <c r="F15" s="20" t="s">
        <v>153</v>
      </c>
      <c r="G15" s="9" t="str">
        <f>IFERROR(VLOOKUP(F15,'05_Master KPI'!$B$5:$G$100,2,FALSE)&amp;" ("&amp;VLOOKUP(F15,'05_Master KPI'!$B$5:$G$100,3,FALSE)&amp;")","")</f>
        <v>Lead Conversion (%)</v>
      </c>
      <c r="H15" s="9">
        <f>IFERROR(IF(B15&lt;&gt;'06_Target KPI'!$B$3,0,IF(VLOOKUP(F15,'05_Master KPI'!$B$5:$G$100,6,FALSE)="Kumulatif",INDEX('06_Target KPI'!$E$5:$P$100,MATCH(F15,'06_Target KPI'!$B$5:$B$100,0),MATCH(A15,'06_Target KPI'!$E$4:$P$4,0))*DAY(C15)/DAY(EOMONTH(C15,0)),INDEX('06_Target KPI'!$E$5:$P$100,MATCH(F15,'06_Target KPI'!$B$5:$B$100,0),MATCH(A15,'06_Target KPI'!$E$4:$P$4,0)))),0)</f>
        <v>10</v>
      </c>
      <c r="I15" s="20">
        <v>7.7</v>
      </c>
      <c r="J15" s="22">
        <f>IFERROR(MIN(IF(VLOOKUP(F15,'05_Master KPI'!$B$5:$G$100,5,FALSE)="Lower",H15/I15,I15/H15),1),0)</f>
        <v>0.77</v>
      </c>
      <c r="K15" s="9">
        <f>IFERROR(VLOOKUP(F15,'05_Master KPI'!$B$5:$G$100,4,FALSE),0)</f>
        <v>20</v>
      </c>
      <c r="L15" s="23">
        <f t="shared" si="0"/>
        <v>15.4</v>
      </c>
      <c r="M15" s="9" t="str">
        <f>IF(D15="","",IF(J15&gt;='13_Setting'!$H$7,"Tercapai",IF(J15&gt;='13_Setting'!$H$6,"On Track","Tertinggal")))</f>
        <v>Tertinggal</v>
      </c>
      <c r="N15" s="20" t="s">
        <v>211</v>
      </c>
      <c r="O15" s="1"/>
      <c r="P15" s="1"/>
      <c r="Q15" s="1"/>
      <c r="R15" s="1"/>
      <c r="S15" s="1"/>
      <c r="T15" s="1"/>
      <c r="U15" s="1"/>
      <c r="V15" s="1"/>
      <c r="W15" s="1"/>
      <c r="X15" s="1"/>
      <c r="Y15" s="1"/>
      <c r="Z15" s="1"/>
    </row>
    <row r="16" spans="1:26">
      <c r="A16" s="20" t="s">
        <v>192</v>
      </c>
      <c r="B16" s="20">
        <v>2026</v>
      </c>
      <c r="C16" s="21">
        <v>46053</v>
      </c>
      <c r="D16" s="20" t="s">
        <v>90</v>
      </c>
      <c r="E16" s="9" t="str">
        <f>IFERROR(VLOOKUP(D16,'04_Master Karyawan'!$A$5:$F$50,2,FALSE),"")</f>
        <v>Cantika</v>
      </c>
      <c r="F16" s="20" t="s">
        <v>155</v>
      </c>
      <c r="G16" s="9" t="str">
        <f>IFERROR(VLOOKUP(F16,'05_Master KPI'!$B$5:$G$100,2,FALSE)&amp;" ("&amp;VLOOKUP(F16,'05_Master KPI'!$B$5:$G$100,3,FALSE)&amp;")","")</f>
        <v>Reporting (%)</v>
      </c>
      <c r="H16" s="9">
        <f>IFERROR(IF(B16&lt;&gt;'06_Target KPI'!$B$3,0,IF(VLOOKUP(F16,'05_Master KPI'!$B$5:$G$100,6,FALSE)="Kumulatif",INDEX('06_Target KPI'!$E$5:$P$100,MATCH(F16,'06_Target KPI'!$B$5:$B$100,0),MATCH(A16,'06_Target KPI'!$E$4:$P$4,0))*DAY(C16)/DAY(EOMONTH(C16,0)),INDEX('06_Target KPI'!$E$5:$P$100,MATCH(F16,'06_Target KPI'!$B$5:$B$100,0),MATCH(A16,'06_Target KPI'!$E$4:$P$4,0)))),0)</f>
        <v>100</v>
      </c>
      <c r="I16" s="20">
        <v>76.8</v>
      </c>
      <c r="J16" s="22">
        <f>IFERROR(MIN(IF(VLOOKUP(F16,'05_Master KPI'!$B$5:$G$100,5,FALSE)="Lower",H16/I16,I16/H16),1),0)</f>
        <v>0.76800000000000002</v>
      </c>
      <c r="K16" s="9">
        <f>IFERROR(VLOOKUP(F16,'05_Master KPI'!$B$5:$G$100,4,FALSE),0)</f>
        <v>10</v>
      </c>
      <c r="L16" s="23">
        <f t="shared" si="0"/>
        <v>7.68</v>
      </c>
      <c r="M16" s="9" t="str">
        <f>IF(D16="","",IF(J16&gt;='13_Setting'!$H$7,"Tercapai",IF(J16&gt;='13_Setting'!$H$6,"On Track","Tertinggal")))</f>
        <v>Tertinggal</v>
      </c>
      <c r="N16" s="20" t="s">
        <v>211</v>
      </c>
      <c r="O16" s="1"/>
      <c r="P16" s="1"/>
      <c r="Q16" s="1"/>
      <c r="R16" s="1"/>
      <c r="S16" s="1"/>
      <c r="T16" s="1"/>
      <c r="U16" s="1"/>
      <c r="V16" s="1"/>
      <c r="W16" s="1"/>
      <c r="X16" s="1"/>
      <c r="Y16" s="1"/>
      <c r="Z16" s="1"/>
    </row>
    <row r="17" spans="1:26">
      <c r="A17" s="20" t="s">
        <v>192</v>
      </c>
      <c r="B17" s="20">
        <v>2026</v>
      </c>
      <c r="C17" s="21">
        <v>46053</v>
      </c>
      <c r="D17" s="20" t="s">
        <v>92</v>
      </c>
      <c r="E17" s="9" t="str">
        <f>IFERROR(VLOOKUP(D17,'04_Master Karyawan'!$A$5:$F$50,2,FALSE),"")</f>
        <v>Jessie</v>
      </c>
      <c r="F17" s="20" t="s">
        <v>143</v>
      </c>
      <c r="G17" s="9" t="str">
        <f>IFERROR(VLOOKUP(F17,'05_Master KPI'!$B$5:$G$100,2,FALSE)&amp;" ("&amp;VLOOKUP(F17,'05_Master KPI'!$B$5:$G$100,3,FALSE)&amp;")","")</f>
        <v>Content Plan (konten)</v>
      </c>
      <c r="H17" s="9">
        <f>IFERROR(IF(B17&lt;&gt;'06_Target KPI'!$B$3,0,IF(VLOOKUP(F17,'05_Master KPI'!$B$5:$G$100,6,FALSE)="Kumulatif",INDEX('06_Target KPI'!$E$5:$P$100,MATCH(F17,'06_Target KPI'!$B$5:$B$100,0),MATCH(A17,'06_Target KPI'!$E$4:$P$4,0))*DAY(C17)/DAY(EOMONTH(C17,0)),INDEX('06_Target KPI'!$E$5:$P$100,MATCH(F17,'06_Target KPI'!$B$5:$B$100,0),MATCH(A17,'06_Target KPI'!$E$4:$P$4,0)))),0)</f>
        <v>30</v>
      </c>
      <c r="I17" s="20">
        <v>24</v>
      </c>
      <c r="J17" s="22">
        <f>IFERROR(MIN(IF(VLOOKUP(F17,'05_Master KPI'!$B$5:$G$100,5,FALSE)="Lower",H17/I17,I17/H17),1),0)</f>
        <v>0.8</v>
      </c>
      <c r="K17" s="9">
        <f>IFERROR(VLOOKUP(F17,'05_Master KPI'!$B$5:$G$100,4,FALSE),0)</f>
        <v>15</v>
      </c>
      <c r="L17" s="23">
        <f t="shared" si="0"/>
        <v>12</v>
      </c>
      <c r="M17" s="9" t="str">
        <f>IF(D17="","",IF(J17&gt;='13_Setting'!$H$7,"Tercapai",IF(J17&gt;='13_Setting'!$H$6,"On Track","Tertinggal")))</f>
        <v>Tertinggal</v>
      </c>
      <c r="N17" s="20" t="s">
        <v>211</v>
      </c>
      <c r="O17" s="1"/>
      <c r="P17" s="1"/>
      <c r="Q17" s="1"/>
      <c r="R17" s="1"/>
      <c r="S17" s="1"/>
      <c r="T17" s="1"/>
      <c r="U17" s="1"/>
      <c r="V17" s="1"/>
      <c r="W17" s="1"/>
      <c r="X17" s="1"/>
      <c r="Y17" s="1"/>
      <c r="Z17" s="1"/>
    </row>
    <row r="18" spans="1:26">
      <c r="A18" s="20" t="s">
        <v>192</v>
      </c>
      <c r="B18" s="20">
        <v>2026</v>
      </c>
      <c r="C18" s="21">
        <v>46053</v>
      </c>
      <c r="D18" s="20" t="s">
        <v>92</v>
      </c>
      <c r="E18" s="9" t="str">
        <f>IFERROR(VLOOKUP(D18,'04_Master Karyawan'!$A$5:$F$50,2,FALSE),"")</f>
        <v>Jessie</v>
      </c>
      <c r="F18" s="20" t="s">
        <v>146</v>
      </c>
      <c r="G18" s="9" t="str">
        <f>IFERROR(VLOOKUP(F18,'05_Master KPI'!$B$5:$G$100,2,FALSE)&amp;" ("&amp;VLOOKUP(F18,'05_Master KPI'!$B$5:$G$100,3,FALSE)&amp;")","")</f>
        <v>Engagement Rate (%)</v>
      </c>
      <c r="H18" s="9">
        <f>IFERROR(IF(B18&lt;&gt;'06_Target KPI'!$B$3,0,IF(VLOOKUP(F18,'05_Master KPI'!$B$5:$G$100,6,FALSE)="Kumulatif",INDEX('06_Target KPI'!$E$5:$P$100,MATCH(F18,'06_Target KPI'!$B$5:$B$100,0),MATCH(A18,'06_Target KPI'!$E$4:$P$4,0))*DAY(C18)/DAY(EOMONTH(C18,0)),INDEX('06_Target KPI'!$E$5:$P$100,MATCH(F18,'06_Target KPI'!$B$5:$B$100,0),MATCH(A18,'06_Target KPI'!$E$4:$P$4,0)))),0)</f>
        <v>5</v>
      </c>
      <c r="I18" s="20">
        <v>4</v>
      </c>
      <c r="J18" s="22">
        <f>IFERROR(MIN(IF(VLOOKUP(F18,'05_Master KPI'!$B$5:$G$100,5,FALSE)="Lower",H18/I18,I18/H18),1),0)</f>
        <v>0.8</v>
      </c>
      <c r="K18" s="9">
        <f>IFERROR(VLOOKUP(F18,'05_Master KPI'!$B$5:$G$100,4,FALSE),0)</f>
        <v>15</v>
      </c>
      <c r="L18" s="23">
        <f t="shared" si="0"/>
        <v>12</v>
      </c>
      <c r="M18" s="9" t="str">
        <f>IF(D18="","",IF(J18&gt;='13_Setting'!$H$7,"Tercapai",IF(J18&gt;='13_Setting'!$H$6,"On Track","Tertinggal")))</f>
        <v>Tertinggal</v>
      </c>
      <c r="N18" s="20" t="s">
        <v>211</v>
      </c>
      <c r="O18" s="1"/>
      <c r="P18" s="1"/>
      <c r="Q18" s="1"/>
      <c r="R18" s="1"/>
      <c r="S18" s="1"/>
      <c r="T18" s="1"/>
      <c r="U18" s="1"/>
      <c r="V18" s="1"/>
      <c r="W18" s="1"/>
      <c r="X18" s="1"/>
      <c r="Y18" s="1"/>
      <c r="Z18" s="1"/>
    </row>
    <row r="19" spans="1:26">
      <c r="A19" s="20" t="s">
        <v>192</v>
      </c>
      <c r="B19" s="20">
        <v>2026</v>
      </c>
      <c r="C19" s="21">
        <v>46053</v>
      </c>
      <c r="D19" s="20" t="s">
        <v>92</v>
      </c>
      <c r="E19" s="9" t="str">
        <f>IFERROR(VLOOKUP(D19,'04_Master Karyawan'!$A$5:$F$50,2,FALSE),"")</f>
        <v>Jessie</v>
      </c>
      <c r="F19" s="20" t="s">
        <v>148</v>
      </c>
      <c r="G19" s="9" t="str">
        <f>IFERROR(VLOOKUP(F19,'05_Master KPI'!$B$5:$G$100,2,FALSE)&amp;" ("&amp;VLOOKUP(F19,'05_Master KPI'!$B$5:$G$100,3,FALSE)&amp;")","")</f>
        <v>Qualified Leads (lead)</v>
      </c>
      <c r="H19" s="9">
        <f>IFERROR(IF(B19&lt;&gt;'06_Target KPI'!$B$3,0,IF(VLOOKUP(F19,'05_Master KPI'!$B$5:$G$100,6,FALSE)="Kumulatif",INDEX('06_Target KPI'!$E$5:$P$100,MATCH(F19,'06_Target KPI'!$B$5:$B$100,0),MATCH(A19,'06_Target KPI'!$E$4:$P$4,0))*DAY(C19)/DAY(EOMONTH(C19,0)),INDEX('06_Target KPI'!$E$5:$P$100,MATCH(F19,'06_Target KPI'!$B$5:$B$100,0),MATCH(A19,'06_Target KPI'!$E$4:$P$4,0)))),0)</f>
        <v>100</v>
      </c>
      <c r="I19" s="20">
        <v>79</v>
      </c>
      <c r="J19" s="22">
        <f>IFERROR(MIN(IF(VLOOKUP(F19,'05_Master KPI'!$B$5:$G$100,5,FALSE)="Lower",H19/I19,I19/H19),1),0)</f>
        <v>0.79</v>
      </c>
      <c r="K19" s="9">
        <f>IFERROR(VLOOKUP(F19,'05_Master KPI'!$B$5:$G$100,4,FALSE),0)</f>
        <v>20</v>
      </c>
      <c r="L19" s="23">
        <f t="shared" si="0"/>
        <v>15.8</v>
      </c>
      <c r="M19" s="9" t="str">
        <f>IF(D19="","",IF(J19&gt;='13_Setting'!$H$7,"Tercapai",IF(J19&gt;='13_Setting'!$H$6,"On Track","Tertinggal")))</f>
        <v>Tertinggal</v>
      </c>
      <c r="N19" s="20" t="s">
        <v>211</v>
      </c>
      <c r="O19" s="1"/>
      <c r="P19" s="1"/>
      <c r="Q19" s="1"/>
      <c r="R19" s="1"/>
      <c r="S19" s="1"/>
      <c r="T19" s="1"/>
      <c r="U19" s="1"/>
      <c r="V19" s="1"/>
      <c r="W19" s="1"/>
      <c r="X19" s="1"/>
      <c r="Y19" s="1"/>
      <c r="Z19" s="1"/>
    </row>
    <row r="20" spans="1:26">
      <c r="A20" s="20" t="s">
        <v>192</v>
      </c>
      <c r="B20" s="20">
        <v>2026</v>
      </c>
      <c r="C20" s="21">
        <v>46053</v>
      </c>
      <c r="D20" s="20" t="s">
        <v>92</v>
      </c>
      <c r="E20" s="9" t="str">
        <f>IFERROR(VLOOKUP(D20,'04_Master Karyawan'!$A$5:$F$50,2,FALSE),"")</f>
        <v>Jessie</v>
      </c>
      <c r="F20" s="20" t="s">
        <v>151</v>
      </c>
      <c r="G20" s="9" t="str">
        <f>IFERROR(VLOOKUP(F20,'05_Master KPI'!$B$5:$G$100,2,FALSE)&amp;" ("&amp;VLOOKUP(F20,'05_Master KPI'!$B$5:$G$100,3,FALSE)&amp;")","")</f>
        <v>Campaign Execution (%)</v>
      </c>
      <c r="H20" s="9">
        <f>IFERROR(IF(B20&lt;&gt;'06_Target KPI'!$B$3,0,IF(VLOOKUP(F20,'05_Master KPI'!$B$5:$G$100,6,FALSE)="Kumulatif",INDEX('06_Target KPI'!$E$5:$P$100,MATCH(F20,'06_Target KPI'!$B$5:$B$100,0),MATCH(A20,'06_Target KPI'!$E$4:$P$4,0))*DAY(C20)/DAY(EOMONTH(C20,0)),INDEX('06_Target KPI'!$E$5:$P$100,MATCH(F20,'06_Target KPI'!$B$5:$B$100,0),MATCH(A20,'06_Target KPI'!$E$4:$P$4,0)))),0)</f>
        <v>100</v>
      </c>
      <c r="I20" s="20">
        <v>79.3</v>
      </c>
      <c r="J20" s="22">
        <f>IFERROR(MIN(IF(VLOOKUP(F20,'05_Master KPI'!$B$5:$G$100,5,FALSE)="Lower",H20/I20,I20/H20),1),0)</f>
        <v>0.79299999999999993</v>
      </c>
      <c r="K20" s="9">
        <f>IFERROR(VLOOKUP(F20,'05_Master KPI'!$B$5:$G$100,4,FALSE),0)</f>
        <v>20</v>
      </c>
      <c r="L20" s="23">
        <f t="shared" si="0"/>
        <v>15.86</v>
      </c>
      <c r="M20" s="9" t="str">
        <f>IF(D20="","",IF(J20&gt;='13_Setting'!$H$7,"Tercapai",IF(J20&gt;='13_Setting'!$H$6,"On Track","Tertinggal")))</f>
        <v>Tertinggal</v>
      </c>
      <c r="N20" s="20" t="s">
        <v>211</v>
      </c>
      <c r="O20" s="1"/>
      <c r="P20" s="1"/>
      <c r="Q20" s="1"/>
      <c r="R20" s="1"/>
      <c r="S20" s="1"/>
      <c r="T20" s="1"/>
      <c r="U20" s="1"/>
      <c r="V20" s="1"/>
      <c r="W20" s="1"/>
      <c r="X20" s="1"/>
      <c r="Y20" s="1"/>
      <c r="Z20" s="1"/>
    </row>
    <row r="21" spans="1:26">
      <c r="A21" s="20" t="s">
        <v>192</v>
      </c>
      <c r="B21" s="20">
        <v>2026</v>
      </c>
      <c r="C21" s="21">
        <v>46053</v>
      </c>
      <c r="D21" s="20" t="s">
        <v>92</v>
      </c>
      <c r="E21" s="9" t="str">
        <f>IFERROR(VLOOKUP(D21,'04_Master Karyawan'!$A$5:$F$50,2,FALSE),"")</f>
        <v>Jessie</v>
      </c>
      <c r="F21" s="20" t="s">
        <v>153</v>
      </c>
      <c r="G21" s="9" t="str">
        <f>IFERROR(VLOOKUP(F21,'05_Master KPI'!$B$5:$G$100,2,FALSE)&amp;" ("&amp;VLOOKUP(F21,'05_Master KPI'!$B$5:$G$100,3,FALSE)&amp;")","")</f>
        <v>Lead Conversion (%)</v>
      </c>
      <c r="H21" s="9">
        <f>IFERROR(IF(B21&lt;&gt;'06_Target KPI'!$B$3,0,IF(VLOOKUP(F21,'05_Master KPI'!$B$5:$G$100,6,FALSE)="Kumulatif",INDEX('06_Target KPI'!$E$5:$P$100,MATCH(F21,'06_Target KPI'!$B$5:$B$100,0),MATCH(A21,'06_Target KPI'!$E$4:$P$4,0))*DAY(C21)/DAY(EOMONTH(C21,0)),INDEX('06_Target KPI'!$E$5:$P$100,MATCH(F21,'06_Target KPI'!$B$5:$B$100,0),MATCH(A21,'06_Target KPI'!$E$4:$P$4,0)))),0)</f>
        <v>10</v>
      </c>
      <c r="I21" s="20">
        <v>7.9</v>
      </c>
      <c r="J21" s="22">
        <f>IFERROR(MIN(IF(VLOOKUP(F21,'05_Master KPI'!$B$5:$G$100,5,FALSE)="Lower",H21/I21,I21/H21),1),0)</f>
        <v>0.79</v>
      </c>
      <c r="K21" s="9">
        <f>IFERROR(VLOOKUP(F21,'05_Master KPI'!$B$5:$G$100,4,FALSE),0)</f>
        <v>20</v>
      </c>
      <c r="L21" s="23">
        <f t="shared" si="0"/>
        <v>15.8</v>
      </c>
      <c r="M21" s="9" t="str">
        <f>IF(D21="","",IF(J21&gt;='13_Setting'!$H$7,"Tercapai",IF(J21&gt;='13_Setting'!$H$6,"On Track","Tertinggal")))</f>
        <v>Tertinggal</v>
      </c>
      <c r="N21" s="20" t="s">
        <v>211</v>
      </c>
      <c r="O21" s="1"/>
      <c r="P21" s="1"/>
      <c r="Q21" s="1"/>
      <c r="R21" s="1"/>
      <c r="S21" s="1"/>
      <c r="T21" s="1"/>
      <c r="U21" s="1"/>
      <c r="V21" s="1"/>
      <c r="W21" s="1"/>
      <c r="X21" s="1"/>
      <c r="Y21" s="1"/>
      <c r="Z21" s="1"/>
    </row>
    <row r="22" spans="1:26">
      <c r="A22" s="20" t="s">
        <v>192</v>
      </c>
      <c r="B22" s="20">
        <v>2026</v>
      </c>
      <c r="C22" s="21">
        <v>46053</v>
      </c>
      <c r="D22" s="20" t="s">
        <v>92</v>
      </c>
      <c r="E22" s="9" t="str">
        <f>IFERROR(VLOOKUP(D22,'04_Master Karyawan'!$A$5:$F$50,2,FALSE),"")</f>
        <v>Jessie</v>
      </c>
      <c r="F22" s="20" t="s">
        <v>155</v>
      </c>
      <c r="G22" s="9" t="str">
        <f>IFERROR(VLOOKUP(F22,'05_Master KPI'!$B$5:$G$100,2,FALSE)&amp;" ("&amp;VLOOKUP(F22,'05_Master KPI'!$B$5:$G$100,3,FALSE)&amp;")","")</f>
        <v>Reporting (%)</v>
      </c>
      <c r="H22" s="9">
        <f>IFERROR(IF(B22&lt;&gt;'06_Target KPI'!$B$3,0,IF(VLOOKUP(F22,'05_Master KPI'!$B$5:$G$100,6,FALSE)="Kumulatif",INDEX('06_Target KPI'!$E$5:$P$100,MATCH(F22,'06_Target KPI'!$B$5:$B$100,0),MATCH(A22,'06_Target KPI'!$E$4:$P$4,0))*DAY(C22)/DAY(EOMONTH(C22,0)),INDEX('06_Target KPI'!$E$5:$P$100,MATCH(F22,'06_Target KPI'!$B$5:$B$100,0),MATCH(A22,'06_Target KPI'!$E$4:$P$4,0)))),0)</f>
        <v>100</v>
      </c>
      <c r="I22" s="20">
        <v>79.3</v>
      </c>
      <c r="J22" s="22">
        <f>IFERROR(MIN(IF(VLOOKUP(F22,'05_Master KPI'!$B$5:$G$100,5,FALSE)="Lower",H22/I22,I22/H22),1),0)</f>
        <v>0.79299999999999993</v>
      </c>
      <c r="K22" s="9">
        <f>IFERROR(VLOOKUP(F22,'05_Master KPI'!$B$5:$G$100,4,FALSE),0)</f>
        <v>10</v>
      </c>
      <c r="L22" s="23">
        <f t="shared" si="0"/>
        <v>7.93</v>
      </c>
      <c r="M22" s="9" t="str">
        <f>IF(D22="","",IF(J22&gt;='13_Setting'!$H$7,"Tercapai",IF(J22&gt;='13_Setting'!$H$6,"On Track","Tertinggal")))</f>
        <v>Tertinggal</v>
      </c>
      <c r="N22" s="20" t="s">
        <v>211</v>
      </c>
      <c r="O22" s="1"/>
      <c r="P22" s="1"/>
      <c r="Q22" s="1"/>
      <c r="R22" s="1"/>
      <c r="S22" s="1"/>
      <c r="T22" s="1"/>
      <c r="U22" s="1"/>
      <c r="V22" s="1"/>
      <c r="W22" s="1"/>
      <c r="X22" s="1"/>
      <c r="Y22" s="1"/>
      <c r="Z22" s="1"/>
    </row>
    <row r="23" spans="1:26">
      <c r="A23" s="20" t="s">
        <v>192</v>
      </c>
      <c r="B23" s="20">
        <v>2026</v>
      </c>
      <c r="C23" s="21">
        <v>46053</v>
      </c>
      <c r="D23" s="20" t="s">
        <v>94</v>
      </c>
      <c r="E23" s="9" t="str">
        <f>IFERROR(VLOOKUP(D23,'04_Master Karyawan'!$A$5:$F$50,2,FALSE),"")</f>
        <v>Kia</v>
      </c>
      <c r="F23" s="20" t="s">
        <v>143</v>
      </c>
      <c r="G23" s="9" t="str">
        <f>IFERROR(VLOOKUP(F23,'05_Master KPI'!$B$5:$G$100,2,FALSE)&amp;" ("&amp;VLOOKUP(F23,'05_Master KPI'!$B$5:$G$100,3,FALSE)&amp;")","")</f>
        <v>Content Plan (konten)</v>
      </c>
      <c r="H23" s="9">
        <f>IFERROR(IF(B23&lt;&gt;'06_Target KPI'!$B$3,0,IF(VLOOKUP(F23,'05_Master KPI'!$B$5:$G$100,6,FALSE)="Kumulatif",INDEX('06_Target KPI'!$E$5:$P$100,MATCH(F23,'06_Target KPI'!$B$5:$B$100,0),MATCH(A23,'06_Target KPI'!$E$4:$P$4,0))*DAY(C23)/DAY(EOMONTH(C23,0)),INDEX('06_Target KPI'!$E$5:$P$100,MATCH(F23,'06_Target KPI'!$B$5:$B$100,0),MATCH(A23,'06_Target KPI'!$E$4:$P$4,0)))),0)</f>
        <v>30</v>
      </c>
      <c r="I23" s="20">
        <v>25</v>
      </c>
      <c r="J23" s="22">
        <f>IFERROR(MIN(IF(VLOOKUP(F23,'05_Master KPI'!$B$5:$G$100,5,FALSE)="Lower",H23/I23,I23/H23),1),0)</f>
        <v>0.83333333333333337</v>
      </c>
      <c r="K23" s="9">
        <f>IFERROR(VLOOKUP(F23,'05_Master KPI'!$B$5:$G$100,4,FALSE),0)</f>
        <v>15</v>
      </c>
      <c r="L23" s="23">
        <f t="shared" si="0"/>
        <v>12.5</v>
      </c>
      <c r="M23" s="9" t="str">
        <f>IF(D23="","",IF(J23&gt;='13_Setting'!$H$7,"Tercapai",IF(J23&gt;='13_Setting'!$H$6,"On Track","Tertinggal")))</f>
        <v>Tertinggal</v>
      </c>
      <c r="N23" s="20" t="s">
        <v>211</v>
      </c>
      <c r="O23" s="1"/>
      <c r="P23" s="1"/>
      <c r="Q23" s="1"/>
      <c r="R23" s="1"/>
      <c r="S23" s="1"/>
      <c r="T23" s="1"/>
      <c r="U23" s="1"/>
      <c r="V23" s="1"/>
      <c r="W23" s="1"/>
      <c r="X23" s="1"/>
      <c r="Y23" s="1"/>
      <c r="Z23" s="1"/>
    </row>
    <row r="24" spans="1:26">
      <c r="A24" s="20" t="s">
        <v>192</v>
      </c>
      <c r="B24" s="20">
        <v>2026</v>
      </c>
      <c r="C24" s="21">
        <v>46053</v>
      </c>
      <c r="D24" s="20" t="s">
        <v>94</v>
      </c>
      <c r="E24" s="9" t="str">
        <f>IFERROR(VLOOKUP(D24,'04_Master Karyawan'!$A$5:$F$50,2,FALSE),"")</f>
        <v>Kia</v>
      </c>
      <c r="F24" s="20" t="s">
        <v>146</v>
      </c>
      <c r="G24" s="9" t="str">
        <f>IFERROR(VLOOKUP(F24,'05_Master KPI'!$B$5:$G$100,2,FALSE)&amp;" ("&amp;VLOOKUP(F24,'05_Master KPI'!$B$5:$G$100,3,FALSE)&amp;")","")</f>
        <v>Engagement Rate (%)</v>
      </c>
      <c r="H24" s="9">
        <f>IFERROR(IF(B24&lt;&gt;'06_Target KPI'!$B$3,0,IF(VLOOKUP(F24,'05_Master KPI'!$B$5:$G$100,6,FALSE)="Kumulatif",INDEX('06_Target KPI'!$E$5:$P$100,MATCH(F24,'06_Target KPI'!$B$5:$B$100,0),MATCH(A24,'06_Target KPI'!$E$4:$P$4,0))*DAY(C24)/DAY(EOMONTH(C24,0)),INDEX('06_Target KPI'!$E$5:$P$100,MATCH(F24,'06_Target KPI'!$B$5:$B$100,0),MATCH(A24,'06_Target KPI'!$E$4:$P$4,0)))),0)</f>
        <v>5</v>
      </c>
      <c r="I24" s="20">
        <v>4.0999999999999996</v>
      </c>
      <c r="J24" s="22">
        <f>IFERROR(MIN(IF(VLOOKUP(F24,'05_Master KPI'!$B$5:$G$100,5,FALSE)="Lower",H24/I24,I24/H24),1),0)</f>
        <v>0.82</v>
      </c>
      <c r="K24" s="9">
        <f>IFERROR(VLOOKUP(F24,'05_Master KPI'!$B$5:$G$100,4,FALSE),0)</f>
        <v>15</v>
      </c>
      <c r="L24" s="23">
        <f t="shared" si="0"/>
        <v>12.299999999999999</v>
      </c>
      <c r="M24" s="9" t="str">
        <f>IF(D24="","",IF(J24&gt;='13_Setting'!$H$7,"Tercapai",IF(J24&gt;='13_Setting'!$H$6,"On Track","Tertinggal")))</f>
        <v>Tertinggal</v>
      </c>
      <c r="N24" s="20" t="s">
        <v>211</v>
      </c>
      <c r="O24" s="1"/>
      <c r="P24" s="1"/>
      <c r="Q24" s="1"/>
      <c r="R24" s="1"/>
      <c r="S24" s="1"/>
      <c r="T24" s="1"/>
      <c r="U24" s="1"/>
      <c r="V24" s="1"/>
      <c r="W24" s="1"/>
      <c r="X24" s="1"/>
      <c r="Y24" s="1"/>
      <c r="Z24" s="1"/>
    </row>
    <row r="25" spans="1:26">
      <c r="A25" s="20" t="s">
        <v>192</v>
      </c>
      <c r="B25" s="20">
        <v>2026</v>
      </c>
      <c r="C25" s="21">
        <v>46053</v>
      </c>
      <c r="D25" s="20" t="s">
        <v>94</v>
      </c>
      <c r="E25" s="9" t="str">
        <f>IFERROR(VLOOKUP(D25,'04_Master Karyawan'!$A$5:$F$50,2,FALSE),"")</f>
        <v>Kia</v>
      </c>
      <c r="F25" s="20" t="s">
        <v>148</v>
      </c>
      <c r="G25" s="9" t="str">
        <f>IFERROR(VLOOKUP(F25,'05_Master KPI'!$B$5:$G$100,2,FALSE)&amp;" ("&amp;VLOOKUP(F25,'05_Master KPI'!$B$5:$G$100,3,FALSE)&amp;")","")</f>
        <v>Qualified Leads (lead)</v>
      </c>
      <c r="H25" s="9">
        <f>IFERROR(IF(B25&lt;&gt;'06_Target KPI'!$B$3,0,IF(VLOOKUP(F25,'05_Master KPI'!$B$5:$G$100,6,FALSE)="Kumulatif",INDEX('06_Target KPI'!$E$5:$P$100,MATCH(F25,'06_Target KPI'!$B$5:$B$100,0),MATCH(A25,'06_Target KPI'!$E$4:$P$4,0))*DAY(C25)/DAY(EOMONTH(C25,0)),INDEX('06_Target KPI'!$E$5:$P$100,MATCH(F25,'06_Target KPI'!$B$5:$B$100,0),MATCH(A25,'06_Target KPI'!$E$4:$P$4,0)))),0)</f>
        <v>100</v>
      </c>
      <c r="I25" s="20">
        <v>82</v>
      </c>
      <c r="J25" s="22">
        <f>IFERROR(MIN(IF(VLOOKUP(F25,'05_Master KPI'!$B$5:$G$100,5,FALSE)="Lower",H25/I25,I25/H25),1),0)</f>
        <v>0.82</v>
      </c>
      <c r="K25" s="9">
        <f>IFERROR(VLOOKUP(F25,'05_Master KPI'!$B$5:$G$100,4,FALSE),0)</f>
        <v>20</v>
      </c>
      <c r="L25" s="23">
        <f t="shared" si="0"/>
        <v>16.399999999999999</v>
      </c>
      <c r="M25" s="9" t="str">
        <f>IF(D25="","",IF(J25&gt;='13_Setting'!$H$7,"Tercapai",IF(J25&gt;='13_Setting'!$H$6,"On Track","Tertinggal")))</f>
        <v>Tertinggal</v>
      </c>
      <c r="N25" s="20" t="s">
        <v>211</v>
      </c>
      <c r="O25" s="1"/>
      <c r="P25" s="1"/>
      <c r="Q25" s="1"/>
      <c r="R25" s="1"/>
      <c r="S25" s="1"/>
      <c r="T25" s="1"/>
      <c r="U25" s="1"/>
      <c r="V25" s="1"/>
      <c r="W25" s="1"/>
      <c r="X25" s="1"/>
      <c r="Y25" s="1"/>
      <c r="Z25" s="1"/>
    </row>
    <row r="26" spans="1:26">
      <c r="A26" s="20" t="s">
        <v>192</v>
      </c>
      <c r="B26" s="20">
        <v>2026</v>
      </c>
      <c r="C26" s="21">
        <v>46053</v>
      </c>
      <c r="D26" s="20" t="s">
        <v>94</v>
      </c>
      <c r="E26" s="9" t="str">
        <f>IFERROR(VLOOKUP(D26,'04_Master Karyawan'!$A$5:$F$50,2,FALSE),"")</f>
        <v>Kia</v>
      </c>
      <c r="F26" s="20" t="s">
        <v>151</v>
      </c>
      <c r="G26" s="9" t="str">
        <f>IFERROR(VLOOKUP(F26,'05_Master KPI'!$B$5:$G$100,2,FALSE)&amp;" ("&amp;VLOOKUP(F26,'05_Master KPI'!$B$5:$G$100,3,FALSE)&amp;")","")</f>
        <v>Campaign Execution (%)</v>
      </c>
      <c r="H26" s="9">
        <f>IFERROR(IF(B26&lt;&gt;'06_Target KPI'!$B$3,0,IF(VLOOKUP(F26,'05_Master KPI'!$B$5:$G$100,6,FALSE)="Kumulatif",INDEX('06_Target KPI'!$E$5:$P$100,MATCH(F26,'06_Target KPI'!$B$5:$B$100,0),MATCH(A26,'06_Target KPI'!$E$4:$P$4,0))*DAY(C26)/DAY(EOMONTH(C26,0)),INDEX('06_Target KPI'!$E$5:$P$100,MATCH(F26,'06_Target KPI'!$B$5:$B$100,0),MATCH(A26,'06_Target KPI'!$E$4:$P$4,0)))),0)</f>
        <v>100</v>
      </c>
      <c r="I26" s="20">
        <v>81.8</v>
      </c>
      <c r="J26" s="22">
        <f>IFERROR(MIN(IF(VLOOKUP(F26,'05_Master KPI'!$B$5:$G$100,5,FALSE)="Lower",H26/I26,I26/H26),1),0)</f>
        <v>0.81799999999999995</v>
      </c>
      <c r="K26" s="9">
        <f>IFERROR(VLOOKUP(F26,'05_Master KPI'!$B$5:$G$100,4,FALSE),0)</f>
        <v>20</v>
      </c>
      <c r="L26" s="23">
        <f t="shared" si="0"/>
        <v>16.36</v>
      </c>
      <c r="M26" s="9" t="str">
        <f>IF(D26="","",IF(J26&gt;='13_Setting'!$H$7,"Tercapai",IF(J26&gt;='13_Setting'!$H$6,"On Track","Tertinggal")))</f>
        <v>Tertinggal</v>
      </c>
      <c r="N26" s="20" t="s">
        <v>211</v>
      </c>
      <c r="O26" s="1"/>
      <c r="P26" s="1"/>
      <c r="Q26" s="1"/>
      <c r="R26" s="1"/>
      <c r="S26" s="1"/>
      <c r="T26" s="1"/>
      <c r="U26" s="1"/>
      <c r="V26" s="1"/>
      <c r="W26" s="1"/>
      <c r="X26" s="1"/>
      <c r="Y26" s="1"/>
      <c r="Z26" s="1"/>
    </row>
    <row r="27" spans="1:26">
      <c r="A27" s="20" t="s">
        <v>192</v>
      </c>
      <c r="B27" s="20">
        <v>2026</v>
      </c>
      <c r="C27" s="21">
        <v>46053</v>
      </c>
      <c r="D27" s="20" t="s">
        <v>94</v>
      </c>
      <c r="E27" s="9" t="str">
        <f>IFERROR(VLOOKUP(D27,'04_Master Karyawan'!$A$5:$F$50,2,FALSE),"")</f>
        <v>Kia</v>
      </c>
      <c r="F27" s="20" t="s">
        <v>153</v>
      </c>
      <c r="G27" s="9" t="str">
        <f>IFERROR(VLOOKUP(F27,'05_Master KPI'!$B$5:$G$100,2,FALSE)&amp;" ("&amp;VLOOKUP(F27,'05_Master KPI'!$B$5:$G$100,3,FALSE)&amp;")","")</f>
        <v>Lead Conversion (%)</v>
      </c>
      <c r="H27" s="9">
        <f>IFERROR(IF(B27&lt;&gt;'06_Target KPI'!$B$3,0,IF(VLOOKUP(F27,'05_Master KPI'!$B$5:$G$100,6,FALSE)="Kumulatif",INDEX('06_Target KPI'!$E$5:$P$100,MATCH(F27,'06_Target KPI'!$B$5:$B$100,0),MATCH(A27,'06_Target KPI'!$E$4:$P$4,0))*DAY(C27)/DAY(EOMONTH(C27,0)),INDEX('06_Target KPI'!$E$5:$P$100,MATCH(F27,'06_Target KPI'!$B$5:$B$100,0),MATCH(A27,'06_Target KPI'!$E$4:$P$4,0)))),0)</f>
        <v>10</v>
      </c>
      <c r="I27" s="20">
        <v>8.1999999999999993</v>
      </c>
      <c r="J27" s="22">
        <f>IFERROR(MIN(IF(VLOOKUP(F27,'05_Master KPI'!$B$5:$G$100,5,FALSE)="Lower",H27/I27,I27/H27),1),0)</f>
        <v>0.82</v>
      </c>
      <c r="K27" s="9">
        <f>IFERROR(VLOOKUP(F27,'05_Master KPI'!$B$5:$G$100,4,FALSE),0)</f>
        <v>20</v>
      </c>
      <c r="L27" s="23">
        <f t="shared" si="0"/>
        <v>16.399999999999999</v>
      </c>
      <c r="M27" s="9" t="str">
        <f>IF(D27="","",IF(J27&gt;='13_Setting'!$H$7,"Tercapai",IF(J27&gt;='13_Setting'!$H$6,"On Track","Tertinggal")))</f>
        <v>Tertinggal</v>
      </c>
      <c r="N27" s="20" t="s">
        <v>211</v>
      </c>
      <c r="O27" s="1"/>
      <c r="P27" s="1"/>
      <c r="Q27" s="1"/>
      <c r="R27" s="1"/>
      <c r="S27" s="1"/>
      <c r="T27" s="1"/>
      <c r="U27" s="1"/>
      <c r="V27" s="1"/>
      <c r="W27" s="1"/>
      <c r="X27" s="1"/>
      <c r="Y27" s="1"/>
      <c r="Z27" s="1"/>
    </row>
    <row r="28" spans="1:26">
      <c r="A28" s="20" t="s">
        <v>192</v>
      </c>
      <c r="B28" s="20">
        <v>2026</v>
      </c>
      <c r="C28" s="21">
        <v>46053</v>
      </c>
      <c r="D28" s="20" t="s">
        <v>94</v>
      </c>
      <c r="E28" s="9" t="str">
        <f>IFERROR(VLOOKUP(D28,'04_Master Karyawan'!$A$5:$F$50,2,FALSE),"")</f>
        <v>Kia</v>
      </c>
      <c r="F28" s="20" t="s">
        <v>155</v>
      </c>
      <c r="G28" s="9" t="str">
        <f>IFERROR(VLOOKUP(F28,'05_Master KPI'!$B$5:$G$100,2,FALSE)&amp;" ("&amp;VLOOKUP(F28,'05_Master KPI'!$B$5:$G$100,3,FALSE)&amp;")","")</f>
        <v>Reporting (%)</v>
      </c>
      <c r="H28" s="9">
        <f>IFERROR(IF(B28&lt;&gt;'06_Target KPI'!$B$3,0,IF(VLOOKUP(F28,'05_Master KPI'!$B$5:$G$100,6,FALSE)="Kumulatif",INDEX('06_Target KPI'!$E$5:$P$100,MATCH(F28,'06_Target KPI'!$B$5:$B$100,0),MATCH(A28,'06_Target KPI'!$E$4:$P$4,0))*DAY(C28)/DAY(EOMONTH(C28,0)),INDEX('06_Target KPI'!$E$5:$P$100,MATCH(F28,'06_Target KPI'!$B$5:$B$100,0),MATCH(A28,'06_Target KPI'!$E$4:$P$4,0)))),0)</f>
        <v>100</v>
      </c>
      <c r="I28" s="20">
        <v>81.8</v>
      </c>
      <c r="J28" s="22">
        <f>IFERROR(MIN(IF(VLOOKUP(F28,'05_Master KPI'!$B$5:$G$100,5,FALSE)="Lower",H28/I28,I28/H28),1),0)</f>
        <v>0.81799999999999995</v>
      </c>
      <c r="K28" s="9">
        <f>IFERROR(VLOOKUP(F28,'05_Master KPI'!$B$5:$G$100,4,FALSE),0)</f>
        <v>10</v>
      </c>
      <c r="L28" s="23">
        <f t="shared" si="0"/>
        <v>8.18</v>
      </c>
      <c r="M28" s="9" t="str">
        <f>IF(D28="","",IF(J28&gt;='13_Setting'!$H$7,"Tercapai",IF(J28&gt;='13_Setting'!$H$6,"On Track","Tertinggal")))</f>
        <v>Tertinggal</v>
      </c>
      <c r="N28" s="20" t="s">
        <v>211</v>
      </c>
      <c r="O28" s="1"/>
      <c r="P28" s="1"/>
      <c r="Q28" s="1"/>
      <c r="R28" s="1"/>
      <c r="S28" s="1"/>
      <c r="T28" s="1"/>
      <c r="U28" s="1"/>
      <c r="V28" s="1"/>
      <c r="W28" s="1"/>
      <c r="X28" s="1"/>
      <c r="Y28" s="1"/>
      <c r="Z28" s="1"/>
    </row>
    <row r="29" spans="1:26">
      <c r="A29" s="20" t="s">
        <v>193</v>
      </c>
      <c r="B29" s="20">
        <v>2026</v>
      </c>
      <c r="C29" s="21">
        <v>46081</v>
      </c>
      <c r="D29" s="20" t="s">
        <v>86</v>
      </c>
      <c r="E29" s="9" t="str">
        <f>IFERROR(VLOOKUP(D29,'04_Master Karyawan'!$A$5:$F$50,2,FALSE),"")</f>
        <v>Stephan</v>
      </c>
      <c r="F29" s="20" t="s">
        <v>143</v>
      </c>
      <c r="G29" s="9" t="str">
        <f>IFERROR(VLOOKUP(F29,'05_Master KPI'!$B$5:$G$100,2,FALSE)&amp;" ("&amp;VLOOKUP(F29,'05_Master KPI'!$B$5:$G$100,3,FALSE)&amp;")","")</f>
        <v>Content Plan (konten)</v>
      </c>
      <c r="H29" s="9">
        <f>IFERROR(IF(B29&lt;&gt;'06_Target KPI'!$B$3,0,IF(VLOOKUP(F29,'05_Master KPI'!$B$5:$G$100,6,FALSE)="Kumulatif",INDEX('06_Target KPI'!$E$5:$P$100,MATCH(F29,'06_Target KPI'!$B$5:$B$100,0),MATCH(A29,'06_Target KPI'!$E$4:$P$4,0))*DAY(C29)/DAY(EOMONTH(C29,0)),INDEX('06_Target KPI'!$E$5:$P$100,MATCH(F29,'06_Target KPI'!$B$5:$B$100,0),MATCH(A29,'06_Target KPI'!$E$4:$P$4,0)))),0)</f>
        <v>30</v>
      </c>
      <c r="I29" s="20">
        <v>23</v>
      </c>
      <c r="J29" s="22">
        <f>IFERROR(MIN(IF(VLOOKUP(F29,'05_Master KPI'!$B$5:$G$100,5,FALSE)="Lower",H29/I29,I29/H29),1),0)</f>
        <v>0.76666666666666672</v>
      </c>
      <c r="K29" s="9">
        <f>IFERROR(VLOOKUP(F29,'05_Master KPI'!$B$5:$G$100,4,FALSE),0)</f>
        <v>15</v>
      </c>
      <c r="L29" s="23">
        <f t="shared" si="0"/>
        <v>11.5</v>
      </c>
      <c r="M29" s="9" t="str">
        <f>IF(D29="","",IF(J29&gt;='13_Setting'!$H$7,"Tercapai",IF(J29&gt;='13_Setting'!$H$6,"On Track","Tertinggal")))</f>
        <v>Tertinggal</v>
      </c>
      <c r="N29" s="20" t="s">
        <v>211</v>
      </c>
      <c r="O29" s="1"/>
      <c r="P29" s="1"/>
      <c r="Q29" s="1"/>
      <c r="R29" s="1"/>
      <c r="S29" s="1"/>
      <c r="T29" s="1"/>
      <c r="U29" s="1"/>
      <c r="V29" s="1"/>
      <c r="W29" s="1"/>
      <c r="X29" s="1"/>
      <c r="Y29" s="1"/>
      <c r="Z29" s="1"/>
    </row>
    <row r="30" spans="1:26">
      <c r="A30" s="20" t="s">
        <v>193</v>
      </c>
      <c r="B30" s="20">
        <v>2026</v>
      </c>
      <c r="C30" s="21">
        <v>46081</v>
      </c>
      <c r="D30" s="20" t="s">
        <v>86</v>
      </c>
      <c r="E30" s="9" t="str">
        <f>IFERROR(VLOOKUP(D30,'04_Master Karyawan'!$A$5:$F$50,2,FALSE),"")</f>
        <v>Stephan</v>
      </c>
      <c r="F30" s="20" t="s">
        <v>146</v>
      </c>
      <c r="G30" s="9" t="str">
        <f>IFERROR(VLOOKUP(F30,'05_Master KPI'!$B$5:$G$100,2,FALSE)&amp;" ("&amp;VLOOKUP(F30,'05_Master KPI'!$B$5:$G$100,3,FALSE)&amp;")","")</f>
        <v>Engagement Rate (%)</v>
      </c>
      <c r="H30" s="9">
        <f>IFERROR(IF(B30&lt;&gt;'06_Target KPI'!$B$3,0,IF(VLOOKUP(F30,'05_Master KPI'!$B$5:$G$100,6,FALSE)="Kumulatif",INDEX('06_Target KPI'!$E$5:$P$100,MATCH(F30,'06_Target KPI'!$B$5:$B$100,0),MATCH(A30,'06_Target KPI'!$E$4:$P$4,0))*DAY(C30)/DAY(EOMONTH(C30,0)),INDEX('06_Target KPI'!$E$5:$P$100,MATCH(F30,'06_Target KPI'!$B$5:$B$100,0),MATCH(A30,'06_Target KPI'!$E$4:$P$4,0)))),0)</f>
        <v>5</v>
      </c>
      <c r="I30" s="20">
        <v>3.9</v>
      </c>
      <c r="J30" s="22">
        <f>IFERROR(MIN(IF(VLOOKUP(F30,'05_Master KPI'!$B$5:$G$100,5,FALSE)="Lower",H30/I30,I30/H30),1),0)</f>
        <v>0.78</v>
      </c>
      <c r="K30" s="9">
        <f>IFERROR(VLOOKUP(F30,'05_Master KPI'!$B$5:$G$100,4,FALSE),0)</f>
        <v>15</v>
      </c>
      <c r="L30" s="23">
        <f t="shared" si="0"/>
        <v>11.700000000000001</v>
      </c>
      <c r="M30" s="9" t="str">
        <f>IF(D30="","",IF(J30&gt;='13_Setting'!$H$7,"Tercapai",IF(J30&gt;='13_Setting'!$H$6,"On Track","Tertinggal")))</f>
        <v>Tertinggal</v>
      </c>
      <c r="N30" s="20" t="s">
        <v>211</v>
      </c>
      <c r="O30" s="1"/>
      <c r="P30" s="1"/>
      <c r="Q30" s="1"/>
      <c r="R30" s="1"/>
      <c r="S30" s="1"/>
      <c r="T30" s="1"/>
      <c r="U30" s="1"/>
      <c r="V30" s="1"/>
      <c r="W30" s="1"/>
      <c r="X30" s="1"/>
      <c r="Y30" s="1"/>
      <c r="Z30" s="1"/>
    </row>
    <row r="31" spans="1:26">
      <c r="A31" s="20" t="s">
        <v>193</v>
      </c>
      <c r="B31" s="20">
        <v>2026</v>
      </c>
      <c r="C31" s="21">
        <v>46081</v>
      </c>
      <c r="D31" s="20" t="s">
        <v>86</v>
      </c>
      <c r="E31" s="9" t="str">
        <f>IFERROR(VLOOKUP(D31,'04_Master Karyawan'!$A$5:$F$50,2,FALSE),"")</f>
        <v>Stephan</v>
      </c>
      <c r="F31" s="20" t="s">
        <v>148</v>
      </c>
      <c r="G31" s="9" t="str">
        <f>IFERROR(VLOOKUP(F31,'05_Master KPI'!$B$5:$G$100,2,FALSE)&amp;" ("&amp;VLOOKUP(F31,'05_Master KPI'!$B$5:$G$100,3,FALSE)&amp;")","")</f>
        <v>Qualified Leads (lead)</v>
      </c>
      <c r="H31" s="9">
        <f>IFERROR(IF(B31&lt;&gt;'06_Target KPI'!$B$3,0,IF(VLOOKUP(F31,'05_Master KPI'!$B$5:$G$100,6,FALSE)="Kumulatif",INDEX('06_Target KPI'!$E$5:$P$100,MATCH(F31,'06_Target KPI'!$B$5:$B$100,0),MATCH(A31,'06_Target KPI'!$E$4:$P$4,0))*DAY(C31)/DAY(EOMONTH(C31,0)),INDEX('06_Target KPI'!$E$5:$P$100,MATCH(F31,'06_Target KPI'!$B$5:$B$100,0),MATCH(A31,'06_Target KPI'!$E$4:$P$4,0)))),0)</f>
        <v>100</v>
      </c>
      <c r="I31" s="20">
        <v>78</v>
      </c>
      <c r="J31" s="22">
        <f>IFERROR(MIN(IF(VLOOKUP(F31,'05_Master KPI'!$B$5:$G$100,5,FALSE)="Lower",H31/I31,I31/H31),1),0)</f>
        <v>0.78</v>
      </c>
      <c r="K31" s="9">
        <f>IFERROR(VLOOKUP(F31,'05_Master KPI'!$B$5:$G$100,4,FALSE),0)</f>
        <v>20</v>
      </c>
      <c r="L31" s="23">
        <f t="shared" si="0"/>
        <v>15.600000000000001</v>
      </c>
      <c r="M31" s="9" t="str">
        <f>IF(D31="","",IF(J31&gt;='13_Setting'!$H$7,"Tercapai",IF(J31&gt;='13_Setting'!$H$6,"On Track","Tertinggal")))</f>
        <v>Tertinggal</v>
      </c>
      <c r="N31" s="20" t="s">
        <v>211</v>
      </c>
      <c r="O31" s="1"/>
      <c r="P31" s="1"/>
      <c r="Q31" s="1"/>
      <c r="R31" s="1"/>
      <c r="S31" s="1"/>
      <c r="T31" s="1"/>
      <c r="U31" s="1"/>
      <c r="V31" s="1"/>
      <c r="W31" s="1"/>
      <c r="X31" s="1"/>
      <c r="Y31" s="1"/>
      <c r="Z31" s="1"/>
    </row>
    <row r="32" spans="1:26">
      <c r="A32" s="20" t="s">
        <v>193</v>
      </c>
      <c r="B32" s="20">
        <v>2026</v>
      </c>
      <c r="C32" s="21">
        <v>46081</v>
      </c>
      <c r="D32" s="20" t="s">
        <v>86</v>
      </c>
      <c r="E32" s="9" t="str">
        <f>IFERROR(VLOOKUP(D32,'04_Master Karyawan'!$A$5:$F$50,2,FALSE),"")</f>
        <v>Stephan</v>
      </c>
      <c r="F32" s="20" t="s">
        <v>151</v>
      </c>
      <c r="G32" s="9" t="str">
        <f>IFERROR(VLOOKUP(F32,'05_Master KPI'!$B$5:$G$100,2,FALSE)&amp;" ("&amp;VLOOKUP(F32,'05_Master KPI'!$B$5:$G$100,3,FALSE)&amp;")","")</f>
        <v>Campaign Execution (%)</v>
      </c>
      <c r="H32" s="9">
        <f>IFERROR(IF(B32&lt;&gt;'06_Target KPI'!$B$3,0,IF(VLOOKUP(F32,'05_Master KPI'!$B$5:$G$100,6,FALSE)="Kumulatif",INDEX('06_Target KPI'!$E$5:$P$100,MATCH(F32,'06_Target KPI'!$B$5:$B$100,0),MATCH(A32,'06_Target KPI'!$E$4:$P$4,0))*DAY(C32)/DAY(EOMONTH(C32,0)),INDEX('06_Target KPI'!$E$5:$P$100,MATCH(F32,'06_Target KPI'!$B$5:$B$100,0),MATCH(A32,'06_Target KPI'!$E$4:$P$4,0)))),0)</f>
        <v>100</v>
      </c>
      <c r="I32" s="20">
        <v>78.3</v>
      </c>
      <c r="J32" s="22">
        <f>IFERROR(MIN(IF(VLOOKUP(F32,'05_Master KPI'!$B$5:$G$100,5,FALSE)="Lower",H32/I32,I32/H32),1),0)</f>
        <v>0.78299999999999992</v>
      </c>
      <c r="K32" s="9">
        <f>IFERROR(VLOOKUP(F32,'05_Master KPI'!$B$5:$G$100,4,FALSE),0)</f>
        <v>20</v>
      </c>
      <c r="L32" s="23">
        <f t="shared" si="0"/>
        <v>15.659999999999998</v>
      </c>
      <c r="M32" s="9" t="str">
        <f>IF(D32="","",IF(J32&gt;='13_Setting'!$H$7,"Tercapai",IF(J32&gt;='13_Setting'!$H$6,"On Track","Tertinggal")))</f>
        <v>Tertinggal</v>
      </c>
      <c r="N32" s="20" t="s">
        <v>211</v>
      </c>
      <c r="O32" s="1"/>
      <c r="P32" s="1"/>
      <c r="Q32" s="1"/>
      <c r="R32" s="1"/>
      <c r="S32" s="1"/>
      <c r="T32" s="1"/>
      <c r="U32" s="1"/>
      <c r="V32" s="1"/>
      <c r="W32" s="1"/>
      <c r="X32" s="1"/>
      <c r="Y32" s="1"/>
      <c r="Z32" s="1"/>
    </row>
    <row r="33" spans="1:26">
      <c r="A33" s="20" t="s">
        <v>193</v>
      </c>
      <c r="B33" s="20">
        <v>2026</v>
      </c>
      <c r="C33" s="21">
        <v>46081</v>
      </c>
      <c r="D33" s="20" t="s">
        <v>86</v>
      </c>
      <c r="E33" s="9" t="str">
        <f>IFERROR(VLOOKUP(D33,'04_Master Karyawan'!$A$5:$F$50,2,FALSE),"")</f>
        <v>Stephan</v>
      </c>
      <c r="F33" s="20" t="s">
        <v>153</v>
      </c>
      <c r="G33" s="9" t="str">
        <f>IFERROR(VLOOKUP(F33,'05_Master KPI'!$B$5:$G$100,2,FALSE)&amp;" ("&amp;VLOOKUP(F33,'05_Master KPI'!$B$5:$G$100,3,FALSE)&amp;")","")</f>
        <v>Lead Conversion (%)</v>
      </c>
      <c r="H33" s="9">
        <f>IFERROR(IF(B33&lt;&gt;'06_Target KPI'!$B$3,0,IF(VLOOKUP(F33,'05_Master KPI'!$B$5:$G$100,6,FALSE)="Kumulatif",INDEX('06_Target KPI'!$E$5:$P$100,MATCH(F33,'06_Target KPI'!$B$5:$B$100,0),MATCH(A33,'06_Target KPI'!$E$4:$P$4,0))*DAY(C33)/DAY(EOMONTH(C33,0)),INDEX('06_Target KPI'!$E$5:$P$100,MATCH(F33,'06_Target KPI'!$B$5:$B$100,0),MATCH(A33,'06_Target KPI'!$E$4:$P$4,0)))),0)</f>
        <v>10</v>
      </c>
      <c r="I33" s="20">
        <v>7.8</v>
      </c>
      <c r="J33" s="22">
        <f>IFERROR(MIN(IF(VLOOKUP(F33,'05_Master KPI'!$B$5:$G$100,5,FALSE)="Lower",H33/I33,I33/H33),1),0)</f>
        <v>0.78</v>
      </c>
      <c r="K33" s="9">
        <f>IFERROR(VLOOKUP(F33,'05_Master KPI'!$B$5:$G$100,4,FALSE),0)</f>
        <v>20</v>
      </c>
      <c r="L33" s="23">
        <f t="shared" si="0"/>
        <v>15.600000000000001</v>
      </c>
      <c r="M33" s="9" t="str">
        <f>IF(D33="","",IF(J33&gt;='13_Setting'!$H$7,"Tercapai",IF(J33&gt;='13_Setting'!$H$6,"On Track","Tertinggal")))</f>
        <v>Tertinggal</v>
      </c>
      <c r="N33" s="20" t="s">
        <v>211</v>
      </c>
      <c r="O33" s="1"/>
      <c r="P33" s="1"/>
      <c r="Q33" s="1"/>
      <c r="R33" s="1"/>
      <c r="S33" s="1"/>
      <c r="T33" s="1"/>
      <c r="U33" s="1"/>
      <c r="V33" s="1"/>
      <c r="W33" s="1"/>
      <c r="X33" s="1"/>
      <c r="Y33" s="1"/>
      <c r="Z33" s="1"/>
    </row>
    <row r="34" spans="1:26">
      <c r="A34" s="20" t="s">
        <v>193</v>
      </c>
      <c r="B34" s="20">
        <v>2026</v>
      </c>
      <c r="C34" s="21">
        <v>46081</v>
      </c>
      <c r="D34" s="20" t="s">
        <v>86</v>
      </c>
      <c r="E34" s="9" t="str">
        <f>IFERROR(VLOOKUP(D34,'04_Master Karyawan'!$A$5:$F$50,2,FALSE),"")</f>
        <v>Stephan</v>
      </c>
      <c r="F34" s="20" t="s">
        <v>155</v>
      </c>
      <c r="G34" s="9" t="str">
        <f>IFERROR(VLOOKUP(F34,'05_Master KPI'!$B$5:$G$100,2,FALSE)&amp;" ("&amp;VLOOKUP(F34,'05_Master KPI'!$B$5:$G$100,3,FALSE)&amp;")","")</f>
        <v>Reporting (%)</v>
      </c>
      <c r="H34" s="9">
        <f>IFERROR(IF(B34&lt;&gt;'06_Target KPI'!$B$3,0,IF(VLOOKUP(F34,'05_Master KPI'!$B$5:$G$100,6,FALSE)="Kumulatif",INDEX('06_Target KPI'!$E$5:$P$100,MATCH(F34,'06_Target KPI'!$B$5:$B$100,0),MATCH(A34,'06_Target KPI'!$E$4:$P$4,0))*DAY(C34)/DAY(EOMONTH(C34,0)),INDEX('06_Target KPI'!$E$5:$P$100,MATCH(F34,'06_Target KPI'!$B$5:$B$100,0),MATCH(A34,'06_Target KPI'!$E$4:$P$4,0)))),0)</f>
        <v>100</v>
      </c>
      <c r="I34" s="20">
        <v>78.3</v>
      </c>
      <c r="J34" s="22">
        <f>IFERROR(MIN(IF(VLOOKUP(F34,'05_Master KPI'!$B$5:$G$100,5,FALSE)="Lower",H34/I34,I34/H34),1),0)</f>
        <v>0.78299999999999992</v>
      </c>
      <c r="K34" s="9">
        <f>IFERROR(VLOOKUP(F34,'05_Master KPI'!$B$5:$G$100,4,FALSE),0)</f>
        <v>10</v>
      </c>
      <c r="L34" s="23">
        <f t="shared" si="0"/>
        <v>7.8299999999999992</v>
      </c>
      <c r="M34" s="9" t="str">
        <f>IF(D34="","",IF(J34&gt;='13_Setting'!$H$7,"Tercapai",IF(J34&gt;='13_Setting'!$H$6,"On Track","Tertinggal")))</f>
        <v>Tertinggal</v>
      </c>
      <c r="N34" s="20" t="s">
        <v>211</v>
      </c>
      <c r="O34" s="1"/>
      <c r="P34" s="1"/>
      <c r="Q34" s="1"/>
      <c r="R34" s="1"/>
      <c r="S34" s="1"/>
      <c r="T34" s="1"/>
      <c r="U34" s="1"/>
      <c r="V34" s="1"/>
      <c r="W34" s="1"/>
      <c r="X34" s="1"/>
      <c r="Y34" s="1"/>
      <c r="Z34" s="1"/>
    </row>
    <row r="35" spans="1:26">
      <c r="A35" s="20" t="s">
        <v>193</v>
      </c>
      <c r="B35" s="20">
        <v>2026</v>
      </c>
      <c r="C35" s="21">
        <v>46081</v>
      </c>
      <c r="D35" s="20" t="s">
        <v>90</v>
      </c>
      <c r="E35" s="9" t="str">
        <f>IFERROR(VLOOKUP(D35,'04_Master Karyawan'!$A$5:$F$50,2,FALSE),"")</f>
        <v>Cantika</v>
      </c>
      <c r="F35" s="20" t="s">
        <v>143</v>
      </c>
      <c r="G35" s="9" t="str">
        <f>IFERROR(VLOOKUP(F35,'05_Master KPI'!$B$5:$G$100,2,FALSE)&amp;" ("&amp;VLOOKUP(F35,'05_Master KPI'!$B$5:$G$100,3,FALSE)&amp;")","")</f>
        <v>Content Plan (konten)</v>
      </c>
      <c r="H35" s="9">
        <f>IFERROR(IF(B35&lt;&gt;'06_Target KPI'!$B$3,0,IF(VLOOKUP(F35,'05_Master KPI'!$B$5:$G$100,6,FALSE)="Kumulatif",INDEX('06_Target KPI'!$E$5:$P$100,MATCH(F35,'06_Target KPI'!$B$5:$B$100,0),MATCH(A35,'06_Target KPI'!$E$4:$P$4,0))*DAY(C35)/DAY(EOMONTH(C35,0)),INDEX('06_Target KPI'!$E$5:$P$100,MATCH(F35,'06_Target KPI'!$B$5:$B$100,0),MATCH(A35,'06_Target KPI'!$E$4:$P$4,0)))),0)</f>
        <v>30</v>
      </c>
      <c r="I35" s="20">
        <v>24</v>
      </c>
      <c r="J35" s="22">
        <f>IFERROR(MIN(IF(VLOOKUP(F35,'05_Master KPI'!$B$5:$G$100,5,FALSE)="Lower",H35/I35,I35/H35),1),0)</f>
        <v>0.8</v>
      </c>
      <c r="K35" s="9">
        <f>IFERROR(VLOOKUP(F35,'05_Master KPI'!$B$5:$G$100,4,FALSE),0)</f>
        <v>15</v>
      </c>
      <c r="L35" s="23">
        <f t="shared" si="0"/>
        <v>12</v>
      </c>
      <c r="M35" s="9" t="str">
        <f>IF(D35="","",IF(J35&gt;='13_Setting'!$H$7,"Tercapai",IF(J35&gt;='13_Setting'!$H$6,"On Track","Tertinggal")))</f>
        <v>Tertinggal</v>
      </c>
      <c r="N35" s="20" t="s">
        <v>211</v>
      </c>
      <c r="O35" s="1"/>
      <c r="P35" s="1"/>
      <c r="Q35" s="1"/>
      <c r="R35" s="1"/>
      <c r="S35" s="1"/>
      <c r="T35" s="1"/>
      <c r="U35" s="1"/>
      <c r="V35" s="1"/>
      <c r="W35" s="1"/>
      <c r="X35" s="1"/>
      <c r="Y35" s="1"/>
      <c r="Z35" s="1"/>
    </row>
    <row r="36" spans="1:26">
      <c r="A36" s="20" t="s">
        <v>193</v>
      </c>
      <c r="B36" s="20">
        <v>2026</v>
      </c>
      <c r="C36" s="21">
        <v>46081</v>
      </c>
      <c r="D36" s="20" t="s">
        <v>90</v>
      </c>
      <c r="E36" s="9" t="str">
        <f>IFERROR(VLOOKUP(D36,'04_Master Karyawan'!$A$5:$F$50,2,FALSE),"")</f>
        <v>Cantika</v>
      </c>
      <c r="F36" s="20" t="s">
        <v>146</v>
      </c>
      <c r="G36" s="9" t="str">
        <f>IFERROR(VLOOKUP(F36,'05_Master KPI'!$B$5:$G$100,2,FALSE)&amp;" ("&amp;VLOOKUP(F36,'05_Master KPI'!$B$5:$G$100,3,FALSE)&amp;")","")</f>
        <v>Engagement Rate (%)</v>
      </c>
      <c r="H36" s="9">
        <f>IFERROR(IF(B36&lt;&gt;'06_Target KPI'!$B$3,0,IF(VLOOKUP(F36,'05_Master KPI'!$B$5:$G$100,6,FALSE)="Kumulatif",INDEX('06_Target KPI'!$E$5:$P$100,MATCH(F36,'06_Target KPI'!$B$5:$B$100,0),MATCH(A36,'06_Target KPI'!$E$4:$P$4,0))*DAY(C36)/DAY(EOMONTH(C36,0)),INDEX('06_Target KPI'!$E$5:$P$100,MATCH(F36,'06_Target KPI'!$B$5:$B$100,0),MATCH(A36,'06_Target KPI'!$E$4:$P$4,0)))),0)</f>
        <v>5</v>
      </c>
      <c r="I36" s="20">
        <v>4</v>
      </c>
      <c r="J36" s="22">
        <f>IFERROR(MIN(IF(VLOOKUP(F36,'05_Master KPI'!$B$5:$G$100,5,FALSE)="Lower",H36/I36,I36/H36),1),0)</f>
        <v>0.8</v>
      </c>
      <c r="K36" s="9">
        <f>IFERROR(VLOOKUP(F36,'05_Master KPI'!$B$5:$G$100,4,FALSE),0)</f>
        <v>15</v>
      </c>
      <c r="L36" s="23">
        <f t="shared" si="0"/>
        <v>12</v>
      </c>
      <c r="M36" s="9" t="str">
        <f>IF(D36="","",IF(J36&gt;='13_Setting'!$H$7,"Tercapai",IF(J36&gt;='13_Setting'!$H$6,"On Track","Tertinggal")))</f>
        <v>Tertinggal</v>
      </c>
      <c r="N36" s="20" t="s">
        <v>211</v>
      </c>
      <c r="O36" s="1"/>
      <c r="P36" s="1"/>
      <c r="Q36" s="1"/>
      <c r="R36" s="1"/>
      <c r="S36" s="1"/>
      <c r="T36" s="1"/>
      <c r="U36" s="1"/>
      <c r="V36" s="1"/>
      <c r="W36" s="1"/>
      <c r="X36" s="1"/>
      <c r="Y36" s="1"/>
      <c r="Z36" s="1"/>
    </row>
    <row r="37" spans="1:26">
      <c r="A37" s="20" t="s">
        <v>193</v>
      </c>
      <c r="B37" s="20">
        <v>2026</v>
      </c>
      <c r="C37" s="21">
        <v>46081</v>
      </c>
      <c r="D37" s="20" t="s">
        <v>90</v>
      </c>
      <c r="E37" s="9" t="str">
        <f>IFERROR(VLOOKUP(D37,'04_Master Karyawan'!$A$5:$F$50,2,FALSE),"")</f>
        <v>Cantika</v>
      </c>
      <c r="F37" s="20" t="s">
        <v>148</v>
      </c>
      <c r="G37" s="9" t="str">
        <f>IFERROR(VLOOKUP(F37,'05_Master KPI'!$B$5:$G$100,2,FALSE)&amp;" ("&amp;VLOOKUP(F37,'05_Master KPI'!$B$5:$G$100,3,FALSE)&amp;")","")</f>
        <v>Qualified Leads (lead)</v>
      </c>
      <c r="H37" s="9">
        <f>IFERROR(IF(B37&lt;&gt;'06_Target KPI'!$B$3,0,IF(VLOOKUP(F37,'05_Master KPI'!$B$5:$G$100,6,FALSE)="Kumulatif",INDEX('06_Target KPI'!$E$5:$P$100,MATCH(F37,'06_Target KPI'!$B$5:$B$100,0),MATCH(A37,'06_Target KPI'!$E$4:$P$4,0))*DAY(C37)/DAY(EOMONTH(C37,0)),INDEX('06_Target KPI'!$E$5:$P$100,MATCH(F37,'06_Target KPI'!$B$5:$B$100,0),MATCH(A37,'06_Target KPI'!$E$4:$P$4,0)))),0)</f>
        <v>100</v>
      </c>
      <c r="I37" s="20">
        <v>81</v>
      </c>
      <c r="J37" s="22">
        <f>IFERROR(MIN(IF(VLOOKUP(F37,'05_Master KPI'!$B$5:$G$100,5,FALSE)="Lower",H37/I37,I37/H37),1),0)</f>
        <v>0.81</v>
      </c>
      <c r="K37" s="9">
        <f>IFERROR(VLOOKUP(F37,'05_Master KPI'!$B$5:$G$100,4,FALSE),0)</f>
        <v>20</v>
      </c>
      <c r="L37" s="23">
        <f t="shared" si="0"/>
        <v>16.200000000000003</v>
      </c>
      <c r="M37" s="9" t="str">
        <f>IF(D37="","",IF(J37&gt;='13_Setting'!$H$7,"Tercapai",IF(J37&gt;='13_Setting'!$H$6,"On Track","Tertinggal")))</f>
        <v>Tertinggal</v>
      </c>
      <c r="N37" s="20" t="s">
        <v>211</v>
      </c>
      <c r="O37" s="1"/>
      <c r="P37" s="1"/>
      <c r="Q37" s="1"/>
      <c r="R37" s="1"/>
      <c r="S37" s="1"/>
      <c r="T37" s="1"/>
      <c r="U37" s="1"/>
      <c r="V37" s="1"/>
      <c r="W37" s="1"/>
      <c r="X37" s="1"/>
      <c r="Y37" s="1"/>
      <c r="Z37" s="1"/>
    </row>
    <row r="38" spans="1:26">
      <c r="A38" s="20" t="s">
        <v>193</v>
      </c>
      <c r="B38" s="20">
        <v>2026</v>
      </c>
      <c r="C38" s="21">
        <v>46081</v>
      </c>
      <c r="D38" s="20" t="s">
        <v>90</v>
      </c>
      <c r="E38" s="9" t="str">
        <f>IFERROR(VLOOKUP(D38,'04_Master Karyawan'!$A$5:$F$50,2,FALSE),"")</f>
        <v>Cantika</v>
      </c>
      <c r="F38" s="20" t="s">
        <v>151</v>
      </c>
      <c r="G38" s="9" t="str">
        <f>IFERROR(VLOOKUP(F38,'05_Master KPI'!$B$5:$G$100,2,FALSE)&amp;" ("&amp;VLOOKUP(F38,'05_Master KPI'!$B$5:$G$100,3,FALSE)&amp;")","")</f>
        <v>Campaign Execution (%)</v>
      </c>
      <c r="H38" s="9">
        <f>IFERROR(IF(B38&lt;&gt;'06_Target KPI'!$B$3,0,IF(VLOOKUP(F38,'05_Master KPI'!$B$5:$G$100,6,FALSE)="Kumulatif",INDEX('06_Target KPI'!$E$5:$P$100,MATCH(F38,'06_Target KPI'!$B$5:$B$100,0),MATCH(A38,'06_Target KPI'!$E$4:$P$4,0))*DAY(C38)/DAY(EOMONTH(C38,0)),INDEX('06_Target KPI'!$E$5:$P$100,MATCH(F38,'06_Target KPI'!$B$5:$B$100,0),MATCH(A38,'06_Target KPI'!$E$4:$P$4,0)))),0)</f>
        <v>100</v>
      </c>
      <c r="I38" s="20">
        <v>80.8</v>
      </c>
      <c r="J38" s="22">
        <f>IFERROR(MIN(IF(VLOOKUP(F38,'05_Master KPI'!$B$5:$G$100,5,FALSE)="Lower",H38/I38,I38/H38),1),0)</f>
        <v>0.80799999999999994</v>
      </c>
      <c r="K38" s="9">
        <f>IFERROR(VLOOKUP(F38,'05_Master KPI'!$B$5:$G$100,4,FALSE),0)</f>
        <v>20</v>
      </c>
      <c r="L38" s="23">
        <f t="shared" si="0"/>
        <v>16.16</v>
      </c>
      <c r="M38" s="9" t="str">
        <f>IF(D38="","",IF(J38&gt;='13_Setting'!$H$7,"Tercapai",IF(J38&gt;='13_Setting'!$H$6,"On Track","Tertinggal")))</f>
        <v>Tertinggal</v>
      </c>
      <c r="N38" s="20" t="s">
        <v>211</v>
      </c>
      <c r="O38" s="1"/>
      <c r="P38" s="1"/>
      <c r="Q38" s="1"/>
      <c r="R38" s="1"/>
      <c r="S38" s="1"/>
      <c r="T38" s="1"/>
      <c r="U38" s="1"/>
      <c r="V38" s="1"/>
      <c r="W38" s="1"/>
      <c r="X38" s="1"/>
      <c r="Y38" s="1"/>
      <c r="Z38" s="1"/>
    </row>
    <row r="39" spans="1:26">
      <c r="A39" s="20" t="s">
        <v>193</v>
      </c>
      <c r="B39" s="20">
        <v>2026</v>
      </c>
      <c r="C39" s="21">
        <v>46081</v>
      </c>
      <c r="D39" s="20" t="s">
        <v>90</v>
      </c>
      <c r="E39" s="9" t="str">
        <f>IFERROR(VLOOKUP(D39,'04_Master Karyawan'!$A$5:$F$50,2,FALSE),"")</f>
        <v>Cantika</v>
      </c>
      <c r="F39" s="20" t="s">
        <v>153</v>
      </c>
      <c r="G39" s="9" t="str">
        <f>IFERROR(VLOOKUP(F39,'05_Master KPI'!$B$5:$G$100,2,FALSE)&amp;" ("&amp;VLOOKUP(F39,'05_Master KPI'!$B$5:$G$100,3,FALSE)&amp;")","")</f>
        <v>Lead Conversion (%)</v>
      </c>
      <c r="H39" s="9">
        <f>IFERROR(IF(B39&lt;&gt;'06_Target KPI'!$B$3,0,IF(VLOOKUP(F39,'05_Master KPI'!$B$5:$G$100,6,FALSE)="Kumulatif",INDEX('06_Target KPI'!$E$5:$P$100,MATCH(F39,'06_Target KPI'!$B$5:$B$100,0),MATCH(A39,'06_Target KPI'!$E$4:$P$4,0))*DAY(C39)/DAY(EOMONTH(C39,0)),INDEX('06_Target KPI'!$E$5:$P$100,MATCH(F39,'06_Target KPI'!$B$5:$B$100,0),MATCH(A39,'06_Target KPI'!$E$4:$P$4,0)))),0)</f>
        <v>10</v>
      </c>
      <c r="I39" s="20">
        <v>8.1</v>
      </c>
      <c r="J39" s="22">
        <f>IFERROR(MIN(IF(VLOOKUP(F39,'05_Master KPI'!$B$5:$G$100,5,FALSE)="Lower",H39/I39,I39/H39),1),0)</f>
        <v>0.80999999999999994</v>
      </c>
      <c r="K39" s="9">
        <f>IFERROR(VLOOKUP(F39,'05_Master KPI'!$B$5:$G$100,4,FALSE),0)</f>
        <v>20</v>
      </c>
      <c r="L39" s="23">
        <f t="shared" si="0"/>
        <v>16.2</v>
      </c>
      <c r="M39" s="9" t="str">
        <f>IF(D39="","",IF(J39&gt;='13_Setting'!$H$7,"Tercapai",IF(J39&gt;='13_Setting'!$H$6,"On Track","Tertinggal")))</f>
        <v>Tertinggal</v>
      </c>
      <c r="N39" s="20" t="s">
        <v>211</v>
      </c>
      <c r="O39" s="1"/>
      <c r="P39" s="1"/>
      <c r="Q39" s="1"/>
      <c r="R39" s="1"/>
      <c r="S39" s="1"/>
      <c r="T39" s="1"/>
      <c r="U39" s="1"/>
      <c r="V39" s="1"/>
      <c r="W39" s="1"/>
      <c r="X39" s="1"/>
      <c r="Y39" s="1"/>
      <c r="Z39" s="1"/>
    </row>
    <row r="40" spans="1:26">
      <c r="A40" s="20" t="s">
        <v>193</v>
      </c>
      <c r="B40" s="20">
        <v>2026</v>
      </c>
      <c r="C40" s="21">
        <v>46081</v>
      </c>
      <c r="D40" s="20" t="s">
        <v>90</v>
      </c>
      <c r="E40" s="9" t="str">
        <f>IFERROR(VLOOKUP(D40,'04_Master Karyawan'!$A$5:$F$50,2,FALSE),"")</f>
        <v>Cantika</v>
      </c>
      <c r="F40" s="20" t="s">
        <v>155</v>
      </c>
      <c r="G40" s="9" t="str">
        <f>IFERROR(VLOOKUP(F40,'05_Master KPI'!$B$5:$G$100,2,FALSE)&amp;" ("&amp;VLOOKUP(F40,'05_Master KPI'!$B$5:$G$100,3,FALSE)&amp;")","")</f>
        <v>Reporting (%)</v>
      </c>
      <c r="H40" s="9">
        <f>IFERROR(IF(B40&lt;&gt;'06_Target KPI'!$B$3,0,IF(VLOOKUP(F40,'05_Master KPI'!$B$5:$G$100,6,FALSE)="Kumulatif",INDEX('06_Target KPI'!$E$5:$P$100,MATCH(F40,'06_Target KPI'!$B$5:$B$100,0),MATCH(A40,'06_Target KPI'!$E$4:$P$4,0))*DAY(C40)/DAY(EOMONTH(C40,0)),INDEX('06_Target KPI'!$E$5:$P$100,MATCH(F40,'06_Target KPI'!$B$5:$B$100,0),MATCH(A40,'06_Target KPI'!$E$4:$P$4,0)))),0)</f>
        <v>100</v>
      </c>
      <c r="I40" s="20">
        <v>80.8</v>
      </c>
      <c r="J40" s="22">
        <f>IFERROR(MIN(IF(VLOOKUP(F40,'05_Master KPI'!$B$5:$G$100,5,FALSE)="Lower",H40/I40,I40/H40),1),0)</f>
        <v>0.80799999999999994</v>
      </c>
      <c r="K40" s="9">
        <f>IFERROR(VLOOKUP(F40,'05_Master KPI'!$B$5:$G$100,4,FALSE),0)</f>
        <v>10</v>
      </c>
      <c r="L40" s="23">
        <f t="shared" si="0"/>
        <v>8.08</v>
      </c>
      <c r="M40" s="9" t="str">
        <f>IF(D40="","",IF(J40&gt;='13_Setting'!$H$7,"Tercapai",IF(J40&gt;='13_Setting'!$H$6,"On Track","Tertinggal")))</f>
        <v>Tertinggal</v>
      </c>
      <c r="N40" s="20" t="s">
        <v>211</v>
      </c>
      <c r="O40" s="1"/>
      <c r="P40" s="1"/>
      <c r="Q40" s="1"/>
      <c r="R40" s="1"/>
      <c r="S40" s="1"/>
      <c r="T40" s="1"/>
      <c r="U40" s="1"/>
      <c r="V40" s="1"/>
      <c r="W40" s="1"/>
      <c r="X40" s="1"/>
      <c r="Y40" s="1"/>
      <c r="Z40" s="1"/>
    </row>
    <row r="41" spans="1:26">
      <c r="A41" s="20" t="s">
        <v>193</v>
      </c>
      <c r="B41" s="20">
        <v>2026</v>
      </c>
      <c r="C41" s="21">
        <v>46081</v>
      </c>
      <c r="D41" s="20" t="s">
        <v>92</v>
      </c>
      <c r="E41" s="9" t="str">
        <f>IFERROR(VLOOKUP(D41,'04_Master Karyawan'!$A$5:$F$50,2,FALSE),"")</f>
        <v>Jessie</v>
      </c>
      <c r="F41" s="20" t="s">
        <v>143</v>
      </c>
      <c r="G41" s="9" t="str">
        <f>IFERROR(VLOOKUP(F41,'05_Master KPI'!$B$5:$G$100,2,FALSE)&amp;" ("&amp;VLOOKUP(F41,'05_Master KPI'!$B$5:$G$100,3,FALSE)&amp;")","")</f>
        <v>Content Plan (konten)</v>
      </c>
      <c r="H41" s="9">
        <f>IFERROR(IF(B41&lt;&gt;'06_Target KPI'!$B$3,0,IF(VLOOKUP(F41,'05_Master KPI'!$B$5:$G$100,6,FALSE)="Kumulatif",INDEX('06_Target KPI'!$E$5:$P$100,MATCH(F41,'06_Target KPI'!$B$5:$B$100,0),MATCH(A41,'06_Target KPI'!$E$4:$P$4,0))*DAY(C41)/DAY(EOMONTH(C41,0)),INDEX('06_Target KPI'!$E$5:$P$100,MATCH(F41,'06_Target KPI'!$B$5:$B$100,0),MATCH(A41,'06_Target KPI'!$E$4:$P$4,0)))),0)</f>
        <v>30</v>
      </c>
      <c r="I41" s="20">
        <v>25</v>
      </c>
      <c r="J41" s="22">
        <f>IFERROR(MIN(IF(VLOOKUP(F41,'05_Master KPI'!$B$5:$G$100,5,FALSE)="Lower",H41/I41,I41/H41),1),0)</f>
        <v>0.83333333333333337</v>
      </c>
      <c r="K41" s="9">
        <f>IFERROR(VLOOKUP(F41,'05_Master KPI'!$B$5:$G$100,4,FALSE),0)</f>
        <v>15</v>
      </c>
      <c r="L41" s="23">
        <f t="shared" si="0"/>
        <v>12.5</v>
      </c>
      <c r="M41" s="9" t="str">
        <f>IF(D41="","",IF(J41&gt;='13_Setting'!$H$7,"Tercapai",IF(J41&gt;='13_Setting'!$H$6,"On Track","Tertinggal")))</f>
        <v>Tertinggal</v>
      </c>
      <c r="N41" s="20" t="s">
        <v>211</v>
      </c>
      <c r="O41" s="1"/>
      <c r="P41" s="1"/>
      <c r="Q41" s="1"/>
      <c r="R41" s="1"/>
      <c r="S41" s="1"/>
      <c r="T41" s="1"/>
      <c r="U41" s="1"/>
      <c r="V41" s="1"/>
      <c r="W41" s="1"/>
      <c r="X41" s="1"/>
      <c r="Y41" s="1"/>
      <c r="Z41" s="1"/>
    </row>
    <row r="42" spans="1:26">
      <c r="A42" s="20" t="s">
        <v>193</v>
      </c>
      <c r="B42" s="20">
        <v>2026</v>
      </c>
      <c r="C42" s="21">
        <v>46081</v>
      </c>
      <c r="D42" s="20" t="s">
        <v>92</v>
      </c>
      <c r="E42" s="9" t="str">
        <f>IFERROR(VLOOKUP(D42,'04_Master Karyawan'!$A$5:$F$50,2,FALSE),"")</f>
        <v>Jessie</v>
      </c>
      <c r="F42" s="20" t="s">
        <v>146</v>
      </c>
      <c r="G42" s="9" t="str">
        <f>IFERROR(VLOOKUP(F42,'05_Master KPI'!$B$5:$G$100,2,FALSE)&amp;" ("&amp;VLOOKUP(F42,'05_Master KPI'!$B$5:$G$100,3,FALSE)&amp;")","")</f>
        <v>Engagement Rate (%)</v>
      </c>
      <c r="H42" s="9">
        <f>IFERROR(IF(B42&lt;&gt;'06_Target KPI'!$B$3,0,IF(VLOOKUP(F42,'05_Master KPI'!$B$5:$G$100,6,FALSE)="Kumulatif",INDEX('06_Target KPI'!$E$5:$P$100,MATCH(F42,'06_Target KPI'!$B$5:$B$100,0),MATCH(A42,'06_Target KPI'!$E$4:$P$4,0))*DAY(C42)/DAY(EOMONTH(C42,0)),INDEX('06_Target KPI'!$E$5:$P$100,MATCH(F42,'06_Target KPI'!$B$5:$B$100,0),MATCH(A42,'06_Target KPI'!$E$4:$P$4,0)))),0)</f>
        <v>5</v>
      </c>
      <c r="I42" s="20">
        <v>4.2</v>
      </c>
      <c r="J42" s="22">
        <f>IFERROR(MIN(IF(VLOOKUP(F42,'05_Master KPI'!$B$5:$G$100,5,FALSE)="Lower",H42/I42,I42/H42),1),0)</f>
        <v>0.84000000000000008</v>
      </c>
      <c r="K42" s="9">
        <f>IFERROR(VLOOKUP(F42,'05_Master KPI'!$B$5:$G$100,4,FALSE),0)</f>
        <v>15</v>
      </c>
      <c r="L42" s="23">
        <f t="shared" si="0"/>
        <v>12.600000000000001</v>
      </c>
      <c r="M42" s="9" t="str">
        <f>IF(D42="","",IF(J42&gt;='13_Setting'!$H$7,"Tercapai",IF(J42&gt;='13_Setting'!$H$6,"On Track","Tertinggal")))</f>
        <v>Tertinggal</v>
      </c>
      <c r="N42" s="20" t="s">
        <v>211</v>
      </c>
      <c r="O42" s="1"/>
      <c r="P42" s="1"/>
      <c r="Q42" s="1"/>
      <c r="R42" s="1"/>
      <c r="S42" s="1"/>
      <c r="T42" s="1"/>
      <c r="U42" s="1"/>
      <c r="V42" s="1"/>
      <c r="W42" s="1"/>
      <c r="X42" s="1"/>
      <c r="Y42" s="1"/>
      <c r="Z42" s="1"/>
    </row>
    <row r="43" spans="1:26">
      <c r="A43" s="20" t="s">
        <v>193</v>
      </c>
      <c r="B43" s="20">
        <v>2026</v>
      </c>
      <c r="C43" s="21">
        <v>46081</v>
      </c>
      <c r="D43" s="20" t="s">
        <v>92</v>
      </c>
      <c r="E43" s="9" t="str">
        <f>IFERROR(VLOOKUP(D43,'04_Master Karyawan'!$A$5:$F$50,2,FALSE),"")</f>
        <v>Jessie</v>
      </c>
      <c r="F43" s="20" t="s">
        <v>148</v>
      </c>
      <c r="G43" s="9" t="str">
        <f>IFERROR(VLOOKUP(F43,'05_Master KPI'!$B$5:$G$100,2,FALSE)&amp;" ("&amp;VLOOKUP(F43,'05_Master KPI'!$B$5:$G$100,3,FALSE)&amp;")","")</f>
        <v>Qualified Leads (lead)</v>
      </c>
      <c r="H43" s="9">
        <f>IFERROR(IF(B43&lt;&gt;'06_Target KPI'!$B$3,0,IF(VLOOKUP(F43,'05_Master KPI'!$B$5:$G$100,6,FALSE)="Kumulatif",INDEX('06_Target KPI'!$E$5:$P$100,MATCH(F43,'06_Target KPI'!$B$5:$B$100,0),MATCH(A43,'06_Target KPI'!$E$4:$P$4,0))*DAY(C43)/DAY(EOMONTH(C43,0)),INDEX('06_Target KPI'!$E$5:$P$100,MATCH(F43,'06_Target KPI'!$B$5:$B$100,0),MATCH(A43,'06_Target KPI'!$E$4:$P$4,0)))),0)</f>
        <v>100</v>
      </c>
      <c r="I43" s="20">
        <v>83</v>
      </c>
      <c r="J43" s="22">
        <f>IFERROR(MIN(IF(VLOOKUP(F43,'05_Master KPI'!$B$5:$G$100,5,FALSE)="Lower",H43/I43,I43/H43),1),0)</f>
        <v>0.83</v>
      </c>
      <c r="K43" s="9">
        <f>IFERROR(VLOOKUP(F43,'05_Master KPI'!$B$5:$G$100,4,FALSE),0)</f>
        <v>20</v>
      </c>
      <c r="L43" s="23">
        <f t="shared" si="0"/>
        <v>16.599999999999998</v>
      </c>
      <c r="M43" s="9" t="str">
        <f>IF(D43="","",IF(J43&gt;='13_Setting'!$H$7,"Tercapai",IF(J43&gt;='13_Setting'!$H$6,"On Track","Tertinggal")))</f>
        <v>Tertinggal</v>
      </c>
      <c r="N43" s="20" t="s">
        <v>211</v>
      </c>
      <c r="O43" s="1"/>
      <c r="P43" s="1"/>
      <c r="Q43" s="1"/>
      <c r="R43" s="1"/>
      <c r="S43" s="1"/>
      <c r="T43" s="1"/>
      <c r="U43" s="1"/>
      <c r="V43" s="1"/>
      <c r="W43" s="1"/>
      <c r="X43" s="1"/>
      <c r="Y43" s="1"/>
      <c r="Z43" s="1"/>
    </row>
    <row r="44" spans="1:26">
      <c r="A44" s="20" t="s">
        <v>193</v>
      </c>
      <c r="B44" s="20">
        <v>2026</v>
      </c>
      <c r="C44" s="21">
        <v>46081</v>
      </c>
      <c r="D44" s="20" t="s">
        <v>92</v>
      </c>
      <c r="E44" s="9" t="str">
        <f>IFERROR(VLOOKUP(D44,'04_Master Karyawan'!$A$5:$F$50,2,FALSE),"")</f>
        <v>Jessie</v>
      </c>
      <c r="F44" s="20" t="s">
        <v>151</v>
      </c>
      <c r="G44" s="9" t="str">
        <f>IFERROR(VLOOKUP(F44,'05_Master KPI'!$B$5:$G$100,2,FALSE)&amp;" ("&amp;VLOOKUP(F44,'05_Master KPI'!$B$5:$G$100,3,FALSE)&amp;")","")</f>
        <v>Campaign Execution (%)</v>
      </c>
      <c r="H44" s="9">
        <f>IFERROR(IF(B44&lt;&gt;'06_Target KPI'!$B$3,0,IF(VLOOKUP(F44,'05_Master KPI'!$B$5:$G$100,6,FALSE)="Kumulatif",INDEX('06_Target KPI'!$E$5:$P$100,MATCH(F44,'06_Target KPI'!$B$5:$B$100,0),MATCH(A44,'06_Target KPI'!$E$4:$P$4,0))*DAY(C44)/DAY(EOMONTH(C44,0)),INDEX('06_Target KPI'!$E$5:$P$100,MATCH(F44,'06_Target KPI'!$B$5:$B$100,0),MATCH(A44,'06_Target KPI'!$E$4:$P$4,0)))),0)</f>
        <v>100</v>
      </c>
      <c r="I44" s="20">
        <v>83.2</v>
      </c>
      <c r="J44" s="22">
        <f>IFERROR(MIN(IF(VLOOKUP(F44,'05_Master KPI'!$B$5:$G$100,5,FALSE)="Lower",H44/I44,I44/H44),1),0)</f>
        <v>0.83200000000000007</v>
      </c>
      <c r="K44" s="9">
        <f>IFERROR(VLOOKUP(F44,'05_Master KPI'!$B$5:$G$100,4,FALSE),0)</f>
        <v>20</v>
      </c>
      <c r="L44" s="23">
        <f t="shared" si="0"/>
        <v>16.64</v>
      </c>
      <c r="M44" s="9" t="str">
        <f>IF(D44="","",IF(J44&gt;='13_Setting'!$H$7,"Tercapai",IF(J44&gt;='13_Setting'!$H$6,"On Track","Tertinggal")))</f>
        <v>Tertinggal</v>
      </c>
      <c r="N44" s="20" t="s">
        <v>211</v>
      </c>
      <c r="O44" s="1"/>
      <c r="P44" s="1"/>
      <c r="Q44" s="1"/>
      <c r="R44" s="1"/>
      <c r="S44" s="1"/>
      <c r="T44" s="1"/>
      <c r="U44" s="1"/>
      <c r="V44" s="1"/>
      <c r="W44" s="1"/>
      <c r="X44" s="1"/>
      <c r="Y44" s="1"/>
      <c r="Z44" s="1"/>
    </row>
    <row r="45" spans="1:26">
      <c r="A45" s="20" t="s">
        <v>193</v>
      </c>
      <c r="B45" s="20">
        <v>2026</v>
      </c>
      <c r="C45" s="21">
        <v>46081</v>
      </c>
      <c r="D45" s="20" t="s">
        <v>92</v>
      </c>
      <c r="E45" s="9" t="str">
        <f>IFERROR(VLOOKUP(D45,'04_Master Karyawan'!$A$5:$F$50,2,FALSE),"")</f>
        <v>Jessie</v>
      </c>
      <c r="F45" s="20" t="s">
        <v>153</v>
      </c>
      <c r="G45" s="9" t="str">
        <f>IFERROR(VLOOKUP(F45,'05_Master KPI'!$B$5:$G$100,2,FALSE)&amp;" ("&amp;VLOOKUP(F45,'05_Master KPI'!$B$5:$G$100,3,FALSE)&amp;")","")</f>
        <v>Lead Conversion (%)</v>
      </c>
      <c r="H45" s="9">
        <f>IFERROR(IF(B45&lt;&gt;'06_Target KPI'!$B$3,0,IF(VLOOKUP(F45,'05_Master KPI'!$B$5:$G$100,6,FALSE)="Kumulatif",INDEX('06_Target KPI'!$E$5:$P$100,MATCH(F45,'06_Target KPI'!$B$5:$B$100,0),MATCH(A45,'06_Target KPI'!$E$4:$P$4,0))*DAY(C45)/DAY(EOMONTH(C45,0)),INDEX('06_Target KPI'!$E$5:$P$100,MATCH(F45,'06_Target KPI'!$B$5:$B$100,0),MATCH(A45,'06_Target KPI'!$E$4:$P$4,0)))),0)</f>
        <v>10</v>
      </c>
      <c r="I45" s="20">
        <v>8.3000000000000007</v>
      </c>
      <c r="J45" s="22">
        <f>IFERROR(MIN(IF(VLOOKUP(F45,'05_Master KPI'!$B$5:$G$100,5,FALSE)="Lower",H45/I45,I45/H45),1),0)</f>
        <v>0.83000000000000007</v>
      </c>
      <c r="K45" s="9">
        <f>IFERROR(VLOOKUP(F45,'05_Master KPI'!$B$5:$G$100,4,FALSE),0)</f>
        <v>20</v>
      </c>
      <c r="L45" s="23">
        <f t="shared" si="0"/>
        <v>16.600000000000001</v>
      </c>
      <c r="M45" s="9" t="str">
        <f>IF(D45="","",IF(J45&gt;='13_Setting'!$H$7,"Tercapai",IF(J45&gt;='13_Setting'!$H$6,"On Track","Tertinggal")))</f>
        <v>Tertinggal</v>
      </c>
      <c r="N45" s="20" t="s">
        <v>211</v>
      </c>
      <c r="O45" s="1"/>
      <c r="P45" s="1"/>
      <c r="Q45" s="1"/>
      <c r="R45" s="1"/>
      <c r="S45" s="1"/>
      <c r="T45" s="1"/>
      <c r="U45" s="1"/>
      <c r="V45" s="1"/>
      <c r="W45" s="1"/>
      <c r="X45" s="1"/>
      <c r="Y45" s="1"/>
      <c r="Z45" s="1"/>
    </row>
    <row r="46" spans="1:26">
      <c r="A46" s="20" t="s">
        <v>193</v>
      </c>
      <c r="B46" s="20">
        <v>2026</v>
      </c>
      <c r="C46" s="21">
        <v>46081</v>
      </c>
      <c r="D46" s="20" t="s">
        <v>92</v>
      </c>
      <c r="E46" s="9" t="str">
        <f>IFERROR(VLOOKUP(D46,'04_Master Karyawan'!$A$5:$F$50,2,FALSE),"")</f>
        <v>Jessie</v>
      </c>
      <c r="F46" s="20" t="s">
        <v>155</v>
      </c>
      <c r="G46" s="9" t="str">
        <f>IFERROR(VLOOKUP(F46,'05_Master KPI'!$B$5:$G$100,2,FALSE)&amp;" ("&amp;VLOOKUP(F46,'05_Master KPI'!$B$5:$G$100,3,FALSE)&amp;")","")</f>
        <v>Reporting (%)</v>
      </c>
      <c r="H46" s="9">
        <f>IFERROR(IF(B46&lt;&gt;'06_Target KPI'!$B$3,0,IF(VLOOKUP(F46,'05_Master KPI'!$B$5:$G$100,6,FALSE)="Kumulatif",INDEX('06_Target KPI'!$E$5:$P$100,MATCH(F46,'06_Target KPI'!$B$5:$B$100,0),MATCH(A46,'06_Target KPI'!$E$4:$P$4,0))*DAY(C46)/DAY(EOMONTH(C46,0)),INDEX('06_Target KPI'!$E$5:$P$100,MATCH(F46,'06_Target KPI'!$B$5:$B$100,0),MATCH(A46,'06_Target KPI'!$E$4:$P$4,0)))),0)</f>
        <v>100</v>
      </c>
      <c r="I46" s="20">
        <v>83.2</v>
      </c>
      <c r="J46" s="22">
        <f>IFERROR(MIN(IF(VLOOKUP(F46,'05_Master KPI'!$B$5:$G$100,5,FALSE)="Lower",H46/I46,I46/H46),1),0)</f>
        <v>0.83200000000000007</v>
      </c>
      <c r="K46" s="9">
        <f>IFERROR(VLOOKUP(F46,'05_Master KPI'!$B$5:$G$100,4,FALSE),0)</f>
        <v>10</v>
      </c>
      <c r="L46" s="23">
        <f t="shared" si="0"/>
        <v>8.32</v>
      </c>
      <c r="M46" s="9" t="str">
        <f>IF(D46="","",IF(J46&gt;='13_Setting'!$H$7,"Tercapai",IF(J46&gt;='13_Setting'!$H$6,"On Track","Tertinggal")))</f>
        <v>Tertinggal</v>
      </c>
      <c r="N46" s="20" t="s">
        <v>211</v>
      </c>
      <c r="O46" s="1"/>
      <c r="P46" s="1"/>
      <c r="Q46" s="1"/>
      <c r="R46" s="1"/>
      <c r="S46" s="1"/>
      <c r="T46" s="1"/>
      <c r="U46" s="1"/>
      <c r="V46" s="1"/>
      <c r="W46" s="1"/>
      <c r="X46" s="1"/>
      <c r="Y46" s="1"/>
      <c r="Z46" s="1"/>
    </row>
    <row r="47" spans="1:26">
      <c r="A47" s="20" t="s">
        <v>193</v>
      </c>
      <c r="B47" s="20">
        <v>2026</v>
      </c>
      <c r="C47" s="21">
        <v>46081</v>
      </c>
      <c r="D47" s="20" t="s">
        <v>94</v>
      </c>
      <c r="E47" s="9" t="str">
        <f>IFERROR(VLOOKUP(D47,'04_Master Karyawan'!$A$5:$F$50,2,FALSE),"")</f>
        <v>Kia</v>
      </c>
      <c r="F47" s="20" t="s">
        <v>143</v>
      </c>
      <c r="G47" s="9" t="str">
        <f>IFERROR(VLOOKUP(F47,'05_Master KPI'!$B$5:$G$100,2,FALSE)&amp;" ("&amp;VLOOKUP(F47,'05_Master KPI'!$B$5:$G$100,3,FALSE)&amp;")","")</f>
        <v>Content Plan (konten)</v>
      </c>
      <c r="H47" s="9">
        <f>IFERROR(IF(B47&lt;&gt;'06_Target KPI'!$B$3,0,IF(VLOOKUP(F47,'05_Master KPI'!$B$5:$G$100,6,FALSE)="Kumulatif",INDEX('06_Target KPI'!$E$5:$P$100,MATCH(F47,'06_Target KPI'!$B$5:$B$100,0),MATCH(A47,'06_Target KPI'!$E$4:$P$4,0))*DAY(C47)/DAY(EOMONTH(C47,0)),INDEX('06_Target KPI'!$E$5:$P$100,MATCH(F47,'06_Target KPI'!$B$5:$B$100,0),MATCH(A47,'06_Target KPI'!$E$4:$P$4,0)))),0)</f>
        <v>30</v>
      </c>
      <c r="I47" s="20">
        <v>26</v>
      </c>
      <c r="J47" s="22">
        <f>IFERROR(MIN(IF(VLOOKUP(F47,'05_Master KPI'!$B$5:$G$100,5,FALSE)="Lower",H47/I47,I47/H47),1),0)</f>
        <v>0.8666666666666667</v>
      </c>
      <c r="K47" s="9">
        <f>IFERROR(VLOOKUP(F47,'05_Master KPI'!$B$5:$G$100,4,FALSE),0)</f>
        <v>15</v>
      </c>
      <c r="L47" s="23">
        <f t="shared" si="0"/>
        <v>13</v>
      </c>
      <c r="M47" s="9" t="str">
        <f>IF(D47="","",IF(J47&gt;='13_Setting'!$H$7,"Tercapai",IF(J47&gt;='13_Setting'!$H$6,"On Track","Tertinggal")))</f>
        <v>On Track</v>
      </c>
      <c r="N47" s="20" t="s">
        <v>211</v>
      </c>
      <c r="O47" s="1"/>
      <c r="P47" s="1"/>
      <c r="Q47" s="1"/>
      <c r="R47" s="1"/>
      <c r="S47" s="1"/>
      <c r="T47" s="1"/>
      <c r="U47" s="1"/>
      <c r="V47" s="1"/>
      <c r="W47" s="1"/>
      <c r="X47" s="1"/>
      <c r="Y47" s="1"/>
      <c r="Z47" s="1"/>
    </row>
    <row r="48" spans="1:26">
      <c r="A48" s="20" t="s">
        <v>193</v>
      </c>
      <c r="B48" s="20">
        <v>2026</v>
      </c>
      <c r="C48" s="21">
        <v>46081</v>
      </c>
      <c r="D48" s="20" t="s">
        <v>94</v>
      </c>
      <c r="E48" s="9" t="str">
        <f>IFERROR(VLOOKUP(D48,'04_Master Karyawan'!$A$5:$F$50,2,FALSE),"")</f>
        <v>Kia</v>
      </c>
      <c r="F48" s="20" t="s">
        <v>146</v>
      </c>
      <c r="G48" s="9" t="str">
        <f>IFERROR(VLOOKUP(F48,'05_Master KPI'!$B$5:$G$100,2,FALSE)&amp;" ("&amp;VLOOKUP(F48,'05_Master KPI'!$B$5:$G$100,3,FALSE)&amp;")","")</f>
        <v>Engagement Rate (%)</v>
      </c>
      <c r="H48" s="9">
        <f>IFERROR(IF(B48&lt;&gt;'06_Target KPI'!$B$3,0,IF(VLOOKUP(F48,'05_Master KPI'!$B$5:$G$100,6,FALSE)="Kumulatif",INDEX('06_Target KPI'!$E$5:$P$100,MATCH(F48,'06_Target KPI'!$B$5:$B$100,0),MATCH(A48,'06_Target KPI'!$E$4:$P$4,0))*DAY(C48)/DAY(EOMONTH(C48,0)),INDEX('06_Target KPI'!$E$5:$P$100,MATCH(F48,'06_Target KPI'!$B$5:$B$100,0),MATCH(A48,'06_Target KPI'!$E$4:$P$4,0)))),0)</f>
        <v>5</v>
      </c>
      <c r="I48" s="20">
        <v>4.3</v>
      </c>
      <c r="J48" s="22">
        <f>IFERROR(MIN(IF(VLOOKUP(F48,'05_Master KPI'!$B$5:$G$100,5,FALSE)="Lower",H48/I48,I48/H48),1),0)</f>
        <v>0.86</v>
      </c>
      <c r="K48" s="9">
        <f>IFERROR(VLOOKUP(F48,'05_Master KPI'!$B$5:$G$100,4,FALSE),0)</f>
        <v>15</v>
      </c>
      <c r="L48" s="23">
        <f t="shared" si="0"/>
        <v>12.9</v>
      </c>
      <c r="M48" s="9" t="str">
        <f>IF(D48="","",IF(J48&gt;='13_Setting'!$H$7,"Tercapai",IF(J48&gt;='13_Setting'!$H$6,"On Track","Tertinggal")))</f>
        <v>On Track</v>
      </c>
      <c r="N48" s="20" t="s">
        <v>211</v>
      </c>
      <c r="O48" s="1"/>
      <c r="P48" s="1"/>
      <c r="Q48" s="1"/>
      <c r="R48" s="1"/>
      <c r="S48" s="1"/>
      <c r="T48" s="1"/>
      <c r="U48" s="1"/>
      <c r="V48" s="1"/>
      <c r="W48" s="1"/>
      <c r="X48" s="1"/>
      <c r="Y48" s="1"/>
      <c r="Z48" s="1"/>
    </row>
    <row r="49" spans="1:26">
      <c r="A49" s="20" t="s">
        <v>193</v>
      </c>
      <c r="B49" s="20">
        <v>2026</v>
      </c>
      <c r="C49" s="21">
        <v>46081</v>
      </c>
      <c r="D49" s="20" t="s">
        <v>94</v>
      </c>
      <c r="E49" s="9" t="str">
        <f>IFERROR(VLOOKUP(D49,'04_Master Karyawan'!$A$5:$F$50,2,FALSE),"")</f>
        <v>Kia</v>
      </c>
      <c r="F49" s="20" t="s">
        <v>148</v>
      </c>
      <c r="G49" s="9" t="str">
        <f>IFERROR(VLOOKUP(F49,'05_Master KPI'!$B$5:$G$100,2,FALSE)&amp;" ("&amp;VLOOKUP(F49,'05_Master KPI'!$B$5:$G$100,3,FALSE)&amp;")","")</f>
        <v>Qualified Leads (lead)</v>
      </c>
      <c r="H49" s="9">
        <f>IFERROR(IF(B49&lt;&gt;'06_Target KPI'!$B$3,0,IF(VLOOKUP(F49,'05_Master KPI'!$B$5:$G$100,6,FALSE)="Kumulatif",INDEX('06_Target KPI'!$E$5:$P$100,MATCH(F49,'06_Target KPI'!$B$5:$B$100,0),MATCH(A49,'06_Target KPI'!$E$4:$P$4,0))*DAY(C49)/DAY(EOMONTH(C49,0)),INDEX('06_Target KPI'!$E$5:$P$100,MATCH(F49,'06_Target KPI'!$B$5:$B$100,0),MATCH(A49,'06_Target KPI'!$E$4:$P$4,0)))),0)</f>
        <v>100</v>
      </c>
      <c r="I49" s="20">
        <v>86</v>
      </c>
      <c r="J49" s="22">
        <f>IFERROR(MIN(IF(VLOOKUP(F49,'05_Master KPI'!$B$5:$G$100,5,FALSE)="Lower",H49/I49,I49/H49),1),0)</f>
        <v>0.86</v>
      </c>
      <c r="K49" s="9">
        <f>IFERROR(VLOOKUP(F49,'05_Master KPI'!$B$5:$G$100,4,FALSE),0)</f>
        <v>20</v>
      </c>
      <c r="L49" s="23">
        <f t="shared" si="0"/>
        <v>17.2</v>
      </c>
      <c r="M49" s="9" t="str">
        <f>IF(D49="","",IF(J49&gt;='13_Setting'!$H$7,"Tercapai",IF(J49&gt;='13_Setting'!$H$6,"On Track","Tertinggal")))</f>
        <v>On Track</v>
      </c>
      <c r="N49" s="20" t="s">
        <v>211</v>
      </c>
      <c r="O49" s="1"/>
      <c r="P49" s="1"/>
      <c r="Q49" s="1"/>
      <c r="R49" s="1"/>
      <c r="S49" s="1"/>
      <c r="T49" s="1"/>
      <c r="U49" s="1"/>
      <c r="V49" s="1"/>
      <c r="W49" s="1"/>
      <c r="X49" s="1"/>
      <c r="Y49" s="1"/>
      <c r="Z49" s="1"/>
    </row>
    <row r="50" spans="1:26">
      <c r="A50" s="20" t="s">
        <v>193</v>
      </c>
      <c r="B50" s="20">
        <v>2026</v>
      </c>
      <c r="C50" s="21">
        <v>46081</v>
      </c>
      <c r="D50" s="20" t="s">
        <v>94</v>
      </c>
      <c r="E50" s="9" t="str">
        <f>IFERROR(VLOOKUP(D50,'04_Master Karyawan'!$A$5:$F$50,2,FALSE),"")</f>
        <v>Kia</v>
      </c>
      <c r="F50" s="20" t="s">
        <v>151</v>
      </c>
      <c r="G50" s="9" t="str">
        <f>IFERROR(VLOOKUP(F50,'05_Master KPI'!$B$5:$G$100,2,FALSE)&amp;" ("&amp;VLOOKUP(F50,'05_Master KPI'!$B$5:$G$100,3,FALSE)&amp;")","")</f>
        <v>Campaign Execution (%)</v>
      </c>
      <c r="H50" s="9">
        <f>IFERROR(IF(B50&lt;&gt;'06_Target KPI'!$B$3,0,IF(VLOOKUP(F50,'05_Master KPI'!$B$5:$G$100,6,FALSE)="Kumulatif",INDEX('06_Target KPI'!$E$5:$P$100,MATCH(F50,'06_Target KPI'!$B$5:$B$100,0),MATCH(A50,'06_Target KPI'!$E$4:$P$4,0))*DAY(C50)/DAY(EOMONTH(C50,0)),INDEX('06_Target KPI'!$E$5:$P$100,MATCH(F50,'06_Target KPI'!$B$5:$B$100,0),MATCH(A50,'06_Target KPI'!$E$4:$P$4,0)))),0)</f>
        <v>100</v>
      </c>
      <c r="I50" s="20">
        <v>85.8</v>
      </c>
      <c r="J50" s="22">
        <f>IFERROR(MIN(IF(VLOOKUP(F50,'05_Master KPI'!$B$5:$G$100,5,FALSE)="Lower",H50/I50,I50/H50),1),0)</f>
        <v>0.85799999999999998</v>
      </c>
      <c r="K50" s="9">
        <f>IFERROR(VLOOKUP(F50,'05_Master KPI'!$B$5:$G$100,4,FALSE),0)</f>
        <v>20</v>
      </c>
      <c r="L50" s="23">
        <f t="shared" si="0"/>
        <v>17.16</v>
      </c>
      <c r="M50" s="9" t="str">
        <f>IF(D50="","",IF(J50&gt;='13_Setting'!$H$7,"Tercapai",IF(J50&gt;='13_Setting'!$H$6,"On Track","Tertinggal")))</f>
        <v>On Track</v>
      </c>
      <c r="N50" s="20" t="s">
        <v>211</v>
      </c>
      <c r="O50" s="1"/>
      <c r="P50" s="1"/>
      <c r="Q50" s="1"/>
      <c r="R50" s="1"/>
      <c r="S50" s="1"/>
      <c r="T50" s="1"/>
      <c r="U50" s="1"/>
      <c r="V50" s="1"/>
      <c r="W50" s="1"/>
      <c r="X50" s="1"/>
      <c r="Y50" s="1"/>
      <c r="Z50" s="1"/>
    </row>
    <row r="51" spans="1:26">
      <c r="A51" s="20" t="s">
        <v>193</v>
      </c>
      <c r="B51" s="20">
        <v>2026</v>
      </c>
      <c r="C51" s="21">
        <v>46081</v>
      </c>
      <c r="D51" s="20" t="s">
        <v>94</v>
      </c>
      <c r="E51" s="9" t="str">
        <f>IFERROR(VLOOKUP(D51,'04_Master Karyawan'!$A$5:$F$50,2,FALSE),"")</f>
        <v>Kia</v>
      </c>
      <c r="F51" s="20" t="s">
        <v>153</v>
      </c>
      <c r="G51" s="9" t="str">
        <f>IFERROR(VLOOKUP(F51,'05_Master KPI'!$B$5:$G$100,2,FALSE)&amp;" ("&amp;VLOOKUP(F51,'05_Master KPI'!$B$5:$G$100,3,FALSE)&amp;")","")</f>
        <v>Lead Conversion (%)</v>
      </c>
      <c r="H51" s="9">
        <f>IFERROR(IF(B51&lt;&gt;'06_Target KPI'!$B$3,0,IF(VLOOKUP(F51,'05_Master KPI'!$B$5:$G$100,6,FALSE)="Kumulatif",INDEX('06_Target KPI'!$E$5:$P$100,MATCH(F51,'06_Target KPI'!$B$5:$B$100,0),MATCH(A51,'06_Target KPI'!$E$4:$P$4,0))*DAY(C51)/DAY(EOMONTH(C51,0)),INDEX('06_Target KPI'!$E$5:$P$100,MATCH(F51,'06_Target KPI'!$B$5:$B$100,0),MATCH(A51,'06_Target KPI'!$E$4:$P$4,0)))),0)</f>
        <v>10</v>
      </c>
      <c r="I51" s="20">
        <v>8.6</v>
      </c>
      <c r="J51" s="22">
        <f>IFERROR(MIN(IF(VLOOKUP(F51,'05_Master KPI'!$B$5:$G$100,5,FALSE)="Lower",H51/I51,I51/H51),1),0)</f>
        <v>0.86</v>
      </c>
      <c r="K51" s="9">
        <f>IFERROR(VLOOKUP(F51,'05_Master KPI'!$B$5:$G$100,4,FALSE),0)</f>
        <v>20</v>
      </c>
      <c r="L51" s="23">
        <f t="shared" si="0"/>
        <v>17.2</v>
      </c>
      <c r="M51" s="9" t="str">
        <f>IF(D51="","",IF(J51&gt;='13_Setting'!$H$7,"Tercapai",IF(J51&gt;='13_Setting'!$H$6,"On Track","Tertinggal")))</f>
        <v>On Track</v>
      </c>
      <c r="N51" s="20" t="s">
        <v>211</v>
      </c>
      <c r="O51" s="1"/>
      <c r="P51" s="1"/>
      <c r="Q51" s="1"/>
      <c r="R51" s="1"/>
      <c r="S51" s="1"/>
      <c r="T51" s="1"/>
      <c r="U51" s="1"/>
      <c r="V51" s="1"/>
      <c r="W51" s="1"/>
      <c r="X51" s="1"/>
      <c r="Y51" s="1"/>
      <c r="Z51" s="1"/>
    </row>
    <row r="52" spans="1:26">
      <c r="A52" s="20" t="s">
        <v>193</v>
      </c>
      <c r="B52" s="20">
        <v>2026</v>
      </c>
      <c r="C52" s="21">
        <v>46081</v>
      </c>
      <c r="D52" s="20" t="s">
        <v>94</v>
      </c>
      <c r="E52" s="9" t="str">
        <f>IFERROR(VLOOKUP(D52,'04_Master Karyawan'!$A$5:$F$50,2,FALSE),"")</f>
        <v>Kia</v>
      </c>
      <c r="F52" s="20" t="s">
        <v>155</v>
      </c>
      <c r="G52" s="9" t="str">
        <f>IFERROR(VLOOKUP(F52,'05_Master KPI'!$B$5:$G$100,2,FALSE)&amp;" ("&amp;VLOOKUP(F52,'05_Master KPI'!$B$5:$G$100,3,FALSE)&amp;")","")</f>
        <v>Reporting (%)</v>
      </c>
      <c r="H52" s="9">
        <f>IFERROR(IF(B52&lt;&gt;'06_Target KPI'!$B$3,0,IF(VLOOKUP(F52,'05_Master KPI'!$B$5:$G$100,6,FALSE)="Kumulatif",INDEX('06_Target KPI'!$E$5:$P$100,MATCH(F52,'06_Target KPI'!$B$5:$B$100,0),MATCH(A52,'06_Target KPI'!$E$4:$P$4,0))*DAY(C52)/DAY(EOMONTH(C52,0)),INDEX('06_Target KPI'!$E$5:$P$100,MATCH(F52,'06_Target KPI'!$B$5:$B$100,0),MATCH(A52,'06_Target KPI'!$E$4:$P$4,0)))),0)</f>
        <v>100</v>
      </c>
      <c r="I52" s="20">
        <v>85.8</v>
      </c>
      <c r="J52" s="22">
        <f>IFERROR(MIN(IF(VLOOKUP(F52,'05_Master KPI'!$B$5:$G$100,5,FALSE)="Lower",H52/I52,I52/H52),1),0)</f>
        <v>0.85799999999999998</v>
      </c>
      <c r="K52" s="9">
        <f>IFERROR(VLOOKUP(F52,'05_Master KPI'!$B$5:$G$100,4,FALSE),0)</f>
        <v>10</v>
      </c>
      <c r="L52" s="23">
        <f t="shared" si="0"/>
        <v>8.58</v>
      </c>
      <c r="M52" s="9" t="str">
        <f>IF(D52="","",IF(J52&gt;='13_Setting'!$H$7,"Tercapai",IF(J52&gt;='13_Setting'!$H$6,"On Track","Tertinggal")))</f>
        <v>On Track</v>
      </c>
      <c r="N52" s="20" t="s">
        <v>211</v>
      </c>
      <c r="O52" s="1"/>
      <c r="P52" s="1"/>
      <c r="Q52" s="1"/>
      <c r="R52" s="1"/>
      <c r="S52" s="1"/>
      <c r="T52" s="1"/>
      <c r="U52" s="1"/>
      <c r="V52" s="1"/>
      <c r="W52" s="1"/>
      <c r="X52" s="1"/>
      <c r="Y52" s="1"/>
      <c r="Z52" s="1"/>
    </row>
    <row r="53" spans="1:26">
      <c r="A53" s="20" t="s">
        <v>194</v>
      </c>
      <c r="B53" s="20">
        <v>2026</v>
      </c>
      <c r="C53" s="21">
        <v>46112</v>
      </c>
      <c r="D53" s="20" t="s">
        <v>86</v>
      </c>
      <c r="E53" s="9" t="str">
        <f>IFERROR(VLOOKUP(D53,'04_Master Karyawan'!$A$5:$F$50,2,FALSE),"")</f>
        <v>Stephan</v>
      </c>
      <c r="F53" s="20" t="s">
        <v>143</v>
      </c>
      <c r="G53" s="9" t="str">
        <f>IFERROR(VLOOKUP(F53,'05_Master KPI'!$B$5:$G$100,2,FALSE)&amp;" ("&amp;VLOOKUP(F53,'05_Master KPI'!$B$5:$G$100,3,FALSE)&amp;")","")</f>
        <v>Content Plan (konten)</v>
      </c>
      <c r="H53" s="9">
        <f>IFERROR(IF(B53&lt;&gt;'06_Target KPI'!$B$3,0,IF(VLOOKUP(F53,'05_Master KPI'!$B$5:$G$100,6,FALSE)="Kumulatif",INDEX('06_Target KPI'!$E$5:$P$100,MATCH(F53,'06_Target KPI'!$B$5:$B$100,0),MATCH(A53,'06_Target KPI'!$E$4:$P$4,0))*DAY(C53)/DAY(EOMONTH(C53,0)),INDEX('06_Target KPI'!$E$5:$P$100,MATCH(F53,'06_Target KPI'!$B$5:$B$100,0),MATCH(A53,'06_Target KPI'!$E$4:$P$4,0)))),0)</f>
        <v>30</v>
      </c>
      <c r="I53" s="20">
        <v>24</v>
      </c>
      <c r="J53" s="22">
        <f>IFERROR(MIN(IF(VLOOKUP(F53,'05_Master KPI'!$B$5:$G$100,5,FALSE)="Lower",H53/I53,I53/H53),1),0)</f>
        <v>0.8</v>
      </c>
      <c r="K53" s="9">
        <f>IFERROR(VLOOKUP(F53,'05_Master KPI'!$B$5:$G$100,4,FALSE),0)</f>
        <v>15</v>
      </c>
      <c r="L53" s="23">
        <f t="shared" si="0"/>
        <v>12</v>
      </c>
      <c r="M53" s="9" t="str">
        <f>IF(D53="","",IF(J53&gt;='13_Setting'!$H$7,"Tercapai",IF(J53&gt;='13_Setting'!$H$6,"On Track","Tertinggal")))</f>
        <v>Tertinggal</v>
      </c>
      <c r="N53" s="20" t="s">
        <v>211</v>
      </c>
      <c r="O53" s="1"/>
      <c r="P53" s="1"/>
      <c r="Q53" s="1"/>
      <c r="R53" s="1"/>
      <c r="S53" s="1"/>
      <c r="T53" s="1"/>
      <c r="U53" s="1"/>
      <c r="V53" s="1"/>
      <c r="W53" s="1"/>
      <c r="X53" s="1"/>
      <c r="Y53" s="1"/>
      <c r="Z53" s="1"/>
    </row>
    <row r="54" spans="1:26">
      <c r="A54" s="20" t="s">
        <v>194</v>
      </c>
      <c r="B54" s="20">
        <v>2026</v>
      </c>
      <c r="C54" s="21">
        <v>46112</v>
      </c>
      <c r="D54" s="20" t="s">
        <v>86</v>
      </c>
      <c r="E54" s="9" t="str">
        <f>IFERROR(VLOOKUP(D54,'04_Master Karyawan'!$A$5:$F$50,2,FALSE),"")</f>
        <v>Stephan</v>
      </c>
      <c r="F54" s="20" t="s">
        <v>146</v>
      </c>
      <c r="G54" s="9" t="str">
        <f>IFERROR(VLOOKUP(F54,'05_Master KPI'!$B$5:$G$100,2,FALSE)&amp;" ("&amp;VLOOKUP(F54,'05_Master KPI'!$B$5:$G$100,3,FALSE)&amp;")","")</f>
        <v>Engagement Rate (%)</v>
      </c>
      <c r="H54" s="9">
        <f>IFERROR(IF(B54&lt;&gt;'06_Target KPI'!$B$3,0,IF(VLOOKUP(F54,'05_Master KPI'!$B$5:$G$100,6,FALSE)="Kumulatif",INDEX('06_Target KPI'!$E$5:$P$100,MATCH(F54,'06_Target KPI'!$B$5:$B$100,0),MATCH(A54,'06_Target KPI'!$E$4:$P$4,0))*DAY(C54)/DAY(EOMONTH(C54,0)),INDEX('06_Target KPI'!$E$5:$P$100,MATCH(F54,'06_Target KPI'!$B$5:$B$100,0),MATCH(A54,'06_Target KPI'!$E$4:$P$4,0)))),0)</f>
        <v>5</v>
      </c>
      <c r="I54" s="20">
        <v>4</v>
      </c>
      <c r="J54" s="22">
        <f>IFERROR(MIN(IF(VLOOKUP(F54,'05_Master KPI'!$B$5:$G$100,5,FALSE)="Lower",H54/I54,I54/H54),1),0)</f>
        <v>0.8</v>
      </c>
      <c r="K54" s="9">
        <f>IFERROR(VLOOKUP(F54,'05_Master KPI'!$B$5:$G$100,4,FALSE),0)</f>
        <v>15</v>
      </c>
      <c r="L54" s="23">
        <f t="shared" si="0"/>
        <v>12</v>
      </c>
      <c r="M54" s="9" t="str">
        <f>IF(D54="","",IF(J54&gt;='13_Setting'!$H$7,"Tercapai",IF(J54&gt;='13_Setting'!$H$6,"On Track","Tertinggal")))</f>
        <v>Tertinggal</v>
      </c>
      <c r="N54" s="20" t="s">
        <v>211</v>
      </c>
      <c r="O54" s="1"/>
      <c r="P54" s="1"/>
      <c r="Q54" s="1"/>
      <c r="R54" s="1"/>
      <c r="S54" s="1"/>
      <c r="T54" s="1"/>
      <c r="U54" s="1"/>
      <c r="V54" s="1"/>
      <c r="W54" s="1"/>
      <c r="X54" s="1"/>
      <c r="Y54" s="1"/>
      <c r="Z54" s="1"/>
    </row>
    <row r="55" spans="1:26">
      <c r="A55" s="20" t="s">
        <v>194</v>
      </c>
      <c r="B55" s="20">
        <v>2026</v>
      </c>
      <c r="C55" s="21">
        <v>46112</v>
      </c>
      <c r="D55" s="20" t="s">
        <v>86</v>
      </c>
      <c r="E55" s="9" t="str">
        <f>IFERROR(VLOOKUP(D55,'04_Master Karyawan'!$A$5:$F$50,2,FALSE),"")</f>
        <v>Stephan</v>
      </c>
      <c r="F55" s="20" t="s">
        <v>148</v>
      </c>
      <c r="G55" s="9" t="str">
        <f>IFERROR(VLOOKUP(F55,'05_Master KPI'!$B$5:$G$100,2,FALSE)&amp;" ("&amp;VLOOKUP(F55,'05_Master KPI'!$B$5:$G$100,3,FALSE)&amp;")","")</f>
        <v>Qualified Leads (lead)</v>
      </c>
      <c r="H55" s="9">
        <f>IFERROR(IF(B55&lt;&gt;'06_Target KPI'!$B$3,0,IF(VLOOKUP(F55,'05_Master KPI'!$B$5:$G$100,6,FALSE)="Kumulatif",INDEX('06_Target KPI'!$E$5:$P$100,MATCH(F55,'06_Target KPI'!$B$5:$B$100,0),MATCH(A55,'06_Target KPI'!$E$4:$P$4,0))*DAY(C55)/DAY(EOMONTH(C55,0)),INDEX('06_Target KPI'!$E$5:$P$100,MATCH(F55,'06_Target KPI'!$B$5:$B$100,0),MATCH(A55,'06_Target KPI'!$E$4:$P$4,0)))),0)</f>
        <v>100</v>
      </c>
      <c r="I55" s="20">
        <v>80</v>
      </c>
      <c r="J55" s="22">
        <f>IFERROR(MIN(IF(VLOOKUP(F55,'05_Master KPI'!$B$5:$G$100,5,FALSE)="Lower",H55/I55,I55/H55),1),0)</f>
        <v>0.8</v>
      </c>
      <c r="K55" s="9">
        <f>IFERROR(VLOOKUP(F55,'05_Master KPI'!$B$5:$G$100,4,FALSE),0)</f>
        <v>20</v>
      </c>
      <c r="L55" s="23">
        <f t="shared" si="0"/>
        <v>16</v>
      </c>
      <c r="M55" s="9" t="str">
        <f>IF(D55="","",IF(J55&gt;='13_Setting'!$H$7,"Tercapai",IF(J55&gt;='13_Setting'!$H$6,"On Track","Tertinggal")))</f>
        <v>Tertinggal</v>
      </c>
      <c r="N55" s="20" t="s">
        <v>211</v>
      </c>
      <c r="O55" s="1"/>
      <c r="P55" s="1"/>
      <c r="Q55" s="1"/>
      <c r="R55" s="1"/>
      <c r="S55" s="1"/>
      <c r="T55" s="1"/>
      <c r="U55" s="1"/>
      <c r="V55" s="1"/>
      <c r="W55" s="1"/>
      <c r="X55" s="1"/>
      <c r="Y55" s="1"/>
      <c r="Z55" s="1"/>
    </row>
    <row r="56" spans="1:26">
      <c r="A56" s="20" t="s">
        <v>194</v>
      </c>
      <c r="B56" s="20">
        <v>2026</v>
      </c>
      <c r="C56" s="21">
        <v>46112</v>
      </c>
      <c r="D56" s="20" t="s">
        <v>86</v>
      </c>
      <c r="E56" s="9" t="str">
        <f>IFERROR(VLOOKUP(D56,'04_Master Karyawan'!$A$5:$F$50,2,FALSE),"")</f>
        <v>Stephan</v>
      </c>
      <c r="F56" s="20" t="s">
        <v>151</v>
      </c>
      <c r="G56" s="9" t="str">
        <f>IFERROR(VLOOKUP(F56,'05_Master KPI'!$B$5:$G$100,2,FALSE)&amp;" ("&amp;VLOOKUP(F56,'05_Master KPI'!$B$5:$G$100,3,FALSE)&amp;")","")</f>
        <v>Campaign Execution (%)</v>
      </c>
      <c r="H56" s="9">
        <f>IFERROR(IF(B56&lt;&gt;'06_Target KPI'!$B$3,0,IF(VLOOKUP(F56,'05_Master KPI'!$B$5:$G$100,6,FALSE)="Kumulatif",INDEX('06_Target KPI'!$E$5:$P$100,MATCH(F56,'06_Target KPI'!$B$5:$B$100,0),MATCH(A56,'06_Target KPI'!$E$4:$P$4,0))*DAY(C56)/DAY(EOMONTH(C56,0)),INDEX('06_Target KPI'!$E$5:$P$100,MATCH(F56,'06_Target KPI'!$B$5:$B$100,0),MATCH(A56,'06_Target KPI'!$E$4:$P$4,0)))),0)</f>
        <v>100</v>
      </c>
      <c r="I56" s="20">
        <v>80.3</v>
      </c>
      <c r="J56" s="22">
        <f>IFERROR(MIN(IF(VLOOKUP(F56,'05_Master KPI'!$B$5:$G$100,5,FALSE)="Lower",H56/I56,I56/H56),1),0)</f>
        <v>0.80299999999999994</v>
      </c>
      <c r="K56" s="9">
        <f>IFERROR(VLOOKUP(F56,'05_Master KPI'!$B$5:$G$100,4,FALSE),0)</f>
        <v>20</v>
      </c>
      <c r="L56" s="23">
        <f t="shared" si="0"/>
        <v>16.059999999999999</v>
      </c>
      <c r="M56" s="9" t="str">
        <f>IF(D56="","",IF(J56&gt;='13_Setting'!$H$7,"Tercapai",IF(J56&gt;='13_Setting'!$H$6,"On Track","Tertinggal")))</f>
        <v>Tertinggal</v>
      </c>
      <c r="N56" s="20" t="s">
        <v>211</v>
      </c>
      <c r="O56" s="1"/>
      <c r="P56" s="1"/>
      <c r="Q56" s="1"/>
      <c r="R56" s="1"/>
      <c r="S56" s="1"/>
      <c r="T56" s="1"/>
      <c r="U56" s="1"/>
      <c r="V56" s="1"/>
      <c r="W56" s="1"/>
      <c r="X56" s="1"/>
      <c r="Y56" s="1"/>
      <c r="Z56" s="1"/>
    </row>
    <row r="57" spans="1:26">
      <c r="A57" s="20" t="s">
        <v>194</v>
      </c>
      <c r="B57" s="20">
        <v>2026</v>
      </c>
      <c r="C57" s="21">
        <v>46112</v>
      </c>
      <c r="D57" s="20" t="s">
        <v>86</v>
      </c>
      <c r="E57" s="9" t="str">
        <f>IFERROR(VLOOKUP(D57,'04_Master Karyawan'!$A$5:$F$50,2,FALSE),"")</f>
        <v>Stephan</v>
      </c>
      <c r="F57" s="20" t="s">
        <v>153</v>
      </c>
      <c r="G57" s="9" t="str">
        <f>IFERROR(VLOOKUP(F57,'05_Master KPI'!$B$5:$G$100,2,FALSE)&amp;" ("&amp;VLOOKUP(F57,'05_Master KPI'!$B$5:$G$100,3,FALSE)&amp;")","")</f>
        <v>Lead Conversion (%)</v>
      </c>
      <c r="H57" s="9">
        <f>IFERROR(IF(B57&lt;&gt;'06_Target KPI'!$B$3,0,IF(VLOOKUP(F57,'05_Master KPI'!$B$5:$G$100,6,FALSE)="Kumulatif",INDEX('06_Target KPI'!$E$5:$P$100,MATCH(F57,'06_Target KPI'!$B$5:$B$100,0),MATCH(A57,'06_Target KPI'!$E$4:$P$4,0))*DAY(C57)/DAY(EOMONTH(C57,0)),INDEX('06_Target KPI'!$E$5:$P$100,MATCH(F57,'06_Target KPI'!$B$5:$B$100,0),MATCH(A57,'06_Target KPI'!$E$4:$P$4,0)))),0)</f>
        <v>10</v>
      </c>
      <c r="I57" s="20">
        <v>8</v>
      </c>
      <c r="J57" s="22">
        <f>IFERROR(MIN(IF(VLOOKUP(F57,'05_Master KPI'!$B$5:$G$100,5,FALSE)="Lower",H57/I57,I57/H57),1),0)</f>
        <v>0.8</v>
      </c>
      <c r="K57" s="9">
        <f>IFERROR(VLOOKUP(F57,'05_Master KPI'!$B$5:$G$100,4,FALSE),0)</f>
        <v>20</v>
      </c>
      <c r="L57" s="23">
        <f t="shared" si="0"/>
        <v>16</v>
      </c>
      <c r="M57" s="9" t="str">
        <f>IF(D57="","",IF(J57&gt;='13_Setting'!$H$7,"Tercapai",IF(J57&gt;='13_Setting'!$H$6,"On Track","Tertinggal")))</f>
        <v>Tertinggal</v>
      </c>
      <c r="N57" s="20" t="s">
        <v>211</v>
      </c>
      <c r="O57" s="1"/>
      <c r="P57" s="1"/>
      <c r="Q57" s="1"/>
      <c r="R57" s="1"/>
      <c r="S57" s="1"/>
      <c r="T57" s="1"/>
      <c r="U57" s="1"/>
      <c r="V57" s="1"/>
      <c r="W57" s="1"/>
      <c r="X57" s="1"/>
      <c r="Y57" s="1"/>
      <c r="Z57" s="1"/>
    </row>
    <row r="58" spans="1:26">
      <c r="A58" s="20" t="s">
        <v>194</v>
      </c>
      <c r="B58" s="20">
        <v>2026</v>
      </c>
      <c r="C58" s="21">
        <v>46112</v>
      </c>
      <c r="D58" s="20" t="s">
        <v>86</v>
      </c>
      <c r="E58" s="9" t="str">
        <f>IFERROR(VLOOKUP(D58,'04_Master Karyawan'!$A$5:$F$50,2,FALSE),"")</f>
        <v>Stephan</v>
      </c>
      <c r="F58" s="20" t="s">
        <v>155</v>
      </c>
      <c r="G58" s="9" t="str">
        <f>IFERROR(VLOOKUP(F58,'05_Master KPI'!$B$5:$G$100,2,FALSE)&amp;" ("&amp;VLOOKUP(F58,'05_Master KPI'!$B$5:$G$100,3,FALSE)&amp;")","")</f>
        <v>Reporting (%)</v>
      </c>
      <c r="H58" s="9">
        <f>IFERROR(IF(B58&lt;&gt;'06_Target KPI'!$B$3,0,IF(VLOOKUP(F58,'05_Master KPI'!$B$5:$G$100,6,FALSE)="Kumulatif",INDEX('06_Target KPI'!$E$5:$P$100,MATCH(F58,'06_Target KPI'!$B$5:$B$100,0),MATCH(A58,'06_Target KPI'!$E$4:$P$4,0))*DAY(C58)/DAY(EOMONTH(C58,0)),INDEX('06_Target KPI'!$E$5:$P$100,MATCH(F58,'06_Target KPI'!$B$5:$B$100,0),MATCH(A58,'06_Target KPI'!$E$4:$P$4,0)))),0)</f>
        <v>100</v>
      </c>
      <c r="I58" s="20">
        <v>80.3</v>
      </c>
      <c r="J58" s="22">
        <f>IFERROR(MIN(IF(VLOOKUP(F58,'05_Master KPI'!$B$5:$G$100,5,FALSE)="Lower",H58/I58,I58/H58),1),0)</f>
        <v>0.80299999999999994</v>
      </c>
      <c r="K58" s="9">
        <f>IFERROR(VLOOKUP(F58,'05_Master KPI'!$B$5:$G$100,4,FALSE),0)</f>
        <v>10</v>
      </c>
      <c r="L58" s="23">
        <f t="shared" si="0"/>
        <v>8.0299999999999994</v>
      </c>
      <c r="M58" s="9" t="str">
        <f>IF(D58="","",IF(J58&gt;='13_Setting'!$H$7,"Tercapai",IF(J58&gt;='13_Setting'!$H$6,"On Track","Tertinggal")))</f>
        <v>Tertinggal</v>
      </c>
      <c r="N58" s="20" t="s">
        <v>211</v>
      </c>
      <c r="O58" s="1"/>
      <c r="P58" s="1"/>
      <c r="Q58" s="1"/>
      <c r="R58" s="1"/>
      <c r="S58" s="1"/>
      <c r="T58" s="1"/>
      <c r="U58" s="1"/>
      <c r="V58" s="1"/>
      <c r="W58" s="1"/>
      <c r="X58" s="1"/>
      <c r="Y58" s="1"/>
      <c r="Z58" s="1"/>
    </row>
    <row r="59" spans="1:26">
      <c r="A59" s="20" t="s">
        <v>194</v>
      </c>
      <c r="B59" s="20">
        <v>2026</v>
      </c>
      <c r="C59" s="21">
        <v>46112</v>
      </c>
      <c r="D59" s="20" t="s">
        <v>90</v>
      </c>
      <c r="E59" s="9" t="str">
        <f>IFERROR(VLOOKUP(D59,'04_Master Karyawan'!$A$5:$F$50,2,FALSE),"")</f>
        <v>Cantika</v>
      </c>
      <c r="F59" s="20" t="s">
        <v>143</v>
      </c>
      <c r="G59" s="9" t="str">
        <f>IFERROR(VLOOKUP(F59,'05_Master KPI'!$B$5:$G$100,2,FALSE)&amp;" ("&amp;VLOOKUP(F59,'05_Master KPI'!$B$5:$G$100,3,FALSE)&amp;")","")</f>
        <v>Content Plan (konten)</v>
      </c>
      <c r="H59" s="9">
        <f>IFERROR(IF(B59&lt;&gt;'06_Target KPI'!$B$3,0,IF(VLOOKUP(F59,'05_Master KPI'!$B$5:$G$100,6,FALSE)="Kumulatif",INDEX('06_Target KPI'!$E$5:$P$100,MATCH(F59,'06_Target KPI'!$B$5:$B$100,0),MATCH(A59,'06_Target KPI'!$E$4:$P$4,0))*DAY(C59)/DAY(EOMONTH(C59,0)),INDEX('06_Target KPI'!$E$5:$P$100,MATCH(F59,'06_Target KPI'!$B$5:$B$100,0),MATCH(A59,'06_Target KPI'!$E$4:$P$4,0)))),0)</f>
        <v>30</v>
      </c>
      <c r="I59" s="20">
        <v>25</v>
      </c>
      <c r="J59" s="22">
        <f>IFERROR(MIN(IF(VLOOKUP(F59,'05_Master KPI'!$B$5:$G$100,5,FALSE)="Lower",H59/I59,I59/H59),1),0)</f>
        <v>0.83333333333333337</v>
      </c>
      <c r="K59" s="9">
        <f>IFERROR(VLOOKUP(F59,'05_Master KPI'!$B$5:$G$100,4,FALSE),0)</f>
        <v>15</v>
      </c>
      <c r="L59" s="23">
        <f t="shared" si="0"/>
        <v>12.5</v>
      </c>
      <c r="M59" s="9" t="str">
        <f>IF(D59="","",IF(J59&gt;='13_Setting'!$H$7,"Tercapai",IF(J59&gt;='13_Setting'!$H$6,"On Track","Tertinggal")))</f>
        <v>Tertinggal</v>
      </c>
      <c r="N59" s="20" t="s">
        <v>211</v>
      </c>
      <c r="O59" s="1"/>
      <c r="P59" s="1"/>
      <c r="Q59" s="1"/>
      <c r="R59" s="1"/>
      <c r="S59" s="1"/>
      <c r="T59" s="1"/>
      <c r="U59" s="1"/>
      <c r="V59" s="1"/>
      <c r="W59" s="1"/>
      <c r="X59" s="1"/>
      <c r="Y59" s="1"/>
      <c r="Z59" s="1"/>
    </row>
    <row r="60" spans="1:26">
      <c r="A60" s="20" t="s">
        <v>194</v>
      </c>
      <c r="B60" s="20">
        <v>2026</v>
      </c>
      <c r="C60" s="21">
        <v>46112</v>
      </c>
      <c r="D60" s="20" t="s">
        <v>90</v>
      </c>
      <c r="E60" s="9" t="str">
        <f>IFERROR(VLOOKUP(D60,'04_Master Karyawan'!$A$5:$F$50,2,FALSE),"")</f>
        <v>Cantika</v>
      </c>
      <c r="F60" s="20" t="s">
        <v>146</v>
      </c>
      <c r="G60" s="9" t="str">
        <f>IFERROR(VLOOKUP(F60,'05_Master KPI'!$B$5:$G$100,2,FALSE)&amp;" ("&amp;VLOOKUP(F60,'05_Master KPI'!$B$5:$G$100,3,FALSE)&amp;")","")</f>
        <v>Engagement Rate (%)</v>
      </c>
      <c r="H60" s="9">
        <f>IFERROR(IF(B60&lt;&gt;'06_Target KPI'!$B$3,0,IF(VLOOKUP(F60,'05_Master KPI'!$B$5:$G$100,6,FALSE)="Kumulatif",INDEX('06_Target KPI'!$E$5:$P$100,MATCH(F60,'06_Target KPI'!$B$5:$B$100,0),MATCH(A60,'06_Target KPI'!$E$4:$P$4,0))*DAY(C60)/DAY(EOMONTH(C60,0)),INDEX('06_Target KPI'!$E$5:$P$100,MATCH(F60,'06_Target KPI'!$B$5:$B$100,0),MATCH(A60,'06_Target KPI'!$E$4:$P$4,0)))),0)</f>
        <v>5</v>
      </c>
      <c r="I60" s="20">
        <v>4.0999999999999996</v>
      </c>
      <c r="J60" s="22">
        <f>IFERROR(MIN(IF(VLOOKUP(F60,'05_Master KPI'!$B$5:$G$100,5,FALSE)="Lower",H60/I60,I60/H60),1),0)</f>
        <v>0.82</v>
      </c>
      <c r="K60" s="9">
        <f>IFERROR(VLOOKUP(F60,'05_Master KPI'!$B$5:$G$100,4,FALSE),0)</f>
        <v>15</v>
      </c>
      <c r="L60" s="23">
        <f t="shared" si="0"/>
        <v>12.299999999999999</v>
      </c>
      <c r="M60" s="9" t="str">
        <f>IF(D60="","",IF(J60&gt;='13_Setting'!$H$7,"Tercapai",IF(J60&gt;='13_Setting'!$H$6,"On Track","Tertinggal")))</f>
        <v>Tertinggal</v>
      </c>
      <c r="N60" s="20" t="s">
        <v>211</v>
      </c>
      <c r="O60" s="1"/>
      <c r="P60" s="1"/>
      <c r="Q60" s="1"/>
      <c r="R60" s="1"/>
      <c r="S60" s="1"/>
      <c r="T60" s="1"/>
      <c r="U60" s="1"/>
      <c r="V60" s="1"/>
      <c r="W60" s="1"/>
      <c r="X60" s="1"/>
      <c r="Y60" s="1"/>
      <c r="Z60" s="1"/>
    </row>
    <row r="61" spans="1:26">
      <c r="A61" s="20" t="s">
        <v>194</v>
      </c>
      <c r="B61" s="20">
        <v>2026</v>
      </c>
      <c r="C61" s="21">
        <v>46112</v>
      </c>
      <c r="D61" s="20" t="s">
        <v>90</v>
      </c>
      <c r="E61" s="9" t="str">
        <f>IFERROR(VLOOKUP(D61,'04_Master Karyawan'!$A$5:$F$50,2,FALSE),"")</f>
        <v>Cantika</v>
      </c>
      <c r="F61" s="20" t="s">
        <v>148</v>
      </c>
      <c r="G61" s="9" t="str">
        <f>IFERROR(VLOOKUP(F61,'05_Master KPI'!$B$5:$G$100,2,FALSE)&amp;" ("&amp;VLOOKUP(F61,'05_Master KPI'!$B$5:$G$100,3,FALSE)&amp;")","")</f>
        <v>Qualified Leads (lead)</v>
      </c>
      <c r="H61" s="9">
        <f>IFERROR(IF(B61&lt;&gt;'06_Target KPI'!$B$3,0,IF(VLOOKUP(F61,'05_Master KPI'!$B$5:$G$100,6,FALSE)="Kumulatif",INDEX('06_Target KPI'!$E$5:$P$100,MATCH(F61,'06_Target KPI'!$B$5:$B$100,0),MATCH(A61,'06_Target KPI'!$E$4:$P$4,0))*DAY(C61)/DAY(EOMONTH(C61,0)),INDEX('06_Target KPI'!$E$5:$P$100,MATCH(F61,'06_Target KPI'!$B$5:$B$100,0),MATCH(A61,'06_Target KPI'!$E$4:$P$4,0)))),0)</f>
        <v>100</v>
      </c>
      <c r="I61" s="20">
        <v>83</v>
      </c>
      <c r="J61" s="22">
        <f>IFERROR(MIN(IF(VLOOKUP(F61,'05_Master KPI'!$B$5:$G$100,5,FALSE)="Lower",H61/I61,I61/H61),1),0)</f>
        <v>0.83</v>
      </c>
      <c r="K61" s="9">
        <f>IFERROR(VLOOKUP(F61,'05_Master KPI'!$B$5:$G$100,4,FALSE),0)</f>
        <v>20</v>
      </c>
      <c r="L61" s="23">
        <f t="shared" si="0"/>
        <v>16.599999999999998</v>
      </c>
      <c r="M61" s="9" t="str">
        <f>IF(D61="","",IF(J61&gt;='13_Setting'!$H$7,"Tercapai",IF(J61&gt;='13_Setting'!$H$6,"On Track","Tertinggal")))</f>
        <v>Tertinggal</v>
      </c>
      <c r="N61" s="20" t="s">
        <v>211</v>
      </c>
      <c r="O61" s="1"/>
      <c r="P61" s="1"/>
      <c r="Q61" s="1"/>
      <c r="R61" s="1"/>
      <c r="S61" s="1"/>
      <c r="T61" s="1"/>
      <c r="U61" s="1"/>
      <c r="V61" s="1"/>
      <c r="W61" s="1"/>
      <c r="X61" s="1"/>
      <c r="Y61" s="1"/>
      <c r="Z61" s="1"/>
    </row>
    <row r="62" spans="1:26">
      <c r="A62" s="20" t="s">
        <v>194</v>
      </c>
      <c r="B62" s="20">
        <v>2026</v>
      </c>
      <c r="C62" s="21">
        <v>46112</v>
      </c>
      <c r="D62" s="20" t="s">
        <v>90</v>
      </c>
      <c r="E62" s="9" t="str">
        <f>IFERROR(VLOOKUP(D62,'04_Master Karyawan'!$A$5:$F$50,2,FALSE),"")</f>
        <v>Cantika</v>
      </c>
      <c r="F62" s="20" t="s">
        <v>151</v>
      </c>
      <c r="G62" s="9" t="str">
        <f>IFERROR(VLOOKUP(F62,'05_Master KPI'!$B$5:$G$100,2,FALSE)&amp;" ("&amp;VLOOKUP(F62,'05_Master KPI'!$B$5:$G$100,3,FALSE)&amp;")","")</f>
        <v>Campaign Execution (%)</v>
      </c>
      <c r="H62" s="9">
        <f>IFERROR(IF(B62&lt;&gt;'06_Target KPI'!$B$3,0,IF(VLOOKUP(F62,'05_Master KPI'!$B$5:$G$100,6,FALSE)="Kumulatif",INDEX('06_Target KPI'!$E$5:$P$100,MATCH(F62,'06_Target KPI'!$B$5:$B$100,0),MATCH(A62,'06_Target KPI'!$E$4:$P$4,0))*DAY(C62)/DAY(EOMONTH(C62,0)),INDEX('06_Target KPI'!$E$5:$P$100,MATCH(F62,'06_Target KPI'!$B$5:$B$100,0),MATCH(A62,'06_Target KPI'!$E$4:$P$4,0)))),0)</f>
        <v>100</v>
      </c>
      <c r="I62" s="20">
        <v>82.8</v>
      </c>
      <c r="J62" s="22">
        <f>IFERROR(MIN(IF(VLOOKUP(F62,'05_Master KPI'!$B$5:$G$100,5,FALSE)="Lower",H62/I62,I62/H62),1),0)</f>
        <v>0.82799999999999996</v>
      </c>
      <c r="K62" s="9">
        <f>IFERROR(VLOOKUP(F62,'05_Master KPI'!$B$5:$G$100,4,FALSE),0)</f>
        <v>20</v>
      </c>
      <c r="L62" s="23">
        <f t="shared" si="0"/>
        <v>16.559999999999999</v>
      </c>
      <c r="M62" s="9" t="str">
        <f>IF(D62="","",IF(J62&gt;='13_Setting'!$H$7,"Tercapai",IF(J62&gt;='13_Setting'!$H$6,"On Track","Tertinggal")))</f>
        <v>Tertinggal</v>
      </c>
      <c r="N62" s="20" t="s">
        <v>211</v>
      </c>
      <c r="O62" s="1"/>
      <c r="P62" s="1"/>
      <c r="Q62" s="1"/>
      <c r="R62" s="1"/>
      <c r="S62" s="1"/>
      <c r="T62" s="1"/>
      <c r="U62" s="1"/>
      <c r="V62" s="1"/>
      <c r="W62" s="1"/>
      <c r="X62" s="1"/>
      <c r="Y62" s="1"/>
      <c r="Z62" s="1"/>
    </row>
    <row r="63" spans="1:26">
      <c r="A63" s="20" t="s">
        <v>194</v>
      </c>
      <c r="B63" s="20">
        <v>2026</v>
      </c>
      <c r="C63" s="21">
        <v>46112</v>
      </c>
      <c r="D63" s="20" t="s">
        <v>90</v>
      </c>
      <c r="E63" s="9" t="str">
        <f>IFERROR(VLOOKUP(D63,'04_Master Karyawan'!$A$5:$F$50,2,FALSE),"")</f>
        <v>Cantika</v>
      </c>
      <c r="F63" s="20" t="s">
        <v>153</v>
      </c>
      <c r="G63" s="9" t="str">
        <f>IFERROR(VLOOKUP(F63,'05_Master KPI'!$B$5:$G$100,2,FALSE)&amp;" ("&amp;VLOOKUP(F63,'05_Master KPI'!$B$5:$G$100,3,FALSE)&amp;")","")</f>
        <v>Lead Conversion (%)</v>
      </c>
      <c r="H63" s="9">
        <f>IFERROR(IF(B63&lt;&gt;'06_Target KPI'!$B$3,0,IF(VLOOKUP(F63,'05_Master KPI'!$B$5:$G$100,6,FALSE)="Kumulatif",INDEX('06_Target KPI'!$E$5:$P$100,MATCH(F63,'06_Target KPI'!$B$5:$B$100,0),MATCH(A63,'06_Target KPI'!$E$4:$P$4,0))*DAY(C63)/DAY(EOMONTH(C63,0)),INDEX('06_Target KPI'!$E$5:$P$100,MATCH(F63,'06_Target KPI'!$B$5:$B$100,0),MATCH(A63,'06_Target KPI'!$E$4:$P$4,0)))),0)</f>
        <v>10</v>
      </c>
      <c r="I63" s="20">
        <v>8.3000000000000007</v>
      </c>
      <c r="J63" s="22">
        <f>IFERROR(MIN(IF(VLOOKUP(F63,'05_Master KPI'!$B$5:$G$100,5,FALSE)="Lower",H63/I63,I63/H63),1),0)</f>
        <v>0.83000000000000007</v>
      </c>
      <c r="K63" s="9">
        <f>IFERROR(VLOOKUP(F63,'05_Master KPI'!$B$5:$G$100,4,FALSE),0)</f>
        <v>20</v>
      </c>
      <c r="L63" s="23">
        <f t="shared" si="0"/>
        <v>16.600000000000001</v>
      </c>
      <c r="M63" s="9" t="str">
        <f>IF(D63="","",IF(J63&gt;='13_Setting'!$H$7,"Tercapai",IF(J63&gt;='13_Setting'!$H$6,"On Track","Tertinggal")))</f>
        <v>Tertinggal</v>
      </c>
      <c r="N63" s="20" t="s">
        <v>211</v>
      </c>
      <c r="O63" s="1"/>
      <c r="P63" s="1"/>
      <c r="Q63" s="1"/>
      <c r="R63" s="1"/>
      <c r="S63" s="1"/>
      <c r="T63" s="1"/>
      <c r="U63" s="1"/>
      <c r="V63" s="1"/>
      <c r="W63" s="1"/>
      <c r="X63" s="1"/>
      <c r="Y63" s="1"/>
      <c r="Z63" s="1"/>
    </row>
    <row r="64" spans="1:26">
      <c r="A64" s="20" t="s">
        <v>194</v>
      </c>
      <c r="B64" s="20">
        <v>2026</v>
      </c>
      <c r="C64" s="21">
        <v>46112</v>
      </c>
      <c r="D64" s="20" t="s">
        <v>90</v>
      </c>
      <c r="E64" s="9" t="str">
        <f>IFERROR(VLOOKUP(D64,'04_Master Karyawan'!$A$5:$F$50,2,FALSE),"")</f>
        <v>Cantika</v>
      </c>
      <c r="F64" s="20" t="s">
        <v>155</v>
      </c>
      <c r="G64" s="9" t="str">
        <f>IFERROR(VLOOKUP(F64,'05_Master KPI'!$B$5:$G$100,2,FALSE)&amp;" ("&amp;VLOOKUP(F64,'05_Master KPI'!$B$5:$G$100,3,FALSE)&amp;")","")</f>
        <v>Reporting (%)</v>
      </c>
      <c r="H64" s="9">
        <f>IFERROR(IF(B64&lt;&gt;'06_Target KPI'!$B$3,0,IF(VLOOKUP(F64,'05_Master KPI'!$B$5:$G$100,6,FALSE)="Kumulatif",INDEX('06_Target KPI'!$E$5:$P$100,MATCH(F64,'06_Target KPI'!$B$5:$B$100,0),MATCH(A64,'06_Target KPI'!$E$4:$P$4,0))*DAY(C64)/DAY(EOMONTH(C64,0)),INDEX('06_Target KPI'!$E$5:$P$100,MATCH(F64,'06_Target KPI'!$B$5:$B$100,0),MATCH(A64,'06_Target KPI'!$E$4:$P$4,0)))),0)</f>
        <v>100</v>
      </c>
      <c r="I64" s="20">
        <v>82.8</v>
      </c>
      <c r="J64" s="22">
        <f>IFERROR(MIN(IF(VLOOKUP(F64,'05_Master KPI'!$B$5:$G$100,5,FALSE)="Lower",H64/I64,I64/H64),1),0)</f>
        <v>0.82799999999999996</v>
      </c>
      <c r="K64" s="9">
        <f>IFERROR(VLOOKUP(F64,'05_Master KPI'!$B$5:$G$100,4,FALSE),0)</f>
        <v>10</v>
      </c>
      <c r="L64" s="23">
        <f t="shared" si="0"/>
        <v>8.2799999999999994</v>
      </c>
      <c r="M64" s="9" t="str">
        <f>IF(D64="","",IF(J64&gt;='13_Setting'!$H$7,"Tercapai",IF(J64&gt;='13_Setting'!$H$6,"On Track","Tertinggal")))</f>
        <v>Tertinggal</v>
      </c>
      <c r="N64" s="20" t="s">
        <v>211</v>
      </c>
      <c r="O64" s="1"/>
      <c r="P64" s="1"/>
      <c r="Q64" s="1"/>
      <c r="R64" s="1"/>
      <c r="S64" s="1"/>
      <c r="T64" s="1"/>
      <c r="U64" s="1"/>
      <c r="V64" s="1"/>
      <c r="W64" s="1"/>
      <c r="X64" s="1"/>
      <c r="Y64" s="1"/>
      <c r="Z64" s="1"/>
    </row>
    <row r="65" spans="1:26">
      <c r="A65" s="20" t="s">
        <v>194</v>
      </c>
      <c r="B65" s="20">
        <v>2026</v>
      </c>
      <c r="C65" s="21">
        <v>46112</v>
      </c>
      <c r="D65" s="20" t="s">
        <v>92</v>
      </c>
      <c r="E65" s="9" t="str">
        <f>IFERROR(VLOOKUP(D65,'04_Master Karyawan'!$A$5:$F$50,2,FALSE),"")</f>
        <v>Jessie</v>
      </c>
      <c r="F65" s="20" t="s">
        <v>143</v>
      </c>
      <c r="G65" s="9" t="str">
        <f>IFERROR(VLOOKUP(F65,'05_Master KPI'!$B$5:$G$100,2,FALSE)&amp;" ("&amp;VLOOKUP(F65,'05_Master KPI'!$B$5:$G$100,3,FALSE)&amp;")","")</f>
        <v>Content Plan (konten)</v>
      </c>
      <c r="H65" s="9">
        <f>IFERROR(IF(B65&lt;&gt;'06_Target KPI'!$B$3,0,IF(VLOOKUP(F65,'05_Master KPI'!$B$5:$G$100,6,FALSE)="Kumulatif",INDEX('06_Target KPI'!$E$5:$P$100,MATCH(F65,'06_Target KPI'!$B$5:$B$100,0),MATCH(A65,'06_Target KPI'!$E$4:$P$4,0))*DAY(C65)/DAY(EOMONTH(C65,0)),INDEX('06_Target KPI'!$E$5:$P$100,MATCH(F65,'06_Target KPI'!$B$5:$B$100,0),MATCH(A65,'06_Target KPI'!$E$4:$P$4,0)))),0)</f>
        <v>30</v>
      </c>
      <c r="I65" s="20">
        <v>26</v>
      </c>
      <c r="J65" s="22">
        <f>IFERROR(MIN(IF(VLOOKUP(F65,'05_Master KPI'!$B$5:$G$100,5,FALSE)="Lower",H65/I65,I65/H65),1),0)</f>
        <v>0.8666666666666667</v>
      </c>
      <c r="K65" s="9">
        <f>IFERROR(VLOOKUP(F65,'05_Master KPI'!$B$5:$G$100,4,FALSE),0)</f>
        <v>15</v>
      </c>
      <c r="L65" s="23">
        <f t="shared" si="0"/>
        <v>13</v>
      </c>
      <c r="M65" s="9" t="str">
        <f>IF(D65="","",IF(J65&gt;='13_Setting'!$H$7,"Tercapai",IF(J65&gt;='13_Setting'!$H$6,"On Track","Tertinggal")))</f>
        <v>On Track</v>
      </c>
      <c r="N65" s="20" t="s">
        <v>211</v>
      </c>
      <c r="O65" s="1"/>
      <c r="P65" s="1"/>
      <c r="Q65" s="1"/>
      <c r="R65" s="1"/>
      <c r="S65" s="1"/>
      <c r="T65" s="1"/>
      <c r="U65" s="1"/>
      <c r="V65" s="1"/>
      <c r="W65" s="1"/>
      <c r="X65" s="1"/>
      <c r="Y65" s="1"/>
      <c r="Z65" s="1"/>
    </row>
    <row r="66" spans="1:26">
      <c r="A66" s="20" t="s">
        <v>194</v>
      </c>
      <c r="B66" s="20">
        <v>2026</v>
      </c>
      <c r="C66" s="21">
        <v>46112</v>
      </c>
      <c r="D66" s="20" t="s">
        <v>92</v>
      </c>
      <c r="E66" s="9" t="str">
        <f>IFERROR(VLOOKUP(D66,'04_Master Karyawan'!$A$5:$F$50,2,FALSE),"")</f>
        <v>Jessie</v>
      </c>
      <c r="F66" s="20" t="s">
        <v>146</v>
      </c>
      <c r="G66" s="9" t="str">
        <f>IFERROR(VLOOKUP(F66,'05_Master KPI'!$B$5:$G$100,2,FALSE)&amp;" ("&amp;VLOOKUP(F66,'05_Master KPI'!$B$5:$G$100,3,FALSE)&amp;")","")</f>
        <v>Engagement Rate (%)</v>
      </c>
      <c r="H66" s="9">
        <f>IFERROR(IF(B66&lt;&gt;'06_Target KPI'!$B$3,0,IF(VLOOKUP(F66,'05_Master KPI'!$B$5:$G$100,6,FALSE)="Kumulatif",INDEX('06_Target KPI'!$E$5:$P$100,MATCH(F66,'06_Target KPI'!$B$5:$B$100,0),MATCH(A66,'06_Target KPI'!$E$4:$P$4,0))*DAY(C66)/DAY(EOMONTH(C66,0)),INDEX('06_Target KPI'!$E$5:$P$100,MATCH(F66,'06_Target KPI'!$B$5:$B$100,0),MATCH(A66,'06_Target KPI'!$E$4:$P$4,0)))),0)</f>
        <v>5</v>
      </c>
      <c r="I66" s="20">
        <v>4.3</v>
      </c>
      <c r="J66" s="22">
        <f>IFERROR(MIN(IF(VLOOKUP(F66,'05_Master KPI'!$B$5:$G$100,5,FALSE)="Lower",H66/I66,I66/H66),1),0)</f>
        <v>0.86</v>
      </c>
      <c r="K66" s="9">
        <f>IFERROR(VLOOKUP(F66,'05_Master KPI'!$B$5:$G$100,4,FALSE),0)</f>
        <v>15</v>
      </c>
      <c r="L66" s="23">
        <f t="shared" si="0"/>
        <v>12.9</v>
      </c>
      <c r="M66" s="9" t="str">
        <f>IF(D66="","",IF(J66&gt;='13_Setting'!$H$7,"Tercapai",IF(J66&gt;='13_Setting'!$H$6,"On Track","Tertinggal")))</f>
        <v>On Track</v>
      </c>
      <c r="N66" s="20" t="s">
        <v>211</v>
      </c>
      <c r="O66" s="1"/>
      <c r="P66" s="1"/>
      <c r="Q66" s="1"/>
      <c r="R66" s="1"/>
      <c r="S66" s="1"/>
      <c r="T66" s="1"/>
      <c r="U66" s="1"/>
      <c r="V66" s="1"/>
      <c r="W66" s="1"/>
      <c r="X66" s="1"/>
      <c r="Y66" s="1"/>
      <c r="Z66" s="1"/>
    </row>
    <row r="67" spans="1:26">
      <c r="A67" s="20" t="s">
        <v>194</v>
      </c>
      <c r="B67" s="20">
        <v>2026</v>
      </c>
      <c r="C67" s="21">
        <v>46112</v>
      </c>
      <c r="D67" s="20" t="s">
        <v>92</v>
      </c>
      <c r="E67" s="9" t="str">
        <f>IFERROR(VLOOKUP(D67,'04_Master Karyawan'!$A$5:$F$50,2,FALSE),"")</f>
        <v>Jessie</v>
      </c>
      <c r="F67" s="20" t="s">
        <v>148</v>
      </c>
      <c r="G67" s="9" t="str">
        <f>IFERROR(VLOOKUP(F67,'05_Master KPI'!$B$5:$G$100,2,FALSE)&amp;" ("&amp;VLOOKUP(F67,'05_Master KPI'!$B$5:$G$100,3,FALSE)&amp;")","")</f>
        <v>Qualified Leads (lead)</v>
      </c>
      <c r="H67" s="9">
        <f>IFERROR(IF(B67&lt;&gt;'06_Target KPI'!$B$3,0,IF(VLOOKUP(F67,'05_Master KPI'!$B$5:$G$100,6,FALSE)="Kumulatif",INDEX('06_Target KPI'!$E$5:$P$100,MATCH(F67,'06_Target KPI'!$B$5:$B$100,0),MATCH(A67,'06_Target KPI'!$E$4:$P$4,0))*DAY(C67)/DAY(EOMONTH(C67,0)),INDEX('06_Target KPI'!$E$5:$P$100,MATCH(F67,'06_Target KPI'!$B$5:$B$100,0),MATCH(A67,'06_Target KPI'!$E$4:$P$4,0)))),0)</f>
        <v>100</v>
      </c>
      <c r="I67" s="20">
        <v>85</v>
      </c>
      <c r="J67" s="22">
        <f>IFERROR(MIN(IF(VLOOKUP(F67,'05_Master KPI'!$B$5:$G$100,5,FALSE)="Lower",H67/I67,I67/H67),1),0)</f>
        <v>0.85</v>
      </c>
      <c r="K67" s="9">
        <f>IFERROR(VLOOKUP(F67,'05_Master KPI'!$B$5:$G$100,4,FALSE),0)</f>
        <v>20</v>
      </c>
      <c r="L67" s="23">
        <f t="shared" si="0"/>
        <v>17</v>
      </c>
      <c r="M67" s="9" t="str">
        <f>IF(D67="","",IF(J67&gt;='13_Setting'!$H$7,"Tercapai",IF(J67&gt;='13_Setting'!$H$6,"On Track","Tertinggal")))</f>
        <v>On Track</v>
      </c>
      <c r="N67" s="20" t="s">
        <v>211</v>
      </c>
      <c r="O67" s="1"/>
      <c r="P67" s="1"/>
      <c r="Q67" s="1"/>
      <c r="R67" s="1"/>
      <c r="S67" s="1"/>
      <c r="T67" s="1"/>
      <c r="U67" s="1"/>
      <c r="V67" s="1"/>
      <c r="W67" s="1"/>
      <c r="X67" s="1"/>
      <c r="Y67" s="1"/>
      <c r="Z67" s="1"/>
    </row>
    <row r="68" spans="1:26">
      <c r="A68" s="20" t="s">
        <v>194</v>
      </c>
      <c r="B68" s="20">
        <v>2026</v>
      </c>
      <c r="C68" s="21">
        <v>46112</v>
      </c>
      <c r="D68" s="20" t="s">
        <v>92</v>
      </c>
      <c r="E68" s="9" t="str">
        <f>IFERROR(VLOOKUP(D68,'04_Master Karyawan'!$A$5:$F$50,2,FALSE),"")</f>
        <v>Jessie</v>
      </c>
      <c r="F68" s="20" t="s">
        <v>151</v>
      </c>
      <c r="G68" s="9" t="str">
        <f>IFERROR(VLOOKUP(F68,'05_Master KPI'!$B$5:$G$100,2,FALSE)&amp;" ("&amp;VLOOKUP(F68,'05_Master KPI'!$B$5:$G$100,3,FALSE)&amp;")","")</f>
        <v>Campaign Execution (%)</v>
      </c>
      <c r="H68" s="9">
        <f>IFERROR(IF(B68&lt;&gt;'06_Target KPI'!$B$3,0,IF(VLOOKUP(F68,'05_Master KPI'!$B$5:$G$100,6,FALSE)="Kumulatif",INDEX('06_Target KPI'!$E$5:$P$100,MATCH(F68,'06_Target KPI'!$B$5:$B$100,0),MATCH(A68,'06_Target KPI'!$E$4:$P$4,0))*DAY(C68)/DAY(EOMONTH(C68,0)),INDEX('06_Target KPI'!$E$5:$P$100,MATCH(F68,'06_Target KPI'!$B$5:$B$100,0),MATCH(A68,'06_Target KPI'!$E$4:$P$4,0)))),0)</f>
        <v>100</v>
      </c>
      <c r="I68" s="20">
        <v>85.2</v>
      </c>
      <c r="J68" s="22">
        <f>IFERROR(MIN(IF(VLOOKUP(F68,'05_Master KPI'!$B$5:$G$100,5,FALSE)="Lower",H68/I68,I68/H68),1),0)</f>
        <v>0.85199999999999998</v>
      </c>
      <c r="K68" s="9">
        <f>IFERROR(VLOOKUP(F68,'05_Master KPI'!$B$5:$G$100,4,FALSE),0)</f>
        <v>20</v>
      </c>
      <c r="L68" s="23">
        <f t="shared" si="0"/>
        <v>17.04</v>
      </c>
      <c r="M68" s="9" t="str">
        <f>IF(D68="","",IF(J68&gt;='13_Setting'!$H$7,"Tercapai",IF(J68&gt;='13_Setting'!$H$6,"On Track","Tertinggal")))</f>
        <v>On Track</v>
      </c>
      <c r="N68" s="20" t="s">
        <v>211</v>
      </c>
      <c r="O68" s="1"/>
      <c r="P68" s="1"/>
      <c r="Q68" s="1"/>
      <c r="R68" s="1"/>
      <c r="S68" s="1"/>
      <c r="T68" s="1"/>
      <c r="U68" s="1"/>
      <c r="V68" s="1"/>
      <c r="W68" s="1"/>
      <c r="X68" s="1"/>
      <c r="Y68" s="1"/>
      <c r="Z68" s="1"/>
    </row>
    <row r="69" spans="1:26">
      <c r="A69" s="20" t="s">
        <v>194</v>
      </c>
      <c r="B69" s="20">
        <v>2026</v>
      </c>
      <c r="C69" s="21">
        <v>46112</v>
      </c>
      <c r="D69" s="20" t="s">
        <v>92</v>
      </c>
      <c r="E69" s="9" t="str">
        <f>IFERROR(VLOOKUP(D69,'04_Master Karyawan'!$A$5:$F$50,2,FALSE),"")</f>
        <v>Jessie</v>
      </c>
      <c r="F69" s="20" t="s">
        <v>153</v>
      </c>
      <c r="G69" s="9" t="str">
        <f>IFERROR(VLOOKUP(F69,'05_Master KPI'!$B$5:$G$100,2,FALSE)&amp;" ("&amp;VLOOKUP(F69,'05_Master KPI'!$B$5:$G$100,3,FALSE)&amp;")","")</f>
        <v>Lead Conversion (%)</v>
      </c>
      <c r="H69" s="9">
        <f>IFERROR(IF(B69&lt;&gt;'06_Target KPI'!$B$3,0,IF(VLOOKUP(F69,'05_Master KPI'!$B$5:$G$100,6,FALSE)="Kumulatif",INDEX('06_Target KPI'!$E$5:$P$100,MATCH(F69,'06_Target KPI'!$B$5:$B$100,0),MATCH(A69,'06_Target KPI'!$E$4:$P$4,0))*DAY(C69)/DAY(EOMONTH(C69,0)),INDEX('06_Target KPI'!$E$5:$P$100,MATCH(F69,'06_Target KPI'!$B$5:$B$100,0),MATCH(A69,'06_Target KPI'!$E$4:$P$4,0)))),0)</f>
        <v>10</v>
      </c>
      <c r="I69" s="20">
        <v>8.5</v>
      </c>
      <c r="J69" s="22">
        <f>IFERROR(MIN(IF(VLOOKUP(F69,'05_Master KPI'!$B$5:$G$100,5,FALSE)="Lower",H69/I69,I69/H69),1),0)</f>
        <v>0.85</v>
      </c>
      <c r="K69" s="9">
        <f>IFERROR(VLOOKUP(F69,'05_Master KPI'!$B$5:$G$100,4,FALSE),0)</f>
        <v>20</v>
      </c>
      <c r="L69" s="23">
        <f t="shared" ref="L69:L132" si="1">J69*K69</f>
        <v>17</v>
      </c>
      <c r="M69" s="9" t="str">
        <f>IF(D69="","",IF(J69&gt;='13_Setting'!$H$7,"Tercapai",IF(J69&gt;='13_Setting'!$H$6,"On Track","Tertinggal")))</f>
        <v>On Track</v>
      </c>
      <c r="N69" s="20" t="s">
        <v>211</v>
      </c>
      <c r="O69" s="1"/>
      <c r="P69" s="1"/>
      <c r="Q69" s="1"/>
      <c r="R69" s="1"/>
      <c r="S69" s="1"/>
      <c r="T69" s="1"/>
      <c r="U69" s="1"/>
      <c r="V69" s="1"/>
      <c r="W69" s="1"/>
      <c r="X69" s="1"/>
      <c r="Y69" s="1"/>
      <c r="Z69" s="1"/>
    </row>
    <row r="70" spans="1:26">
      <c r="A70" s="20" t="s">
        <v>194</v>
      </c>
      <c r="B70" s="20">
        <v>2026</v>
      </c>
      <c r="C70" s="21">
        <v>46112</v>
      </c>
      <c r="D70" s="20" t="s">
        <v>92</v>
      </c>
      <c r="E70" s="9" t="str">
        <f>IFERROR(VLOOKUP(D70,'04_Master Karyawan'!$A$5:$F$50,2,FALSE),"")</f>
        <v>Jessie</v>
      </c>
      <c r="F70" s="20" t="s">
        <v>155</v>
      </c>
      <c r="G70" s="9" t="str">
        <f>IFERROR(VLOOKUP(F70,'05_Master KPI'!$B$5:$G$100,2,FALSE)&amp;" ("&amp;VLOOKUP(F70,'05_Master KPI'!$B$5:$G$100,3,FALSE)&amp;")","")</f>
        <v>Reporting (%)</v>
      </c>
      <c r="H70" s="9">
        <f>IFERROR(IF(B70&lt;&gt;'06_Target KPI'!$B$3,0,IF(VLOOKUP(F70,'05_Master KPI'!$B$5:$G$100,6,FALSE)="Kumulatif",INDEX('06_Target KPI'!$E$5:$P$100,MATCH(F70,'06_Target KPI'!$B$5:$B$100,0),MATCH(A70,'06_Target KPI'!$E$4:$P$4,0))*DAY(C70)/DAY(EOMONTH(C70,0)),INDEX('06_Target KPI'!$E$5:$P$100,MATCH(F70,'06_Target KPI'!$B$5:$B$100,0),MATCH(A70,'06_Target KPI'!$E$4:$P$4,0)))),0)</f>
        <v>100</v>
      </c>
      <c r="I70" s="20">
        <v>85.2</v>
      </c>
      <c r="J70" s="22">
        <f>IFERROR(MIN(IF(VLOOKUP(F70,'05_Master KPI'!$B$5:$G$100,5,FALSE)="Lower",H70/I70,I70/H70),1),0)</f>
        <v>0.85199999999999998</v>
      </c>
      <c r="K70" s="9">
        <f>IFERROR(VLOOKUP(F70,'05_Master KPI'!$B$5:$G$100,4,FALSE),0)</f>
        <v>10</v>
      </c>
      <c r="L70" s="23">
        <f t="shared" si="1"/>
        <v>8.52</v>
      </c>
      <c r="M70" s="9" t="str">
        <f>IF(D70="","",IF(J70&gt;='13_Setting'!$H$7,"Tercapai",IF(J70&gt;='13_Setting'!$H$6,"On Track","Tertinggal")))</f>
        <v>On Track</v>
      </c>
      <c r="N70" s="20" t="s">
        <v>211</v>
      </c>
      <c r="O70" s="1"/>
      <c r="P70" s="1"/>
      <c r="Q70" s="1"/>
      <c r="R70" s="1"/>
      <c r="S70" s="1"/>
      <c r="T70" s="1"/>
      <c r="U70" s="1"/>
      <c r="V70" s="1"/>
      <c r="W70" s="1"/>
      <c r="X70" s="1"/>
      <c r="Y70" s="1"/>
      <c r="Z70" s="1"/>
    </row>
    <row r="71" spans="1:26">
      <c r="A71" s="20" t="s">
        <v>194</v>
      </c>
      <c r="B71" s="20">
        <v>2026</v>
      </c>
      <c r="C71" s="21">
        <v>46112</v>
      </c>
      <c r="D71" s="20" t="s">
        <v>94</v>
      </c>
      <c r="E71" s="9" t="str">
        <f>IFERROR(VLOOKUP(D71,'04_Master Karyawan'!$A$5:$F$50,2,FALSE),"")</f>
        <v>Kia</v>
      </c>
      <c r="F71" s="20" t="s">
        <v>143</v>
      </c>
      <c r="G71" s="9" t="str">
        <f>IFERROR(VLOOKUP(F71,'05_Master KPI'!$B$5:$G$100,2,FALSE)&amp;" ("&amp;VLOOKUP(F71,'05_Master KPI'!$B$5:$G$100,3,FALSE)&amp;")","")</f>
        <v>Content Plan (konten)</v>
      </c>
      <c r="H71" s="9">
        <f>IFERROR(IF(B71&lt;&gt;'06_Target KPI'!$B$3,0,IF(VLOOKUP(F71,'05_Master KPI'!$B$5:$G$100,6,FALSE)="Kumulatif",INDEX('06_Target KPI'!$E$5:$P$100,MATCH(F71,'06_Target KPI'!$B$5:$B$100,0),MATCH(A71,'06_Target KPI'!$E$4:$P$4,0))*DAY(C71)/DAY(EOMONTH(C71,0)),INDEX('06_Target KPI'!$E$5:$P$100,MATCH(F71,'06_Target KPI'!$B$5:$B$100,0),MATCH(A71,'06_Target KPI'!$E$4:$P$4,0)))),0)</f>
        <v>30</v>
      </c>
      <c r="I71" s="20">
        <v>26</v>
      </c>
      <c r="J71" s="22">
        <f>IFERROR(MIN(IF(VLOOKUP(F71,'05_Master KPI'!$B$5:$G$100,5,FALSE)="Lower",H71/I71,I71/H71),1),0)</f>
        <v>0.8666666666666667</v>
      </c>
      <c r="K71" s="9">
        <f>IFERROR(VLOOKUP(F71,'05_Master KPI'!$B$5:$G$100,4,FALSE),0)</f>
        <v>15</v>
      </c>
      <c r="L71" s="23">
        <f t="shared" si="1"/>
        <v>13</v>
      </c>
      <c r="M71" s="9" t="str">
        <f>IF(D71="","",IF(J71&gt;='13_Setting'!$H$7,"Tercapai",IF(J71&gt;='13_Setting'!$H$6,"On Track","Tertinggal")))</f>
        <v>On Track</v>
      </c>
      <c r="N71" s="20" t="s">
        <v>211</v>
      </c>
      <c r="O71" s="1"/>
      <c r="P71" s="1"/>
      <c r="Q71" s="1"/>
      <c r="R71" s="1"/>
      <c r="S71" s="1"/>
      <c r="T71" s="1"/>
      <c r="U71" s="1"/>
      <c r="V71" s="1"/>
      <c r="W71" s="1"/>
      <c r="X71" s="1"/>
      <c r="Y71" s="1"/>
      <c r="Z71" s="1"/>
    </row>
    <row r="72" spans="1:26">
      <c r="A72" s="20" t="s">
        <v>194</v>
      </c>
      <c r="B72" s="20">
        <v>2026</v>
      </c>
      <c r="C72" s="21">
        <v>46112</v>
      </c>
      <c r="D72" s="20" t="s">
        <v>94</v>
      </c>
      <c r="E72" s="9" t="str">
        <f>IFERROR(VLOOKUP(D72,'04_Master Karyawan'!$A$5:$F$50,2,FALSE),"")</f>
        <v>Kia</v>
      </c>
      <c r="F72" s="20" t="s">
        <v>146</v>
      </c>
      <c r="G72" s="9" t="str">
        <f>IFERROR(VLOOKUP(F72,'05_Master KPI'!$B$5:$G$100,2,FALSE)&amp;" ("&amp;VLOOKUP(F72,'05_Master KPI'!$B$5:$G$100,3,FALSE)&amp;")","")</f>
        <v>Engagement Rate (%)</v>
      </c>
      <c r="H72" s="9">
        <f>IFERROR(IF(B72&lt;&gt;'06_Target KPI'!$B$3,0,IF(VLOOKUP(F72,'05_Master KPI'!$B$5:$G$100,6,FALSE)="Kumulatif",INDEX('06_Target KPI'!$E$5:$P$100,MATCH(F72,'06_Target KPI'!$B$5:$B$100,0),MATCH(A72,'06_Target KPI'!$E$4:$P$4,0))*DAY(C72)/DAY(EOMONTH(C72,0)),INDEX('06_Target KPI'!$E$5:$P$100,MATCH(F72,'06_Target KPI'!$B$5:$B$100,0),MATCH(A72,'06_Target KPI'!$E$4:$P$4,0)))),0)</f>
        <v>5</v>
      </c>
      <c r="I72" s="20">
        <v>4.4000000000000004</v>
      </c>
      <c r="J72" s="22">
        <f>IFERROR(MIN(IF(VLOOKUP(F72,'05_Master KPI'!$B$5:$G$100,5,FALSE)="Lower",H72/I72,I72/H72),1),0)</f>
        <v>0.88000000000000012</v>
      </c>
      <c r="K72" s="9">
        <f>IFERROR(VLOOKUP(F72,'05_Master KPI'!$B$5:$G$100,4,FALSE),0)</f>
        <v>15</v>
      </c>
      <c r="L72" s="23">
        <f t="shared" si="1"/>
        <v>13.200000000000001</v>
      </c>
      <c r="M72" s="9" t="str">
        <f>IF(D72="","",IF(J72&gt;='13_Setting'!$H$7,"Tercapai",IF(J72&gt;='13_Setting'!$H$6,"On Track","Tertinggal")))</f>
        <v>On Track</v>
      </c>
      <c r="N72" s="20" t="s">
        <v>211</v>
      </c>
      <c r="O72" s="1"/>
      <c r="P72" s="1"/>
      <c r="Q72" s="1"/>
      <c r="R72" s="1"/>
      <c r="S72" s="1"/>
      <c r="T72" s="1"/>
      <c r="U72" s="1"/>
      <c r="V72" s="1"/>
      <c r="W72" s="1"/>
      <c r="X72" s="1"/>
      <c r="Y72" s="1"/>
      <c r="Z72" s="1"/>
    </row>
    <row r="73" spans="1:26">
      <c r="A73" s="20" t="s">
        <v>194</v>
      </c>
      <c r="B73" s="20">
        <v>2026</v>
      </c>
      <c r="C73" s="21">
        <v>46112</v>
      </c>
      <c r="D73" s="20" t="s">
        <v>94</v>
      </c>
      <c r="E73" s="9" t="str">
        <f>IFERROR(VLOOKUP(D73,'04_Master Karyawan'!$A$5:$F$50,2,FALSE),"")</f>
        <v>Kia</v>
      </c>
      <c r="F73" s="20" t="s">
        <v>148</v>
      </c>
      <c r="G73" s="9" t="str">
        <f>IFERROR(VLOOKUP(F73,'05_Master KPI'!$B$5:$G$100,2,FALSE)&amp;" ("&amp;VLOOKUP(F73,'05_Master KPI'!$B$5:$G$100,3,FALSE)&amp;")","")</f>
        <v>Qualified Leads (lead)</v>
      </c>
      <c r="H73" s="9">
        <f>IFERROR(IF(B73&lt;&gt;'06_Target KPI'!$B$3,0,IF(VLOOKUP(F73,'05_Master KPI'!$B$5:$G$100,6,FALSE)="Kumulatif",INDEX('06_Target KPI'!$E$5:$P$100,MATCH(F73,'06_Target KPI'!$B$5:$B$100,0),MATCH(A73,'06_Target KPI'!$E$4:$P$4,0))*DAY(C73)/DAY(EOMONTH(C73,0)),INDEX('06_Target KPI'!$E$5:$P$100,MATCH(F73,'06_Target KPI'!$B$5:$B$100,0),MATCH(A73,'06_Target KPI'!$E$4:$P$4,0)))),0)</f>
        <v>100</v>
      </c>
      <c r="I73" s="20">
        <v>88</v>
      </c>
      <c r="J73" s="22">
        <f>IFERROR(MIN(IF(VLOOKUP(F73,'05_Master KPI'!$B$5:$G$100,5,FALSE)="Lower",H73/I73,I73/H73),1),0)</f>
        <v>0.88</v>
      </c>
      <c r="K73" s="9">
        <f>IFERROR(VLOOKUP(F73,'05_Master KPI'!$B$5:$G$100,4,FALSE),0)</f>
        <v>20</v>
      </c>
      <c r="L73" s="23">
        <f t="shared" si="1"/>
        <v>17.600000000000001</v>
      </c>
      <c r="M73" s="9" t="str">
        <f>IF(D73="","",IF(J73&gt;='13_Setting'!$H$7,"Tercapai",IF(J73&gt;='13_Setting'!$H$6,"On Track","Tertinggal")))</f>
        <v>On Track</v>
      </c>
      <c r="N73" s="20" t="s">
        <v>211</v>
      </c>
      <c r="O73" s="1"/>
      <c r="P73" s="1"/>
      <c r="Q73" s="1"/>
      <c r="R73" s="1"/>
      <c r="S73" s="1"/>
      <c r="T73" s="1"/>
      <c r="U73" s="1"/>
      <c r="V73" s="1"/>
      <c r="W73" s="1"/>
      <c r="X73" s="1"/>
      <c r="Y73" s="1"/>
      <c r="Z73" s="1"/>
    </row>
    <row r="74" spans="1:26">
      <c r="A74" s="20" t="s">
        <v>194</v>
      </c>
      <c r="B74" s="20">
        <v>2026</v>
      </c>
      <c r="C74" s="21">
        <v>46112</v>
      </c>
      <c r="D74" s="20" t="s">
        <v>94</v>
      </c>
      <c r="E74" s="9" t="str">
        <f>IFERROR(VLOOKUP(D74,'04_Master Karyawan'!$A$5:$F$50,2,FALSE),"")</f>
        <v>Kia</v>
      </c>
      <c r="F74" s="20" t="s">
        <v>151</v>
      </c>
      <c r="G74" s="9" t="str">
        <f>IFERROR(VLOOKUP(F74,'05_Master KPI'!$B$5:$G$100,2,FALSE)&amp;" ("&amp;VLOOKUP(F74,'05_Master KPI'!$B$5:$G$100,3,FALSE)&amp;")","")</f>
        <v>Campaign Execution (%)</v>
      </c>
      <c r="H74" s="9">
        <f>IFERROR(IF(B74&lt;&gt;'06_Target KPI'!$B$3,0,IF(VLOOKUP(F74,'05_Master KPI'!$B$5:$G$100,6,FALSE)="Kumulatif",INDEX('06_Target KPI'!$E$5:$P$100,MATCH(F74,'06_Target KPI'!$B$5:$B$100,0),MATCH(A74,'06_Target KPI'!$E$4:$P$4,0))*DAY(C74)/DAY(EOMONTH(C74,0)),INDEX('06_Target KPI'!$E$5:$P$100,MATCH(F74,'06_Target KPI'!$B$5:$B$100,0),MATCH(A74,'06_Target KPI'!$E$4:$P$4,0)))),0)</f>
        <v>100</v>
      </c>
      <c r="I74" s="20">
        <v>87.8</v>
      </c>
      <c r="J74" s="22">
        <f>IFERROR(MIN(IF(VLOOKUP(F74,'05_Master KPI'!$B$5:$G$100,5,FALSE)="Lower",H74/I74,I74/H74),1),0)</f>
        <v>0.878</v>
      </c>
      <c r="K74" s="9">
        <f>IFERROR(VLOOKUP(F74,'05_Master KPI'!$B$5:$G$100,4,FALSE),0)</f>
        <v>20</v>
      </c>
      <c r="L74" s="23">
        <f t="shared" si="1"/>
        <v>17.559999999999999</v>
      </c>
      <c r="M74" s="9" t="str">
        <f>IF(D74="","",IF(J74&gt;='13_Setting'!$H$7,"Tercapai",IF(J74&gt;='13_Setting'!$H$6,"On Track","Tertinggal")))</f>
        <v>On Track</v>
      </c>
      <c r="N74" s="20" t="s">
        <v>211</v>
      </c>
      <c r="O74" s="1"/>
      <c r="P74" s="1"/>
      <c r="Q74" s="1"/>
      <c r="R74" s="1"/>
      <c r="S74" s="1"/>
      <c r="T74" s="1"/>
      <c r="U74" s="1"/>
      <c r="V74" s="1"/>
      <c r="W74" s="1"/>
      <c r="X74" s="1"/>
      <c r="Y74" s="1"/>
      <c r="Z74" s="1"/>
    </row>
    <row r="75" spans="1:26">
      <c r="A75" s="20" t="s">
        <v>194</v>
      </c>
      <c r="B75" s="20">
        <v>2026</v>
      </c>
      <c r="C75" s="21">
        <v>46112</v>
      </c>
      <c r="D75" s="20" t="s">
        <v>94</v>
      </c>
      <c r="E75" s="9" t="str">
        <f>IFERROR(VLOOKUP(D75,'04_Master Karyawan'!$A$5:$F$50,2,FALSE),"")</f>
        <v>Kia</v>
      </c>
      <c r="F75" s="20" t="s">
        <v>153</v>
      </c>
      <c r="G75" s="9" t="str">
        <f>IFERROR(VLOOKUP(F75,'05_Master KPI'!$B$5:$G$100,2,FALSE)&amp;" ("&amp;VLOOKUP(F75,'05_Master KPI'!$B$5:$G$100,3,FALSE)&amp;")","")</f>
        <v>Lead Conversion (%)</v>
      </c>
      <c r="H75" s="9">
        <f>IFERROR(IF(B75&lt;&gt;'06_Target KPI'!$B$3,0,IF(VLOOKUP(F75,'05_Master KPI'!$B$5:$G$100,6,FALSE)="Kumulatif",INDEX('06_Target KPI'!$E$5:$P$100,MATCH(F75,'06_Target KPI'!$B$5:$B$100,0),MATCH(A75,'06_Target KPI'!$E$4:$P$4,0))*DAY(C75)/DAY(EOMONTH(C75,0)),INDEX('06_Target KPI'!$E$5:$P$100,MATCH(F75,'06_Target KPI'!$B$5:$B$100,0),MATCH(A75,'06_Target KPI'!$E$4:$P$4,0)))),0)</f>
        <v>10</v>
      </c>
      <c r="I75" s="20">
        <v>8.8000000000000007</v>
      </c>
      <c r="J75" s="22">
        <f>IFERROR(MIN(IF(VLOOKUP(F75,'05_Master KPI'!$B$5:$G$100,5,FALSE)="Lower",H75/I75,I75/H75),1),0)</f>
        <v>0.88000000000000012</v>
      </c>
      <c r="K75" s="9">
        <f>IFERROR(VLOOKUP(F75,'05_Master KPI'!$B$5:$G$100,4,FALSE),0)</f>
        <v>20</v>
      </c>
      <c r="L75" s="23">
        <f t="shared" si="1"/>
        <v>17.600000000000001</v>
      </c>
      <c r="M75" s="9" t="str">
        <f>IF(D75="","",IF(J75&gt;='13_Setting'!$H$7,"Tercapai",IF(J75&gt;='13_Setting'!$H$6,"On Track","Tertinggal")))</f>
        <v>On Track</v>
      </c>
      <c r="N75" s="20" t="s">
        <v>211</v>
      </c>
      <c r="O75" s="1"/>
      <c r="P75" s="1"/>
      <c r="Q75" s="1"/>
      <c r="R75" s="1"/>
      <c r="S75" s="1"/>
      <c r="T75" s="1"/>
      <c r="U75" s="1"/>
      <c r="V75" s="1"/>
      <c r="W75" s="1"/>
      <c r="X75" s="1"/>
      <c r="Y75" s="1"/>
      <c r="Z75" s="1"/>
    </row>
    <row r="76" spans="1:26">
      <c r="A76" s="20" t="s">
        <v>194</v>
      </c>
      <c r="B76" s="20">
        <v>2026</v>
      </c>
      <c r="C76" s="21">
        <v>46112</v>
      </c>
      <c r="D76" s="20" t="s">
        <v>94</v>
      </c>
      <c r="E76" s="9" t="str">
        <f>IFERROR(VLOOKUP(D76,'04_Master Karyawan'!$A$5:$F$50,2,FALSE),"")</f>
        <v>Kia</v>
      </c>
      <c r="F76" s="20" t="s">
        <v>155</v>
      </c>
      <c r="G76" s="9" t="str">
        <f>IFERROR(VLOOKUP(F76,'05_Master KPI'!$B$5:$G$100,2,FALSE)&amp;" ("&amp;VLOOKUP(F76,'05_Master KPI'!$B$5:$G$100,3,FALSE)&amp;")","")</f>
        <v>Reporting (%)</v>
      </c>
      <c r="H76" s="9">
        <f>IFERROR(IF(B76&lt;&gt;'06_Target KPI'!$B$3,0,IF(VLOOKUP(F76,'05_Master KPI'!$B$5:$G$100,6,FALSE)="Kumulatif",INDEX('06_Target KPI'!$E$5:$P$100,MATCH(F76,'06_Target KPI'!$B$5:$B$100,0),MATCH(A76,'06_Target KPI'!$E$4:$P$4,0))*DAY(C76)/DAY(EOMONTH(C76,0)),INDEX('06_Target KPI'!$E$5:$P$100,MATCH(F76,'06_Target KPI'!$B$5:$B$100,0),MATCH(A76,'06_Target KPI'!$E$4:$P$4,0)))),0)</f>
        <v>100</v>
      </c>
      <c r="I76" s="20">
        <v>87.8</v>
      </c>
      <c r="J76" s="22">
        <f>IFERROR(MIN(IF(VLOOKUP(F76,'05_Master KPI'!$B$5:$G$100,5,FALSE)="Lower",H76/I76,I76/H76),1),0)</f>
        <v>0.878</v>
      </c>
      <c r="K76" s="9">
        <f>IFERROR(VLOOKUP(F76,'05_Master KPI'!$B$5:$G$100,4,FALSE),0)</f>
        <v>10</v>
      </c>
      <c r="L76" s="23">
        <f t="shared" si="1"/>
        <v>8.7799999999999994</v>
      </c>
      <c r="M76" s="9" t="str">
        <f>IF(D76="","",IF(J76&gt;='13_Setting'!$H$7,"Tercapai",IF(J76&gt;='13_Setting'!$H$6,"On Track","Tertinggal")))</f>
        <v>On Track</v>
      </c>
      <c r="N76" s="20" t="s">
        <v>211</v>
      </c>
      <c r="O76" s="1"/>
      <c r="P76" s="1"/>
      <c r="Q76" s="1"/>
      <c r="R76" s="1"/>
      <c r="S76" s="1"/>
      <c r="T76" s="1"/>
      <c r="U76" s="1"/>
      <c r="V76" s="1"/>
      <c r="W76" s="1"/>
      <c r="X76" s="1"/>
      <c r="Y76" s="1"/>
      <c r="Z76" s="1"/>
    </row>
    <row r="77" spans="1:26">
      <c r="A77" s="20" t="s">
        <v>195</v>
      </c>
      <c r="B77" s="20">
        <v>2026</v>
      </c>
      <c r="C77" s="21">
        <v>46142</v>
      </c>
      <c r="D77" s="20" t="s">
        <v>86</v>
      </c>
      <c r="E77" s="9" t="str">
        <f>IFERROR(VLOOKUP(D77,'04_Master Karyawan'!$A$5:$F$50,2,FALSE),"")</f>
        <v>Stephan</v>
      </c>
      <c r="F77" s="20" t="s">
        <v>143</v>
      </c>
      <c r="G77" s="9" t="str">
        <f>IFERROR(VLOOKUP(F77,'05_Master KPI'!$B$5:$G$100,2,FALSE)&amp;" ("&amp;VLOOKUP(F77,'05_Master KPI'!$B$5:$G$100,3,FALSE)&amp;")","")</f>
        <v>Content Plan (konten)</v>
      </c>
      <c r="H77" s="9">
        <f>IFERROR(IF(B77&lt;&gt;'06_Target KPI'!$B$3,0,IF(VLOOKUP(F77,'05_Master KPI'!$B$5:$G$100,6,FALSE)="Kumulatif",INDEX('06_Target KPI'!$E$5:$P$100,MATCH(F77,'06_Target KPI'!$B$5:$B$100,0),MATCH(A77,'06_Target KPI'!$E$4:$P$4,0))*DAY(C77)/DAY(EOMONTH(C77,0)),INDEX('06_Target KPI'!$E$5:$P$100,MATCH(F77,'06_Target KPI'!$B$5:$B$100,0),MATCH(A77,'06_Target KPI'!$E$4:$P$4,0)))),0)</f>
        <v>30</v>
      </c>
      <c r="I77" s="20">
        <v>25</v>
      </c>
      <c r="J77" s="22">
        <f>IFERROR(MIN(IF(VLOOKUP(F77,'05_Master KPI'!$B$5:$G$100,5,FALSE)="Lower",H77/I77,I77/H77),1),0)</f>
        <v>0.83333333333333337</v>
      </c>
      <c r="K77" s="9">
        <f>IFERROR(VLOOKUP(F77,'05_Master KPI'!$B$5:$G$100,4,FALSE),0)</f>
        <v>15</v>
      </c>
      <c r="L77" s="23">
        <f t="shared" si="1"/>
        <v>12.5</v>
      </c>
      <c r="M77" s="9" t="str">
        <f>IF(D77="","",IF(J77&gt;='13_Setting'!$H$7,"Tercapai",IF(J77&gt;='13_Setting'!$H$6,"On Track","Tertinggal")))</f>
        <v>Tertinggal</v>
      </c>
      <c r="N77" s="20" t="s">
        <v>211</v>
      </c>
      <c r="O77" s="1"/>
      <c r="P77" s="1"/>
      <c r="Q77" s="1"/>
      <c r="R77" s="1"/>
      <c r="S77" s="1"/>
      <c r="T77" s="1"/>
      <c r="U77" s="1"/>
      <c r="V77" s="1"/>
      <c r="W77" s="1"/>
      <c r="X77" s="1"/>
      <c r="Y77" s="1"/>
      <c r="Z77" s="1"/>
    </row>
    <row r="78" spans="1:26">
      <c r="A78" s="20" t="s">
        <v>195</v>
      </c>
      <c r="B78" s="20">
        <v>2026</v>
      </c>
      <c r="C78" s="21">
        <v>46142</v>
      </c>
      <c r="D78" s="20" t="s">
        <v>86</v>
      </c>
      <c r="E78" s="9" t="str">
        <f>IFERROR(VLOOKUP(D78,'04_Master Karyawan'!$A$5:$F$50,2,FALSE),"")</f>
        <v>Stephan</v>
      </c>
      <c r="F78" s="20" t="s">
        <v>146</v>
      </c>
      <c r="G78" s="9" t="str">
        <f>IFERROR(VLOOKUP(F78,'05_Master KPI'!$B$5:$G$100,2,FALSE)&amp;" ("&amp;VLOOKUP(F78,'05_Master KPI'!$B$5:$G$100,3,FALSE)&amp;")","")</f>
        <v>Engagement Rate (%)</v>
      </c>
      <c r="H78" s="9">
        <f>IFERROR(IF(B78&lt;&gt;'06_Target KPI'!$B$3,0,IF(VLOOKUP(F78,'05_Master KPI'!$B$5:$G$100,6,FALSE)="Kumulatif",INDEX('06_Target KPI'!$E$5:$P$100,MATCH(F78,'06_Target KPI'!$B$5:$B$100,0),MATCH(A78,'06_Target KPI'!$E$4:$P$4,0))*DAY(C78)/DAY(EOMONTH(C78,0)),INDEX('06_Target KPI'!$E$5:$P$100,MATCH(F78,'06_Target KPI'!$B$5:$B$100,0),MATCH(A78,'06_Target KPI'!$E$4:$P$4,0)))),0)</f>
        <v>5</v>
      </c>
      <c r="I78" s="20">
        <v>4.2</v>
      </c>
      <c r="J78" s="22">
        <f>IFERROR(MIN(IF(VLOOKUP(F78,'05_Master KPI'!$B$5:$G$100,5,FALSE)="Lower",H78/I78,I78/H78),1),0)</f>
        <v>0.84000000000000008</v>
      </c>
      <c r="K78" s="9">
        <f>IFERROR(VLOOKUP(F78,'05_Master KPI'!$B$5:$G$100,4,FALSE),0)</f>
        <v>15</v>
      </c>
      <c r="L78" s="23">
        <f t="shared" si="1"/>
        <v>12.600000000000001</v>
      </c>
      <c r="M78" s="9" t="str">
        <f>IF(D78="","",IF(J78&gt;='13_Setting'!$H$7,"Tercapai",IF(J78&gt;='13_Setting'!$H$6,"On Track","Tertinggal")))</f>
        <v>Tertinggal</v>
      </c>
      <c r="N78" s="20" t="s">
        <v>211</v>
      </c>
      <c r="O78" s="1"/>
      <c r="P78" s="1"/>
      <c r="Q78" s="1"/>
      <c r="R78" s="1"/>
      <c r="S78" s="1"/>
      <c r="T78" s="1"/>
      <c r="U78" s="1"/>
      <c r="V78" s="1"/>
      <c r="W78" s="1"/>
      <c r="X78" s="1"/>
      <c r="Y78" s="1"/>
      <c r="Z78" s="1"/>
    </row>
    <row r="79" spans="1:26">
      <c r="A79" s="20" t="s">
        <v>195</v>
      </c>
      <c r="B79" s="20">
        <v>2026</v>
      </c>
      <c r="C79" s="21">
        <v>46142</v>
      </c>
      <c r="D79" s="20" t="s">
        <v>86</v>
      </c>
      <c r="E79" s="9" t="str">
        <f>IFERROR(VLOOKUP(D79,'04_Master Karyawan'!$A$5:$F$50,2,FALSE),"")</f>
        <v>Stephan</v>
      </c>
      <c r="F79" s="20" t="s">
        <v>148</v>
      </c>
      <c r="G79" s="9" t="str">
        <f>IFERROR(VLOOKUP(F79,'05_Master KPI'!$B$5:$G$100,2,FALSE)&amp;" ("&amp;VLOOKUP(F79,'05_Master KPI'!$B$5:$G$100,3,FALSE)&amp;")","")</f>
        <v>Qualified Leads (lead)</v>
      </c>
      <c r="H79" s="9">
        <f>IFERROR(IF(B79&lt;&gt;'06_Target KPI'!$B$3,0,IF(VLOOKUP(F79,'05_Master KPI'!$B$5:$G$100,6,FALSE)="Kumulatif",INDEX('06_Target KPI'!$E$5:$P$100,MATCH(F79,'06_Target KPI'!$B$5:$B$100,0),MATCH(A79,'06_Target KPI'!$E$4:$P$4,0))*DAY(C79)/DAY(EOMONTH(C79,0)),INDEX('06_Target KPI'!$E$5:$P$100,MATCH(F79,'06_Target KPI'!$B$5:$B$100,0),MATCH(A79,'06_Target KPI'!$E$4:$P$4,0)))),0)</f>
        <v>100</v>
      </c>
      <c r="I79" s="20">
        <v>83</v>
      </c>
      <c r="J79" s="22">
        <f>IFERROR(MIN(IF(VLOOKUP(F79,'05_Master KPI'!$B$5:$G$100,5,FALSE)="Lower",H79/I79,I79/H79),1),0)</f>
        <v>0.83</v>
      </c>
      <c r="K79" s="9">
        <f>IFERROR(VLOOKUP(F79,'05_Master KPI'!$B$5:$G$100,4,FALSE),0)</f>
        <v>20</v>
      </c>
      <c r="L79" s="23">
        <f t="shared" si="1"/>
        <v>16.599999999999998</v>
      </c>
      <c r="M79" s="9" t="str">
        <f>IF(D79="","",IF(J79&gt;='13_Setting'!$H$7,"Tercapai",IF(J79&gt;='13_Setting'!$H$6,"On Track","Tertinggal")))</f>
        <v>Tertinggal</v>
      </c>
      <c r="N79" s="20" t="s">
        <v>211</v>
      </c>
      <c r="O79" s="1"/>
      <c r="P79" s="1"/>
      <c r="Q79" s="1"/>
      <c r="R79" s="1"/>
      <c r="S79" s="1"/>
      <c r="T79" s="1"/>
      <c r="U79" s="1"/>
      <c r="V79" s="1"/>
      <c r="W79" s="1"/>
      <c r="X79" s="1"/>
      <c r="Y79" s="1"/>
      <c r="Z79" s="1"/>
    </row>
    <row r="80" spans="1:26">
      <c r="A80" s="20" t="s">
        <v>195</v>
      </c>
      <c r="B80" s="20">
        <v>2026</v>
      </c>
      <c r="C80" s="21">
        <v>46142</v>
      </c>
      <c r="D80" s="20" t="s">
        <v>86</v>
      </c>
      <c r="E80" s="9" t="str">
        <f>IFERROR(VLOOKUP(D80,'04_Master Karyawan'!$A$5:$F$50,2,FALSE),"")</f>
        <v>Stephan</v>
      </c>
      <c r="F80" s="20" t="s">
        <v>151</v>
      </c>
      <c r="G80" s="9" t="str">
        <f>IFERROR(VLOOKUP(F80,'05_Master KPI'!$B$5:$G$100,2,FALSE)&amp;" ("&amp;VLOOKUP(F80,'05_Master KPI'!$B$5:$G$100,3,FALSE)&amp;")","")</f>
        <v>Campaign Execution (%)</v>
      </c>
      <c r="H80" s="9">
        <f>IFERROR(IF(B80&lt;&gt;'06_Target KPI'!$B$3,0,IF(VLOOKUP(F80,'05_Master KPI'!$B$5:$G$100,6,FALSE)="Kumulatif",INDEX('06_Target KPI'!$E$5:$P$100,MATCH(F80,'06_Target KPI'!$B$5:$B$100,0),MATCH(A80,'06_Target KPI'!$E$4:$P$4,0))*DAY(C80)/DAY(EOMONTH(C80,0)),INDEX('06_Target KPI'!$E$5:$P$100,MATCH(F80,'06_Target KPI'!$B$5:$B$100,0),MATCH(A80,'06_Target KPI'!$E$4:$P$4,0)))),0)</f>
        <v>100</v>
      </c>
      <c r="I80" s="20">
        <v>83.3</v>
      </c>
      <c r="J80" s="22">
        <f>IFERROR(MIN(IF(VLOOKUP(F80,'05_Master KPI'!$B$5:$G$100,5,FALSE)="Lower",H80/I80,I80/H80),1),0)</f>
        <v>0.83299999999999996</v>
      </c>
      <c r="K80" s="9">
        <f>IFERROR(VLOOKUP(F80,'05_Master KPI'!$B$5:$G$100,4,FALSE),0)</f>
        <v>20</v>
      </c>
      <c r="L80" s="23">
        <f t="shared" si="1"/>
        <v>16.66</v>
      </c>
      <c r="M80" s="9" t="str">
        <f>IF(D80="","",IF(J80&gt;='13_Setting'!$H$7,"Tercapai",IF(J80&gt;='13_Setting'!$H$6,"On Track","Tertinggal")))</f>
        <v>Tertinggal</v>
      </c>
      <c r="N80" s="20" t="s">
        <v>211</v>
      </c>
      <c r="O80" s="1"/>
      <c r="P80" s="1"/>
      <c r="Q80" s="1"/>
      <c r="R80" s="1"/>
      <c r="S80" s="1"/>
      <c r="T80" s="1"/>
      <c r="U80" s="1"/>
      <c r="V80" s="1"/>
      <c r="W80" s="1"/>
      <c r="X80" s="1"/>
      <c r="Y80" s="1"/>
      <c r="Z80" s="1"/>
    </row>
    <row r="81" spans="1:14">
      <c r="A81" s="24" t="s">
        <v>195</v>
      </c>
      <c r="B81" s="24">
        <v>2026</v>
      </c>
      <c r="C81" s="25">
        <v>46142</v>
      </c>
      <c r="D81" s="24" t="s">
        <v>86</v>
      </c>
      <c r="E81" s="26" t="str">
        <f>IFERROR(VLOOKUP(D81,'04_Master Karyawan'!$A$5:$F$50,2,FALSE),"")</f>
        <v>Stephan</v>
      </c>
      <c r="F81" s="24" t="s">
        <v>153</v>
      </c>
      <c r="G81" s="26" t="str">
        <f>IFERROR(VLOOKUP(F81,'05_Master KPI'!$B$5:$G$100,2,FALSE)&amp;" ("&amp;VLOOKUP(F81,'05_Master KPI'!$B$5:$G$100,3,FALSE)&amp;")","")</f>
        <v>Lead Conversion (%)</v>
      </c>
      <c r="H81" s="26">
        <f>IFERROR(IF(B81&lt;&gt;'06_Target KPI'!$B$3,0,IF(VLOOKUP(F81,'05_Master KPI'!$B$5:$G$100,6,FALSE)="Kumulatif",INDEX('06_Target KPI'!$E$5:$P$100,MATCH(F81,'06_Target KPI'!$B$5:$B$100,0),MATCH(A81,'06_Target KPI'!$E$4:$P$4,0))*DAY(C81)/DAY(EOMONTH(C81,0)),INDEX('06_Target KPI'!$E$5:$P$100,MATCH(F81,'06_Target KPI'!$B$5:$B$100,0),MATCH(A81,'06_Target KPI'!$E$4:$P$4,0)))),0)</f>
        <v>10</v>
      </c>
      <c r="I81" s="24">
        <v>8.3000000000000007</v>
      </c>
      <c r="J81" s="27">
        <f>IFERROR(MIN(IF(VLOOKUP(F81,'05_Master KPI'!$B$5:$G$100,5,FALSE)="Lower",H81/I81,I81/H81),1),0)</f>
        <v>0.83000000000000007</v>
      </c>
      <c r="K81" s="26">
        <f>IFERROR(VLOOKUP(F81,'05_Master KPI'!$B$5:$G$100,4,FALSE),0)</f>
        <v>20</v>
      </c>
      <c r="L81" s="28">
        <f t="shared" si="1"/>
        <v>16.600000000000001</v>
      </c>
      <c r="M81" s="26" t="str">
        <f>IF(D81="","",IF(J81&gt;='13_Setting'!$H$7,"Tercapai",IF(J81&gt;='13_Setting'!$H$6,"On Track","Tertinggal")))</f>
        <v>Tertinggal</v>
      </c>
      <c r="N81" s="24" t="s">
        <v>211</v>
      </c>
    </row>
    <row r="82" spans="1:14">
      <c r="A82" s="24" t="s">
        <v>195</v>
      </c>
      <c r="B82" s="24">
        <v>2026</v>
      </c>
      <c r="C82" s="25">
        <v>46142</v>
      </c>
      <c r="D82" s="24" t="s">
        <v>86</v>
      </c>
      <c r="E82" s="26" t="str">
        <f>IFERROR(VLOOKUP(D82,'04_Master Karyawan'!$A$5:$F$50,2,FALSE),"")</f>
        <v>Stephan</v>
      </c>
      <c r="F82" s="24" t="s">
        <v>155</v>
      </c>
      <c r="G82" s="26" t="str">
        <f>IFERROR(VLOOKUP(F82,'05_Master KPI'!$B$5:$G$100,2,FALSE)&amp;" ("&amp;VLOOKUP(F82,'05_Master KPI'!$B$5:$G$100,3,FALSE)&amp;")","")</f>
        <v>Reporting (%)</v>
      </c>
      <c r="H82" s="26">
        <f>IFERROR(IF(B82&lt;&gt;'06_Target KPI'!$B$3,0,IF(VLOOKUP(F82,'05_Master KPI'!$B$5:$G$100,6,FALSE)="Kumulatif",INDEX('06_Target KPI'!$E$5:$P$100,MATCH(F82,'06_Target KPI'!$B$5:$B$100,0),MATCH(A82,'06_Target KPI'!$E$4:$P$4,0))*DAY(C82)/DAY(EOMONTH(C82,0)),INDEX('06_Target KPI'!$E$5:$P$100,MATCH(F82,'06_Target KPI'!$B$5:$B$100,0),MATCH(A82,'06_Target KPI'!$E$4:$P$4,0)))),0)</f>
        <v>100</v>
      </c>
      <c r="I82" s="24">
        <v>83.3</v>
      </c>
      <c r="J82" s="27">
        <f>IFERROR(MIN(IF(VLOOKUP(F82,'05_Master KPI'!$B$5:$G$100,5,FALSE)="Lower",H82/I82,I82/H82),1),0)</f>
        <v>0.83299999999999996</v>
      </c>
      <c r="K82" s="26">
        <f>IFERROR(VLOOKUP(F82,'05_Master KPI'!$B$5:$G$100,4,FALSE),0)</f>
        <v>10</v>
      </c>
      <c r="L82" s="28">
        <f t="shared" si="1"/>
        <v>8.33</v>
      </c>
      <c r="M82" s="26" t="str">
        <f>IF(D82="","",IF(J82&gt;='13_Setting'!$H$7,"Tercapai",IF(J82&gt;='13_Setting'!$H$6,"On Track","Tertinggal")))</f>
        <v>Tertinggal</v>
      </c>
      <c r="N82" s="24" t="s">
        <v>211</v>
      </c>
    </row>
    <row r="83" spans="1:14">
      <c r="A83" s="24" t="s">
        <v>195</v>
      </c>
      <c r="B83" s="24">
        <v>2026</v>
      </c>
      <c r="C83" s="25">
        <v>46142</v>
      </c>
      <c r="D83" s="24" t="s">
        <v>90</v>
      </c>
      <c r="E83" s="26" t="str">
        <f>IFERROR(VLOOKUP(D83,'04_Master Karyawan'!$A$5:$F$50,2,FALSE),"")</f>
        <v>Cantika</v>
      </c>
      <c r="F83" s="24" t="s">
        <v>143</v>
      </c>
      <c r="G83" s="26" t="str">
        <f>IFERROR(VLOOKUP(F83,'05_Master KPI'!$B$5:$G$100,2,FALSE)&amp;" ("&amp;VLOOKUP(F83,'05_Master KPI'!$B$5:$G$100,3,FALSE)&amp;")","")</f>
        <v>Content Plan (konten)</v>
      </c>
      <c r="H83" s="26">
        <f>IFERROR(IF(B83&lt;&gt;'06_Target KPI'!$B$3,0,IF(VLOOKUP(F83,'05_Master KPI'!$B$5:$G$100,6,FALSE)="Kumulatif",INDEX('06_Target KPI'!$E$5:$P$100,MATCH(F83,'06_Target KPI'!$B$5:$B$100,0),MATCH(A83,'06_Target KPI'!$E$4:$P$4,0))*DAY(C83)/DAY(EOMONTH(C83,0)),INDEX('06_Target KPI'!$E$5:$P$100,MATCH(F83,'06_Target KPI'!$B$5:$B$100,0),MATCH(A83,'06_Target KPI'!$E$4:$P$4,0)))),0)</f>
        <v>30</v>
      </c>
      <c r="I83" s="24">
        <v>26</v>
      </c>
      <c r="J83" s="27">
        <f>IFERROR(MIN(IF(VLOOKUP(F83,'05_Master KPI'!$B$5:$G$100,5,FALSE)="Lower",H83/I83,I83/H83),1),0)</f>
        <v>0.8666666666666667</v>
      </c>
      <c r="K83" s="26">
        <f>IFERROR(VLOOKUP(F83,'05_Master KPI'!$B$5:$G$100,4,FALSE),0)</f>
        <v>15</v>
      </c>
      <c r="L83" s="28">
        <f t="shared" si="1"/>
        <v>13</v>
      </c>
      <c r="M83" s="26" t="str">
        <f>IF(D83="","",IF(J83&gt;='13_Setting'!$H$7,"Tercapai",IF(J83&gt;='13_Setting'!$H$6,"On Track","Tertinggal")))</f>
        <v>On Track</v>
      </c>
      <c r="N83" s="24" t="s">
        <v>211</v>
      </c>
    </row>
    <row r="84" spans="1:14">
      <c r="A84" s="24" t="s">
        <v>195</v>
      </c>
      <c r="B84" s="24">
        <v>2026</v>
      </c>
      <c r="C84" s="25">
        <v>46142</v>
      </c>
      <c r="D84" s="24" t="s">
        <v>90</v>
      </c>
      <c r="E84" s="26" t="str">
        <f>IFERROR(VLOOKUP(D84,'04_Master Karyawan'!$A$5:$F$50,2,FALSE),"")</f>
        <v>Cantika</v>
      </c>
      <c r="F84" s="24" t="s">
        <v>146</v>
      </c>
      <c r="G84" s="26" t="str">
        <f>IFERROR(VLOOKUP(F84,'05_Master KPI'!$B$5:$G$100,2,FALSE)&amp;" ("&amp;VLOOKUP(F84,'05_Master KPI'!$B$5:$G$100,3,FALSE)&amp;")","")</f>
        <v>Engagement Rate (%)</v>
      </c>
      <c r="H84" s="26">
        <f>IFERROR(IF(B84&lt;&gt;'06_Target KPI'!$B$3,0,IF(VLOOKUP(F84,'05_Master KPI'!$B$5:$G$100,6,FALSE)="Kumulatif",INDEX('06_Target KPI'!$E$5:$P$100,MATCH(F84,'06_Target KPI'!$B$5:$B$100,0),MATCH(A84,'06_Target KPI'!$E$4:$P$4,0))*DAY(C84)/DAY(EOMONTH(C84,0)),INDEX('06_Target KPI'!$E$5:$P$100,MATCH(F84,'06_Target KPI'!$B$5:$B$100,0),MATCH(A84,'06_Target KPI'!$E$4:$P$4,0)))),0)</f>
        <v>5</v>
      </c>
      <c r="I84" s="24">
        <v>4.3</v>
      </c>
      <c r="J84" s="27">
        <f>IFERROR(MIN(IF(VLOOKUP(F84,'05_Master KPI'!$B$5:$G$100,5,FALSE)="Lower",H84/I84,I84/H84),1),0)</f>
        <v>0.86</v>
      </c>
      <c r="K84" s="26">
        <f>IFERROR(VLOOKUP(F84,'05_Master KPI'!$B$5:$G$100,4,FALSE),0)</f>
        <v>15</v>
      </c>
      <c r="L84" s="28">
        <f t="shared" si="1"/>
        <v>12.9</v>
      </c>
      <c r="M84" s="26" t="str">
        <f>IF(D84="","",IF(J84&gt;='13_Setting'!$H$7,"Tercapai",IF(J84&gt;='13_Setting'!$H$6,"On Track","Tertinggal")))</f>
        <v>On Track</v>
      </c>
      <c r="N84" s="24" t="s">
        <v>211</v>
      </c>
    </row>
    <row r="85" spans="1:14">
      <c r="A85" s="24" t="s">
        <v>195</v>
      </c>
      <c r="B85" s="24">
        <v>2026</v>
      </c>
      <c r="C85" s="25">
        <v>46142</v>
      </c>
      <c r="D85" s="24" t="s">
        <v>90</v>
      </c>
      <c r="E85" s="26" t="str">
        <f>IFERROR(VLOOKUP(D85,'04_Master Karyawan'!$A$5:$F$50,2,FALSE),"")</f>
        <v>Cantika</v>
      </c>
      <c r="F85" s="24" t="s">
        <v>148</v>
      </c>
      <c r="G85" s="26" t="str">
        <f>IFERROR(VLOOKUP(F85,'05_Master KPI'!$B$5:$G$100,2,FALSE)&amp;" ("&amp;VLOOKUP(F85,'05_Master KPI'!$B$5:$G$100,3,FALSE)&amp;")","")</f>
        <v>Qualified Leads (lead)</v>
      </c>
      <c r="H85" s="26">
        <f>IFERROR(IF(B85&lt;&gt;'06_Target KPI'!$B$3,0,IF(VLOOKUP(F85,'05_Master KPI'!$B$5:$G$100,6,FALSE)="Kumulatif",INDEX('06_Target KPI'!$E$5:$P$100,MATCH(F85,'06_Target KPI'!$B$5:$B$100,0),MATCH(A85,'06_Target KPI'!$E$4:$P$4,0))*DAY(C85)/DAY(EOMONTH(C85,0)),INDEX('06_Target KPI'!$E$5:$P$100,MATCH(F85,'06_Target KPI'!$B$5:$B$100,0),MATCH(A85,'06_Target KPI'!$E$4:$P$4,0)))),0)</f>
        <v>100</v>
      </c>
      <c r="I85" s="24">
        <v>86</v>
      </c>
      <c r="J85" s="27">
        <f>IFERROR(MIN(IF(VLOOKUP(F85,'05_Master KPI'!$B$5:$G$100,5,FALSE)="Lower",H85/I85,I85/H85),1),0)</f>
        <v>0.86</v>
      </c>
      <c r="K85" s="26">
        <f>IFERROR(VLOOKUP(F85,'05_Master KPI'!$B$5:$G$100,4,FALSE),0)</f>
        <v>20</v>
      </c>
      <c r="L85" s="28">
        <f t="shared" si="1"/>
        <v>17.2</v>
      </c>
      <c r="M85" s="26" t="str">
        <f>IF(D85="","",IF(J85&gt;='13_Setting'!$H$7,"Tercapai",IF(J85&gt;='13_Setting'!$H$6,"On Track","Tertinggal")))</f>
        <v>On Track</v>
      </c>
      <c r="N85" s="24" t="s">
        <v>211</v>
      </c>
    </row>
    <row r="86" spans="1:14">
      <c r="A86" s="24" t="s">
        <v>195</v>
      </c>
      <c r="B86" s="24">
        <v>2026</v>
      </c>
      <c r="C86" s="25">
        <v>46142</v>
      </c>
      <c r="D86" s="24" t="s">
        <v>90</v>
      </c>
      <c r="E86" s="26" t="str">
        <f>IFERROR(VLOOKUP(D86,'04_Master Karyawan'!$A$5:$F$50,2,FALSE),"")</f>
        <v>Cantika</v>
      </c>
      <c r="F86" s="24" t="s">
        <v>151</v>
      </c>
      <c r="G86" s="26" t="str">
        <f>IFERROR(VLOOKUP(F86,'05_Master KPI'!$B$5:$G$100,2,FALSE)&amp;" ("&amp;VLOOKUP(F86,'05_Master KPI'!$B$5:$G$100,3,FALSE)&amp;")","")</f>
        <v>Campaign Execution (%)</v>
      </c>
      <c r="H86" s="26">
        <f>IFERROR(IF(B86&lt;&gt;'06_Target KPI'!$B$3,0,IF(VLOOKUP(F86,'05_Master KPI'!$B$5:$G$100,6,FALSE)="Kumulatif",INDEX('06_Target KPI'!$E$5:$P$100,MATCH(F86,'06_Target KPI'!$B$5:$B$100,0),MATCH(A86,'06_Target KPI'!$E$4:$P$4,0))*DAY(C86)/DAY(EOMONTH(C86,0)),INDEX('06_Target KPI'!$E$5:$P$100,MATCH(F86,'06_Target KPI'!$B$5:$B$100,0),MATCH(A86,'06_Target KPI'!$E$4:$P$4,0)))),0)</f>
        <v>100</v>
      </c>
      <c r="I86" s="24">
        <v>85.8</v>
      </c>
      <c r="J86" s="27">
        <f>IFERROR(MIN(IF(VLOOKUP(F86,'05_Master KPI'!$B$5:$G$100,5,FALSE)="Lower",H86/I86,I86/H86),1),0)</f>
        <v>0.85799999999999998</v>
      </c>
      <c r="K86" s="26">
        <f>IFERROR(VLOOKUP(F86,'05_Master KPI'!$B$5:$G$100,4,FALSE),0)</f>
        <v>20</v>
      </c>
      <c r="L86" s="28">
        <f t="shared" si="1"/>
        <v>17.16</v>
      </c>
      <c r="M86" s="26" t="str">
        <f>IF(D86="","",IF(J86&gt;='13_Setting'!$H$7,"Tercapai",IF(J86&gt;='13_Setting'!$H$6,"On Track","Tertinggal")))</f>
        <v>On Track</v>
      </c>
      <c r="N86" s="24" t="s">
        <v>211</v>
      </c>
    </row>
    <row r="87" spans="1:14">
      <c r="A87" s="24" t="s">
        <v>195</v>
      </c>
      <c r="B87" s="24">
        <v>2026</v>
      </c>
      <c r="C87" s="25">
        <v>46142</v>
      </c>
      <c r="D87" s="24" t="s">
        <v>90</v>
      </c>
      <c r="E87" s="26" t="str">
        <f>IFERROR(VLOOKUP(D87,'04_Master Karyawan'!$A$5:$F$50,2,FALSE),"")</f>
        <v>Cantika</v>
      </c>
      <c r="F87" s="24" t="s">
        <v>153</v>
      </c>
      <c r="G87" s="26" t="str">
        <f>IFERROR(VLOOKUP(F87,'05_Master KPI'!$B$5:$G$100,2,FALSE)&amp;" ("&amp;VLOOKUP(F87,'05_Master KPI'!$B$5:$G$100,3,FALSE)&amp;")","")</f>
        <v>Lead Conversion (%)</v>
      </c>
      <c r="H87" s="26">
        <f>IFERROR(IF(B87&lt;&gt;'06_Target KPI'!$B$3,0,IF(VLOOKUP(F87,'05_Master KPI'!$B$5:$G$100,6,FALSE)="Kumulatif",INDEX('06_Target KPI'!$E$5:$P$100,MATCH(F87,'06_Target KPI'!$B$5:$B$100,0),MATCH(A87,'06_Target KPI'!$E$4:$P$4,0))*DAY(C87)/DAY(EOMONTH(C87,0)),INDEX('06_Target KPI'!$E$5:$P$100,MATCH(F87,'06_Target KPI'!$B$5:$B$100,0),MATCH(A87,'06_Target KPI'!$E$4:$P$4,0)))),0)</f>
        <v>10</v>
      </c>
      <c r="I87" s="24">
        <v>8.6</v>
      </c>
      <c r="J87" s="27">
        <f>IFERROR(MIN(IF(VLOOKUP(F87,'05_Master KPI'!$B$5:$G$100,5,FALSE)="Lower",H87/I87,I87/H87),1),0)</f>
        <v>0.86</v>
      </c>
      <c r="K87" s="26">
        <f>IFERROR(VLOOKUP(F87,'05_Master KPI'!$B$5:$G$100,4,FALSE),0)</f>
        <v>20</v>
      </c>
      <c r="L87" s="28">
        <f t="shared" si="1"/>
        <v>17.2</v>
      </c>
      <c r="M87" s="26" t="str">
        <f>IF(D87="","",IF(J87&gt;='13_Setting'!$H$7,"Tercapai",IF(J87&gt;='13_Setting'!$H$6,"On Track","Tertinggal")))</f>
        <v>On Track</v>
      </c>
      <c r="N87" s="24" t="s">
        <v>211</v>
      </c>
    </row>
    <row r="88" spans="1:14">
      <c r="A88" s="24" t="s">
        <v>195</v>
      </c>
      <c r="B88" s="24">
        <v>2026</v>
      </c>
      <c r="C88" s="25">
        <v>46142</v>
      </c>
      <c r="D88" s="24" t="s">
        <v>90</v>
      </c>
      <c r="E88" s="26" t="str">
        <f>IFERROR(VLOOKUP(D88,'04_Master Karyawan'!$A$5:$F$50,2,FALSE),"")</f>
        <v>Cantika</v>
      </c>
      <c r="F88" s="24" t="s">
        <v>155</v>
      </c>
      <c r="G88" s="26" t="str">
        <f>IFERROR(VLOOKUP(F88,'05_Master KPI'!$B$5:$G$100,2,FALSE)&amp;" ("&amp;VLOOKUP(F88,'05_Master KPI'!$B$5:$G$100,3,FALSE)&amp;")","")</f>
        <v>Reporting (%)</v>
      </c>
      <c r="H88" s="26">
        <f>IFERROR(IF(B88&lt;&gt;'06_Target KPI'!$B$3,0,IF(VLOOKUP(F88,'05_Master KPI'!$B$5:$G$100,6,FALSE)="Kumulatif",INDEX('06_Target KPI'!$E$5:$P$100,MATCH(F88,'06_Target KPI'!$B$5:$B$100,0),MATCH(A88,'06_Target KPI'!$E$4:$P$4,0))*DAY(C88)/DAY(EOMONTH(C88,0)),INDEX('06_Target KPI'!$E$5:$P$100,MATCH(F88,'06_Target KPI'!$B$5:$B$100,0),MATCH(A88,'06_Target KPI'!$E$4:$P$4,0)))),0)</f>
        <v>100</v>
      </c>
      <c r="I88" s="24">
        <v>85.8</v>
      </c>
      <c r="J88" s="27">
        <f>IFERROR(MIN(IF(VLOOKUP(F88,'05_Master KPI'!$B$5:$G$100,5,FALSE)="Lower",H88/I88,I88/H88),1),0)</f>
        <v>0.85799999999999998</v>
      </c>
      <c r="K88" s="26">
        <f>IFERROR(VLOOKUP(F88,'05_Master KPI'!$B$5:$G$100,4,FALSE),0)</f>
        <v>10</v>
      </c>
      <c r="L88" s="28">
        <f t="shared" si="1"/>
        <v>8.58</v>
      </c>
      <c r="M88" s="26" t="str">
        <f>IF(D88="","",IF(J88&gt;='13_Setting'!$H$7,"Tercapai",IF(J88&gt;='13_Setting'!$H$6,"On Track","Tertinggal")))</f>
        <v>On Track</v>
      </c>
      <c r="N88" s="24" t="s">
        <v>211</v>
      </c>
    </row>
    <row r="89" spans="1:14">
      <c r="A89" s="24" t="s">
        <v>195</v>
      </c>
      <c r="B89" s="24">
        <v>2026</v>
      </c>
      <c r="C89" s="25">
        <v>46142</v>
      </c>
      <c r="D89" s="24" t="s">
        <v>92</v>
      </c>
      <c r="E89" s="26" t="str">
        <f>IFERROR(VLOOKUP(D89,'04_Master Karyawan'!$A$5:$F$50,2,FALSE),"")</f>
        <v>Jessie</v>
      </c>
      <c r="F89" s="24" t="s">
        <v>143</v>
      </c>
      <c r="G89" s="26" t="str">
        <f>IFERROR(VLOOKUP(F89,'05_Master KPI'!$B$5:$G$100,2,FALSE)&amp;" ("&amp;VLOOKUP(F89,'05_Master KPI'!$B$5:$G$100,3,FALSE)&amp;")","")</f>
        <v>Content Plan (konten)</v>
      </c>
      <c r="H89" s="26">
        <f>IFERROR(IF(B89&lt;&gt;'06_Target KPI'!$B$3,0,IF(VLOOKUP(F89,'05_Master KPI'!$B$5:$G$100,6,FALSE)="Kumulatif",INDEX('06_Target KPI'!$E$5:$P$100,MATCH(F89,'06_Target KPI'!$B$5:$B$100,0),MATCH(A89,'06_Target KPI'!$E$4:$P$4,0))*DAY(C89)/DAY(EOMONTH(C89,0)),INDEX('06_Target KPI'!$E$5:$P$100,MATCH(F89,'06_Target KPI'!$B$5:$B$100,0),MATCH(A89,'06_Target KPI'!$E$4:$P$4,0)))),0)</f>
        <v>30</v>
      </c>
      <c r="I89" s="24">
        <v>26</v>
      </c>
      <c r="J89" s="27">
        <f>IFERROR(MIN(IF(VLOOKUP(F89,'05_Master KPI'!$B$5:$G$100,5,FALSE)="Lower",H89/I89,I89/H89),1),0)</f>
        <v>0.8666666666666667</v>
      </c>
      <c r="K89" s="26">
        <f>IFERROR(VLOOKUP(F89,'05_Master KPI'!$B$5:$G$100,4,FALSE),0)</f>
        <v>15</v>
      </c>
      <c r="L89" s="28">
        <f t="shared" si="1"/>
        <v>13</v>
      </c>
      <c r="M89" s="26" t="str">
        <f>IF(D89="","",IF(J89&gt;='13_Setting'!$H$7,"Tercapai",IF(J89&gt;='13_Setting'!$H$6,"On Track","Tertinggal")))</f>
        <v>On Track</v>
      </c>
      <c r="N89" s="24" t="s">
        <v>211</v>
      </c>
    </row>
    <row r="90" spans="1:14">
      <c r="A90" s="24" t="s">
        <v>195</v>
      </c>
      <c r="B90" s="24">
        <v>2026</v>
      </c>
      <c r="C90" s="25">
        <v>46142</v>
      </c>
      <c r="D90" s="24" t="s">
        <v>92</v>
      </c>
      <c r="E90" s="26" t="str">
        <f>IFERROR(VLOOKUP(D90,'04_Master Karyawan'!$A$5:$F$50,2,FALSE),"")</f>
        <v>Jessie</v>
      </c>
      <c r="F90" s="24" t="s">
        <v>146</v>
      </c>
      <c r="G90" s="26" t="str">
        <f>IFERROR(VLOOKUP(F90,'05_Master KPI'!$B$5:$G$100,2,FALSE)&amp;" ("&amp;VLOOKUP(F90,'05_Master KPI'!$B$5:$G$100,3,FALSE)&amp;")","")</f>
        <v>Engagement Rate (%)</v>
      </c>
      <c r="H90" s="26">
        <f>IFERROR(IF(B90&lt;&gt;'06_Target KPI'!$B$3,0,IF(VLOOKUP(F90,'05_Master KPI'!$B$5:$G$100,6,FALSE)="Kumulatif",INDEX('06_Target KPI'!$E$5:$P$100,MATCH(F90,'06_Target KPI'!$B$5:$B$100,0),MATCH(A90,'06_Target KPI'!$E$4:$P$4,0))*DAY(C90)/DAY(EOMONTH(C90,0)),INDEX('06_Target KPI'!$E$5:$P$100,MATCH(F90,'06_Target KPI'!$B$5:$B$100,0),MATCH(A90,'06_Target KPI'!$E$4:$P$4,0)))),0)</f>
        <v>5</v>
      </c>
      <c r="I90" s="24">
        <v>4.4000000000000004</v>
      </c>
      <c r="J90" s="27">
        <f>IFERROR(MIN(IF(VLOOKUP(F90,'05_Master KPI'!$B$5:$G$100,5,FALSE)="Lower",H90/I90,I90/H90),1),0)</f>
        <v>0.88000000000000012</v>
      </c>
      <c r="K90" s="26">
        <f>IFERROR(VLOOKUP(F90,'05_Master KPI'!$B$5:$G$100,4,FALSE),0)</f>
        <v>15</v>
      </c>
      <c r="L90" s="28">
        <f t="shared" si="1"/>
        <v>13.200000000000001</v>
      </c>
      <c r="M90" s="26" t="str">
        <f>IF(D90="","",IF(J90&gt;='13_Setting'!$H$7,"Tercapai",IF(J90&gt;='13_Setting'!$H$6,"On Track","Tertinggal")))</f>
        <v>On Track</v>
      </c>
      <c r="N90" s="24" t="s">
        <v>211</v>
      </c>
    </row>
    <row r="91" spans="1:14">
      <c r="A91" s="24" t="s">
        <v>195</v>
      </c>
      <c r="B91" s="24">
        <v>2026</v>
      </c>
      <c r="C91" s="25">
        <v>46142</v>
      </c>
      <c r="D91" s="24" t="s">
        <v>92</v>
      </c>
      <c r="E91" s="26" t="str">
        <f>IFERROR(VLOOKUP(D91,'04_Master Karyawan'!$A$5:$F$50,2,FALSE),"")</f>
        <v>Jessie</v>
      </c>
      <c r="F91" s="24" t="s">
        <v>148</v>
      </c>
      <c r="G91" s="26" t="str">
        <f>IFERROR(VLOOKUP(F91,'05_Master KPI'!$B$5:$G$100,2,FALSE)&amp;" ("&amp;VLOOKUP(F91,'05_Master KPI'!$B$5:$G$100,3,FALSE)&amp;")","")</f>
        <v>Qualified Leads (lead)</v>
      </c>
      <c r="H91" s="26">
        <f>IFERROR(IF(B91&lt;&gt;'06_Target KPI'!$B$3,0,IF(VLOOKUP(F91,'05_Master KPI'!$B$5:$G$100,6,FALSE)="Kumulatif",INDEX('06_Target KPI'!$E$5:$P$100,MATCH(F91,'06_Target KPI'!$B$5:$B$100,0),MATCH(A91,'06_Target KPI'!$E$4:$P$4,0))*DAY(C91)/DAY(EOMONTH(C91,0)),INDEX('06_Target KPI'!$E$5:$P$100,MATCH(F91,'06_Target KPI'!$B$5:$B$100,0),MATCH(A91,'06_Target KPI'!$E$4:$P$4,0)))),0)</f>
        <v>100</v>
      </c>
      <c r="I91" s="24">
        <v>88</v>
      </c>
      <c r="J91" s="27">
        <f>IFERROR(MIN(IF(VLOOKUP(F91,'05_Master KPI'!$B$5:$G$100,5,FALSE)="Lower",H91/I91,I91/H91),1),0)</f>
        <v>0.88</v>
      </c>
      <c r="K91" s="26">
        <f>IFERROR(VLOOKUP(F91,'05_Master KPI'!$B$5:$G$100,4,FALSE),0)</f>
        <v>20</v>
      </c>
      <c r="L91" s="28">
        <f t="shared" si="1"/>
        <v>17.600000000000001</v>
      </c>
      <c r="M91" s="26" t="str">
        <f>IF(D91="","",IF(J91&gt;='13_Setting'!$H$7,"Tercapai",IF(J91&gt;='13_Setting'!$H$6,"On Track","Tertinggal")))</f>
        <v>On Track</v>
      </c>
      <c r="N91" s="24" t="s">
        <v>211</v>
      </c>
    </row>
    <row r="92" spans="1:14">
      <c r="A92" s="24" t="s">
        <v>195</v>
      </c>
      <c r="B92" s="24">
        <v>2026</v>
      </c>
      <c r="C92" s="25">
        <v>46142</v>
      </c>
      <c r="D92" s="24" t="s">
        <v>92</v>
      </c>
      <c r="E92" s="26" t="str">
        <f>IFERROR(VLOOKUP(D92,'04_Master Karyawan'!$A$5:$F$50,2,FALSE),"")</f>
        <v>Jessie</v>
      </c>
      <c r="F92" s="24" t="s">
        <v>151</v>
      </c>
      <c r="G92" s="26" t="str">
        <f>IFERROR(VLOOKUP(F92,'05_Master KPI'!$B$5:$G$100,2,FALSE)&amp;" ("&amp;VLOOKUP(F92,'05_Master KPI'!$B$5:$G$100,3,FALSE)&amp;")","")</f>
        <v>Campaign Execution (%)</v>
      </c>
      <c r="H92" s="26">
        <f>IFERROR(IF(B92&lt;&gt;'06_Target KPI'!$B$3,0,IF(VLOOKUP(F92,'05_Master KPI'!$B$5:$G$100,6,FALSE)="Kumulatif",INDEX('06_Target KPI'!$E$5:$P$100,MATCH(F92,'06_Target KPI'!$B$5:$B$100,0),MATCH(A92,'06_Target KPI'!$E$4:$P$4,0))*DAY(C92)/DAY(EOMONTH(C92,0)),INDEX('06_Target KPI'!$E$5:$P$100,MATCH(F92,'06_Target KPI'!$B$5:$B$100,0),MATCH(A92,'06_Target KPI'!$E$4:$P$4,0)))),0)</f>
        <v>100</v>
      </c>
      <c r="I92" s="24">
        <v>88.3</v>
      </c>
      <c r="J92" s="27">
        <f>IFERROR(MIN(IF(VLOOKUP(F92,'05_Master KPI'!$B$5:$G$100,5,FALSE)="Lower",H92/I92,I92/H92),1),0)</f>
        <v>0.88300000000000001</v>
      </c>
      <c r="K92" s="26">
        <f>IFERROR(VLOOKUP(F92,'05_Master KPI'!$B$5:$G$100,4,FALSE),0)</f>
        <v>20</v>
      </c>
      <c r="L92" s="28">
        <f t="shared" si="1"/>
        <v>17.66</v>
      </c>
      <c r="M92" s="26" t="str">
        <f>IF(D92="","",IF(J92&gt;='13_Setting'!$H$7,"Tercapai",IF(J92&gt;='13_Setting'!$H$6,"On Track","Tertinggal")))</f>
        <v>On Track</v>
      </c>
      <c r="N92" s="24" t="s">
        <v>211</v>
      </c>
    </row>
    <row r="93" spans="1:14">
      <c r="A93" s="24" t="s">
        <v>195</v>
      </c>
      <c r="B93" s="24">
        <v>2026</v>
      </c>
      <c r="C93" s="25">
        <v>46142</v>
      </c>
      <c r="D93" s="24" t="s">
        <v>92</v>
      </c>
      <c r="E93" s="26" t="str">
        <f>IFERROR(VLOOKUP(D93,'04_Master Karyawan'!$A$5:$F$50,2,FALSE),"")</f>
        <v>Jessie</v>
      </c>
      <c r="F93" s="24" t="s">
        <v>153</v>
      </c>
      <c r="G93" s="26" t="str">
        <f>IFERROR(VLOOKUP(F93,'05_Master KPI'!$B$5:$G$100,2,FALSE)&amp;" ("&amp;VLOOKUP(F93,'05_Master KPI'!$B$5:$G$100,3,FALSE)&amp;")","")</f>
        <v>Lead Conversion (%)</v>
      </c>
      <c r="H93" s="26">
        <f>IFERROR(IF(B93&lt;&gt;'06_Target KPI'!$B$3,0,IF(VLOOKUP(F93,'05_Master KPI'!$B$5:$G$100,6,FALSE)="Kumulatif",INDEX('06_Target KPI'!$E$5:$P$100,MATCH(F93,'06_Target KPI'!$B$5:$B$100,0),MATCH(A93,'06_Target KPI'!$E$4:$P$4,0))*DAY(C93)/DAY(EOMONTH(C93,0)),INDEX('06_Target KPI'!$E$5:$P$100,MATCH(F93,'06_Target KPI'!$B$5:$B$100,0),MATCH(A93,'06_Target KPI'!$E$4:$P$4,0)))),0)</f>
        <v>10</v>
      </c>
      <c r="I93" s="24">
        <v>8.8000000000000007</v>
      </c>
      <c r="J93" s="27">
        <f>IFERROR(MIN(IF(VLOOKUP(F93,'05_Master KPI'!$B$5:$G$100,5,FALSE)="Lower",H93/I93,I93/H93),1),0)</f>
        <v>0.88000000000000012</v>
      </c>
      <c r="K93" s="26">
        <f>IFERROR(VLOOKUP(F93,'05_Master KPI'!$B$5:$G$100,4,FALSE),0)</f>
        <v>20</v>
      </c>
      <c r="L93" s="28">
        <f t="shared" si="1"/>
        <v>17.600000000000001</v>
      </c>
      <c r="M93" s="26" t="str">
        <f>IF(D93="","",IF(J93&gt;='13_Setting'!$H$7,"Tercapai",IF(J93&gt;='13_Setting'!$H$6,"On Track","Tertinggal")))</f>
        <v>On Track</v>
      </c>
      <c r="N93" s="24" t="s">
        <v>211</v>
      </c>
    </row>
    <row r="94" spans="1:14">
      <c r="A94" s="24" t="s">
        <v>195</v>
      </c>
      <c r="B94" s="24">
        <v>2026</v>
      </c>
      <c r="C94" s="25">
        <v>46142</v>
      </c>
      <c r="D94" s="24" t="s">
        <v>92</v>
      </c>
      <c r="E94" s="26" t="str">
        <f>IFERROR(VLOOKUP(D94,'04_Master Karyawan'!$A$5:$F$50,2,FALSE),"")</f>
        <v>Jessie</v>
      </c>
      <c r="F94" s="24" t="s">
        <v>155</v>
      </c>
      <c r="G94" s="26" t="str">
        <f>IFERROR(VLOOKUP(F94,'05_Master KPI'!$B$5:$G$100,2,FALSE)&amp;" ("&amp;VLOOKUP(F94,'05_Master KPI'!$B$5:$G$100,3,FALSE)&amp;")","")</f>
        <v>Reporting (%)</v>
      </c>
      <c r="H94" s="26">
        <f>IFERROR(IF(B94&lt;&gt;'06_Target KPI'!$B$3,0,IF(VLOOKUP(F94,'05_Master KPI'!$B$5:$G$100,6,FALSE)="Kumulatif",INDEX('06_Target KPI'!$E$5:$P$100,MATCH(F94,'06_Target KPI'!$B$5:$B$100,0),MATCH(A94,'06_Target KPI'!$E$4:$P$4,0))*DAY(C94)/DAY(EOMONTH(C94,0)),INDEX('06_Target KPI'!$E$5:$P$100,MATCH(F94,'06_Target KPI'!$B$5:$B$100,0),MATCH(A94,'06_Target KPI'!$E$4:$P$4,0)))),0)</f>
        <v>100</v>
      </c>
      <c r="I94" s="24">
        <v>88.3</v>
      </c>
      <c r="J94" s="27">
        <f>IFERROR(MIN(IF(VLOOKUP(F94,'05_Master KPI'!$B$5:$G$100,5,FALSE)="Lower",H94/I94,I94/H94),1),0)</f>
        <v>0.88300000000000001</v>
      </c>
      <c r="K94" s="26">
        <f>IFERROR(VLOOKUP(F94,'05_Master KPI'!$B$5:$G$100,4,FALSE),0)</f>
        <v>10</v>
      </c>
      <c r="L94" s="28">
        <f t="shared" si="1"/>
        <v>8.83</v>
      </c>
      <c r="M94" s="26" t="str">
        <f>IF(D94="","",IF(J94&gt;='13_Setting'!$H$7,"Tercapai",IF(J94&gt;='13_Setting'!$H$6,"On Track","Tertinggal")))</f>
        <v>On Track</v>
      </c>
      <c r="N94" s="24" t="s">
        <v>211</v>
      </c>
    </row>
    <row r="95" spans="1:14">
      <c r="A95" s="24" t="s">
        <v>195</v>
      </c>
      <c r="B95" s="24">
        <v>2026</v>
      </c>
      <c r="C95" s="25">
        <v>46142</v>
      </c>
      <c r="D95" s="24" t="s">
        <v>94</v>
      </c>
      <c r="E95" s="26" t="str">
        <f>IFERROR(VLOOKUP(D95,'04_Master Karyawan'!$A$5:$F$50,2,FALSE),"")</f>
        <v>Kia</v>
      </c>
      <c r="F95" s="24" t="s">
        <v>143</v>
      </c>
      <c r="G95" s="26" t="str">
        <f>IFERROR(VLOOKUP(F95,'05_Master KPI'!$B$5:$G$100,2,FALSE)&amp;" ("&amp;VLOOKUP(F95,'05_Master KPI'!$B$5:$G$100,3,FALSE)&amp;")","")</f>
        <v>Content Plan (konten)</v>
      </c>
      <c r="H95" s="26">
        <f>IFERROR(IF(B95&lt;&gt;'06_Target KPI'!$B$3,0,IF(VLOOKUP(F95,'05_Master KPI'!$B$5:$G$100,6,FALSE)="Kumulatif",INDEX('06_Target KPI'!$E$5:$P$100,MATCH(F95,'06_Target KPI'!$B$5:$B$100,0),MATCH(A95,'06_Target KPI'!$E$4:$P$4,0))*DAY(C95)/DAY(EOMONTH(C95,0)),INDEX('06_Target KPI'!$E$5:$P$100,MATCH(F95,'06_Target KPI'!$B$5:$B$100,0),MATCH(A95,'06_Target KPI'!$E$4:$P$4,0)))),0)</f>
        <v>30</v>
      </c>
      <c r="I95" s="24">
        <v>27</v>
      </c>
      <c r="J95" s="27">
        <f>IFERROR(MIN(IF(VLOOKUP(F95,'05_Master KPI'!$B$5:$G$100,5,FALSE)="Lower",H95/I95,I95/H95),1),0)</f>
        <v>0.9</v>
      </c>
      <c r="K95" s="26">
        <f>IFERROR(VLOOKUP(F95,'05_Master KPI'!$B$5:$G$100,4,FALSE),0)</f>
        <v>15</v>
      </c>
      <c r="L95" s="28">
        <f t="shared" si="1"/>
        <v>13.5</v>
      </c>
      <c r="M95" s="26" t="str">
        <f>IF(D95="","",IF(J95&gt;='13_Setting'!$H$7,"Tercapai",IF(J95&gt;='13_Setting'!$H$6,"On Track","Tertinggal")))</f>
        <v>On Track</v>
      </c>
      <c r="N95" s="24" t="s">
        <v>211</v>
      </c>
    </row>
    <row r="96" spans="1:14">
      <c r="A96" s="24" t="s">
        <v>195</v>
      </c>
      <c r="B96" s="24">
        <v>2026</v>
      </c>
      <c r="C96" s="25">
        <v>46142</v>
      </c>
      <c r="D96" s="24" t="s">
        <v>94</v>
      </c>
      <c r="E96" s="26" t="str">
        <f>IFERROR(VLOOKUP(D96,'04_Master Karyawan'!$A$5:$F$50,2,FALSE),"")</f>
        <v>Kia</v>
      </c>
      <c r="F96" s="24" t="s">
        <v>146</v>
      </c>
      <c r="G96" s="26" t="str">
        <f>IFERROR(VLOOKUP(F96,'05_Master KPI'!$B$5:$G$100,2,FALSE)&amp;" ("&amp;VLOOKUP(F96,'05_Master KPI'!$B$5:$G$100,3,FALSE)&amp;")","")</f>
        <v>Engagement Rate (%)</v>
      </c>
      <c r="H96" s="26">
        <f>IFERROR(IF(B96&lt;&gt;'06_Target KPI'!$B$3,0,IF(VLOOKUP(F96,'05_Master KPI'!$B$5:$G$100,6,FALSE)="Kumulatif",INDEX('06_Target KPI'!$E$5:$P$100,MATCH(F96,'06_Target KPI'!$B$5:$B$100,0),MATCH(A96,'06_Target KPI'!$E$4:$P$4,0))*DAY(C96)/DAY(EOMONTH(C96,0)),INDEX('06_Target KPI'!$E$5:$P$100,MATCH(F96,'06_Target KPI'!$B$5:$B$100,0),MATCH(A96,'06_Target KPI'!$E$4:$P$4,0)))),0)</f>
        <v>5</v>
      </c>
      <c r="I96" s="24">
        <v>4.5</v>
      </c>
      <c r="J96" s="27">
        <f>IFERROR(MIN(IF(VLOOKUP(F96,'05_Master KPI'!$B$5:$G$100,5,FALSE)="Lower",H96/I96,I96/H96),1),0)</f>
        <v>0.9</v>
      </c>
      <c r="K96" s="26">
        <f>IFERROR(VLOOKUP(F96,'05_Master KPI'!$B$5:$G$100,4,FALSE),0)</f>
        <v>15</v>
      </c>
      <c r="L96" s="28">
        <f t="shared" si="1"/>
        <v>13.5</v>
      </c>
      <c r="M96" s="26" t="str">
        <f>IF(D96="","",IF(J96&gt;='13_Setting'!$H$7,"Tercapai",IF(J96&gt;='13_Setting'!$H$6,"On Track","Tertinggal")))</f>
        <v>On Track</v>
      </c>
      <c r="N96" s="24" t="s">
        <v>211</v>
      </c>
    </row>
    <row r="97" spans="1:14">
      <c r="A97" s="24" t="s">
        <v>195</v>
      </c>
      <c r="B97" s="24">
        <v>2026</v>
      </c>
      <c r="C97" s="25">
        <v>46142</v>
      </c>
      <c r="D97" s="24" t="s">
        <v>94</v>
      </c>
      <c r="E97" s="26" t="str">
        <f>IFERROR(VLOOKUP(D97,'04_Master Karyawan'!$A$5:$F$50,2,FALSE),"")</f>
        <v>Kia</v>
      </c>
      <c r="F97" s="24" t="s">
        <v>148</v>
      </c>
      <c r="G97" s="26" t="str">
        <f>IFERROR(VLOOKUP(F97,'05_Master KPI'!$B$5:$G$100,2,FALSE)&amp;" ("&amp;VLOOKUP(F97,'05_Master KPI'!$B$5:$G$100,3,FALSE)&amp;")","")</f>
        <v>Qualified Leads (lead)</v>
      </c>
      <c r="H97" s="26">
        <f>IFERROR(IF(B97&lt;&gt;'06_Target KPI'!$B$3,0,IF(VLOOKUP(F97,'05_Master KPI'!$B$5:$G$100,6,FALSE)="Kumulatif",INDEX('06_Target KPI'!$E$5:$P$100,MATCH(F97,'06_Target KPI'!$B$5:$B$100,0),MATCH(A97,'06_Target KPI'!$E$4:$P$4,0))*DAY(C97)/DAY(EOMONTH(C97,0)),INDEX('06_Target KPI'!$E$5:$P$100,MATCH(F97,'06_Target KPI'!$B$5:$B$100,0),MATCH(A97,'06_Target KPI'!$E$4:$P$4,0)))),0)</f>
        <v>100</v>
      </c>
      <c r="I97" s="24">
        <v>91</v>
      </c>
      <c r="J97" s="27">
        <f>IFERROR(MIN(IF(VLOOKUP(F97,'05_Master KPI'!$B$5:$G$100,5,FALSE)="Lower",H97/I97,I97/H97),1),0)</f>
        <v>0.91</v>
      </c>
      <c r="K97" s="26">
        <f>IFERROR(VLOOKUP(F97,'05_Master KPI'!$B$5:$G$100,4,FALSE),0)</f>
        <v>20</v>
      </c>
      <c r="L97" s="28">
        <f t="shared" si="1"/>
        <v>18.2</v>
      </c>
      <c r="M97" s="26" t="str">
        <f>IF(D97="","",IF(J97&gt;='13_Setting'!$H$7,"Tercapai",IF(J97&gt;='13_Setting'!$H$6,"On Track","Tertinggal")))</f>
        <v>On Track</v>
      </c>
      <c r="N97" s="24" t="s">
        <v>211</v>
      </c>
    </row>
    <row r="98" spans="1:14">
      <c r="A98" s="24" t="s">
        <v>195</v>
      </c>
      <c r="B98" s="24">
        <v>2026</v>
      </c>
      <c r="C98" s="25">
        <v>46142</v>
      </c>
      <c r="D98" s="24" t="s">
        <v>94</v>
      </c>
      <c r="E98" s="26" t="str">
        <f>IFERROR(VLOOKUP(D98,'04_Master Karyawan'!$A$5:$F$50,2,FALSE),"")</f>
        <v>Kia</v>
      </c>
      <c r="F98" s="24" t="s">
        <v>151</v>
      </c>
      <c r="G98" s="26" t="str">
        <f>IFERROR(VLOOKUP(F98,'05_Master KPI'!$B$5:$G$100,2,FALSE)&amp;" ("&amp;VLOOKUP(F98,'05_Master KPI'!$B$5:$G$100,3,FALSE)&amp;")","")</f>
        <v>Campaign Execution (%)</v>
      </c>
      <c r="H98" s="26">
        <f>IFERROR(IF(B98&lt;&gt;'06_Target KPI'!$B$3,0,IF(VLOOKUP(F98,'05_Master KPI'!$B$5:$G$100,6,FALSE)="Kumulatif",INDEX('06_Target KPI'!$E$5:$P$100,MATCH(F98,'06_Target KPI'!$B$5:$B$100,0),MATCH(A98,'06_Target KPI'!$E$4:$P$4,0))*DAY(C98)/DAY(EOMONTH(C98,0)),INDEX('06_Target KPI'!$E$5:$P$100,MATCH(F98,'06_Target KPI'!$B$5:$B$100,0),MATCH(A98,'06_Target KPI'!$E$4:$P$4,0)))),0)</f>
        <v>100</v>
      </c>
      <c r="I98" s="24">
        <v>90.8</v>
      </c>
      <c r="J98" s="27">
        <f>IFERROR(MIN(IF(VLOOKUP(F98,'05_Master KPI'!$B$5:$G$100,5,FALSE)="Lower",H98/I98,I98/H98),1),0)</f>
        <v>0.90799999999999992</v>
      </c>
      <c r="K98" s="26">
        <f>IFERROR(VLOOKUP(F98,'05_Master KPI'!$B$5:$G$100,4,FALSE),0)</f>
        <v>20</v>
      </c>
      <c r="L98" s="28">
        <f t="shared" si="1"/>
        <v>18.159999999999997</v>
      </c>
      <c r="M98" s="26" t="str">
        <f>IF(D98="","",IF(J98&gt;='13_Setting'!$H$7,"Tercapai",IF(J98&gt;='13_Setting'!$H$6,"On Track","Tertinggal")))</f>
        <v>On Track</v>
      </c>
      <c r="N98" s="24" t="s">
        <v>211</v>
      </c>
    </row>
    <row r="99" spans="1:14">
      <c r="A99" s="24" t="s">
        <v>195</v>
      </c>
      <c r="B99" s="24">
        <v>2026</v>
      </c>
      <c r="C99" s="25">
        <v>46142</v>
      </c>
      <c r="D99" s="24" t="s">
        <v>94</v>
      </c>
      <c r="E99" s="26" t="str">
        <f>IFERROR(VLOOKUP(D99,'04_Master Karyawan'!$A$5:$F$50,2,FALSE),"")</f>
        <v>Kia</v>
      </c>
      <c r="F99" s="24" t="s">
        <v>153</v>
      </c>
      <c r="G99" s="26" t="str">
        <f>IFERROR(VLOOKUP(F99,'05_Master KPI'!$B$5:$G$100,2,FALSE)&amp;" ("&amp;VLOOKUP(F99,'05_Master KPI'!$B$5:$G$100,3,FALSE)&amp;")","")</f>
        <v>Lead Conversion (%)</v>
      </c>
      <c r="H99" s="26">
        <f>IFERROR(IF(B99&lt;&gt;'06_Target KPI'!$B$3,0,IF(VLOOKUP(F99,'05_Master KPI'!$B$5:$G$100,6,FALSE)="Kumulatif",INDEX('06_Target KPI'!$E$5:$P$100,MATCH(F99,'06_Target KPI'!$B$5:$B$100,0),MATCH(A99,'06_Target KPI'!$E$4:$P$4,0))*DAY(C99)/DAY(EOMONTH(C99,0)),INDEX('06_Target KPI'!$E$5:$P$100,MATCH(F99,'06_Target KPI'!$B$5:$B$100,0),MATCH(A99,'06_Target KPI'!$E$4:$P$4,0)))),0)</f>
        <v>10</v>
      </c>
      <c r="I99" s="24">
        <v>9.1</v>
      </c>
      <c r="J99" s="27">
        <f>IFERROR(MIN(IF(VLOOKUP(F99,'05_Master KPI'!$B$5:$G$100,5,FALSE)="Lower",H99/I99,I99/H99),1),0)</f>
        <v>0.90999999999999992</v>
      </c>
      <c r="K99" s="26">
        <f>IFERROR(VLOOKUP(F99,'05_Master KPI'!$B$5:$G$100,4,FALSE),0)</f>
        <v>20</v>
      </c>
      <c r="L99" s="28">
        <f t="shared" si="1"/>
        <v>18.2</v>
      </c>
      <c r="M99" s="26" t="str">
        <f>IF(D99="","",IF(J99&gt;='13_Setting'!$H$7,"Tercapai",IF(J99&gt;='13_Setting'!$H$6,"On Track","Tertinggal")))</f>
        <v>On Track</v>
      </c>
      <c r="N99" s="24" t="s">
        <v>211</v>
      </c>
    </row>
    <row r="100" spans="1:14">
      <c r="A100" s="24" t="s">
        <v>195</v>
      </c>
      <c r="B100" s="24">
        <v>2026</v>
      </c>
      <c r="C100" s="25">
        <v>46142</v>
      </c>
      <c r="D100" s="24" t="s">
        <v>94</v>
      </c>
      <c r="E100" s="26" t="str">
        <f>IFERROR(VLOOKUP(D100,'04_Master Karyawan'!$A$5:$F$50,2,FALSE),"")</f>
        <v>Kia</v>
      </c>
      <c r="F100" s="24" t="s">
        <v>155</v>
      </c>
      <c r="G100" s="26" t="str">
        <f>IFERROR(VLOOKUP(F100,'05_Master KPI'!$B$5:$G$100,2,FALSE)&amp;" ("&amp;VLOOKUP(F100,'05_Master KPI'!$B$5:$G$100,3,FALSE)&amp;")","")</f>
        <v>Reporting (%)</v>
      </c>
      <c r="H100" s="26">
        <f>IFERROR(IF(B100&lt;&gt;'06_Target KPI'!$B$3,0,IF(VLOOKUP(F100,'05_Master KPI'!$B$5:$G$100,6,FALSE)="Kumulatif",INDEX('06_Target KPI'!$E$5:$P$100,MATCH(F100,'06_Target KPI'!$B$5:$B$100,0),MATCH(A100,'06_Target KPI'!$E$4:$P$4,0))*DAY(C100)/DAY(EOMONTH(C100,0)),INDEX('06_Target KPI'!$E$5:$P$100,MATCH(F100,'06_Target KPI'!$B$5:$B$100,0),MATCH(A100,'06_Target KPI'!$E$4:$P$4,0)))),0)</f>
        <v>100</v>
      </c>
      <c r="I100" s="24">
        <v>90.8</v>
      </c>
      <c r="J100" s="27">
        <f>IFERROR(MIN(IF(VLOOKUP(F100,'05_Master KPI'!$B$5:$G$100,5,FALSE)="Lower",H100/I100,I100/H100),1),0)</f>
        <v>0.90799999999999992</v>
      </c>
      <c r="K100" s="26">
        <f>IFERROR(VLOOKUP(F100,'05_Master KPI'!$B$5:$G$100,4,FALSE),0)</f>
        <v>10</v>
      </c>
      <c r="L100" s="28">
        <f t="shared" si="1"/>
        <v>9.0799999999999983</v>
      </c>
      <c r="M100" s="26" t="str">
        <f>IF(D100="","",IF(J100&gt;='13_Setting'!$H$7,"Tercapai",IF(J100&gt;='13_Setting'!$H$6,"On Track","Tertinggal")))</f>
        <v>On Track</v>
      </c>
      <c r="N100" s="24" t="s">
        <v>211</v>
      </c>
    </row>
    <row r="101" spans="1:14">
      <c r="A101" s="24" t="s">
        <v>40</v>
      </c>
      <c r="B101" s="24">
        <v>2026</v>
      </c>
      <c r="C101" s="25">
        <v>46173</v>
      </c>
      <c r="D101" s="24" t="s">
        <v>86</v>
      </c>
      <c r="E101" s="26" t="str">
        <f>IFERROR(VLOOKUP(D101,'04_Master Karyawan'!$A$5:$F$50,2,FALSE),"")</f>
        <v>Stephan</v>
      </c>
      <c r="F101" s="24" t="s">
        <v>143</v>
      </c>
      <c r="G101" s="26" t="str">
        <f>IFERROR(VLOOKUP(F101,'05_Master KPI'!$B$5:$G$100,2,FALSE)&amp;" ("&amp;VLOOKUP(F101,'05_Master KPI'!$B$5:$G$100,3,FALSE)&amp;")","")</f>
        <v>Content Plan (konten)</v>
      </c>
      <c r="H101" s="26">
        <f>IFERROR(IF(B101&lt;&gt;'06_Target KPI'!$B$3,0,IF(VLOOKUP(F101,'05_Master KPI'!$B$5:$G$100,6,FALSE)="Kumulatif",INDEX('06_Target KPI'!$E$5:$P$100,MATCH(F101,'06_Target KPI'!$B$5:$B$100,0),MATCH(A101,'06_Target KPI'!$E$4:$P$4,0))*DAY(C101)/DAY(EOMONTH(C101,0)),INDEX('06_Target KPI'!$E$5:$P$100,MATCH(F101,'06_Target KPI'!$B$5:$B$100,0),MATCH(A101,'06_Target KPI'!$E$4:$P$4,0)))),0)</f>
        <v>30</v>
      </c>
      <c r="I101" s="24">
        <v>25</v>
      </c>
      <c r="J101" s="27">
        <f>IFERROR(MIN(IF(VLOOKUP(F101,'05_Master KPI'!$B$5:$G$100,5,FALSE)="Lower",H101/I101,I101/H101),1),0)</f>
        <v>0.83333333333333337</v>
      </c>
      <c r="K101" s="26">
        <f>IFERROR(VLOOKUP(F101,'05_Master KPI'!$B$5:$G$100,4,FALSE),0)</f>
        <v>15</v>
      </c>
      <c r="L101" s="28">
        <f t="shared" si="1"/>
        <v>12.5</v>
      </c>
      <c r="M101" s="26" t="str">
        <f>IF(D101="","",IF(J101&gt;='13_Setting'!$H$7,"Tercapai",IF(J101&gt;='13_Setting'!$H$6,"On Track","Tertinggal")))</f>
        <v>Tertinggal</v>
      </c>
      <c r="N101" s="24" t="s">
        <v>211</v>
      </c>
    </row>
    <row r="102" spans="1:14">
      <c r="A102" s="24" t="s">
        <v>40</v>
      </c>
      <c r="B102" s="24">
        <v>2026</v>
      </c>
      <c r="C102" s="25">
        <v>46173</v>
      </c>
      <c r="D102" s="24" t="s">
        <v>86</v>
      </c>
      <c r="E102" s="26" t="str">
        <f>IFERROR(VLOOKUP(D102,'04_Master Karyawan'!$A$5:$F$50,2,FALSE),"")</f>
        <v>Stephan</v>
      </c>
      <c r="F102" s="24" t="s">
        <v>146</v>
      </c>
      <c r="G102" s="26" t="str">
        <f>IFERROR(VLOOKUP(F102,'05_Master KPI'!$B$5:$G$100,2,FALSE)&amp;" ("&amp;VLOOKUP(F102,'05_Master KPI'!$B$5:$G$100,3,FALSE)&amp;")","")</f>
        <v>Engagement Rate (%)</v>
      </c>
      <c r="H102" s="26">
        <f>IFERROR(IF(B102&lt;&gt;'06_Target KPI'!$B$3,0,IF(VLOOKUP(F102,'05_Master KPI'!$B$5:$G$100,6,FALSE)="Kumulatif",INDEX('06_Target KPI'!$E$5:$P$100,MATCH(F102,'06_Target KPI'!$B$5:$B$100,0),MATCH(A102,'06_Target KPI'!$E$4:$P$4,0))*DAY(C102)/DAY(EOMONTH(C102,0)),INDEX('06_Target KPI'!$E$5:$P$100,MATCH(F102,'06_Target KPI'!$B$5:$B$100,0),MATCH(A102,'06_Target KPI'!$E$4:$P$4,0)))),0)</f>
        <v>5</v>
      </c>
      <c r="I102" s="24">
        <v>4.0999999999999996</v>
      </c>
      <c r="J102" s="27">
        <f>IFERROR(MIN(IF(VLOOKUP(F102,'05_Master KPI'!$B$5:$G$100,5,FALSE)="Lower",H102/I102,I102/H102),1),0)</f>
        <v>0.82</v>
      </c>
      <c r="K102" s="26">
        <f>IFERROR(VLOOKUP(F102,'05_Master KPI'!$B$5:$G$100,4,FALSE),0)</f>
        <v>15</v>
      </c>
      <c r="L102" s="28">
        <f t="shared" si="1"/>
        <v>12.299999999999999</v>
      </c>
      <c r="M102" s="26" t="str">
        <f>IF(D102="","",IF(J102&gt;='13_Setting'!$H$7,"Tercapai",IF(J102&gt;='13_Setting'!$H$6,"On Track","Tertinggal")))</f>
        <v>Tertinggal</v>
      </c>
      <c r="N102" s="24" t="s">
        <v>211</v>
      </c>
    </row>
    <row r="103" spans="1:14">
      <c r="A103" s="24" t="s">
        <v>40</v>
      </c>
      <c r="B103" s="24">
        <v>2026</v>
      </c>
      <c r="C103" s="25">
        <v>46173</v>
      </c>
      <c r="D103" s="24" t="s">
        <v>86</v>
      </c>
      <c r="E103" s="26" t="str">
        <f>IFERROR(VLOOKUP(D103,'04_Master Karyawan'!$A$5:$F$50,2,FALSE),"")</f>
        <v>Stephan</v>
      </c>
      <c r="F103" s="24" t="s">
        <v>148</v>
      </c>
      <c r="G103" s="26" t="str">
        <f>IFERROR(VLOOKUP(F103,'05_Master KPI'!$B$5:$G$100,2,FALSE)&amp;" ("&amp;VLOOKUP(F103,'05_Master KPI'!$B$5:$G$100,3,FALSE)&amp;")","")</f>
        <v>Qualified Leads (lead)</v>
      </c>
      <c r="H103" s="26">
        <f>IFERROR(IF(B103&lt;&gt;'06_Target KPI'!$B$3,0,IF(VLOOKUP(F103,'05_Master KPI'!$B$5:$G$100,6,FALSE)="Kumulatif",INDEX('06_Target KPI'!$E$5:$P$100,MATCH(F103,'06_Target KPI'!$B$5:$B$100,0),MATCH(A103,'06_Target KPI'!$E$4:$P$4,0))*DAY(C103)/DAY(EOMONTH(C103,0)),INDEX('06_Target KPI'!$E$5:$P$100,MATCH(F103,'06_Target KPI'!$B$5:$B$100,0),MATCH(A103,'06_Target KPI'!$E$4:$P$4,0)))),0)</f>
        <v>100</v>
      </c>
      <c r="I103" s="24">
        <v>82</v>
      </c>
      <c r="J103" s="27">
        <f>IFERROR(MIN(IF(VLOOKUP(F103,'05_Master KPI'!$B$5:$G$100,5,FALSE)="Lower",H103/I103,I103/H103),1),0)</f>
        <v>0.82</v>
      </c>
      <c r="K103" s="26">
        <f>IFERROR(VLOOKUP(F103,'05_Master KPI'!$B$5:$G$100,4,FALSE),0)</f>
        <v>20</v>
      </c>
      <c r="L103" s="28">
        <f t="shared" si="1"/>
        <v>16.399999999999999</v>
      </c>
      <c r="M103" s="26" t="str">
        <f>IF(D103="","",IF(J103&gt;='13_Setting'!$H$7,"Tercapai",IF(J103&gt;='13_Setting'!$H$6,"On Track","Tertinggal")))</f>
        <v>Tertinggal</v>
      </c>
      <c r="N103" s="24" t="s">
        <v>211</v>
      </c>
    </row>
    <row r="104" spans="1:14">
      <c r="A104" s="24" t="s">
        <v>40</v>
      </c>
      <c r="B104" s="24">
        <v>2026</v>
      </c>
      <c r="C104" s="25">
        <v>46173</v>
      </c>
      <c r="D104" s="24" t="s">
        <v>86</v>
      </c>
      <c r="E104" s="26" t="str">
        <f>IFERROR(VLOOKUP(D104,'04_Master Karyawan'!$A$5:$F$50,2,FALSE),"")</f>
        <v>Stephan</v>
      </c>
      <c r="F104" s="24" t="s">
        <v>151</v>
      </c>
      <c r="G104" s="26" t="str">
        <f>IFERROR(VLOOKUP(F104,'05_Master KPI'!$B$5:$G$100,2,FALSE)&amp;" ("&amp;VLOOKUP(F104,'05_Master KPI'!$B$5:$G$100,3,FALSE)&amp;")","")</f>
        <v>Campaign Execution (%)</v>
      </c>
      <c r="H104" s="26">
        <f>IFERROR(IF(B104&lt;&gt;'06_Target KPI'!$B$3,0,IF(VLOOKUP(F104,'05_Master KPI'!$B$5:$G$100,6,FALSE)="Kumulatif",INDEX('06_Target KPI'!$E$5:$P$100,MATCH(F104,'06_Target KPI'!$B$5:$B$100,0),MATCH(A104,'06_Target KPI'!$E$4:$P$4,0))*DAY(C104)/DAY(EOMONTH(C104,0)),INDEX('06_Target KPI'!$E$5:$P$100,MATCH(F104,'06_Target KPI'!$B$5:$B$100,0),MATCH(A104,'06_Target KPI'!$E$4:$P$4,0)))),0)</f>
        <v>100</v>
      </c>
      <c r="I104" s="24">
        <v>82.3</v>
      </c>
      <c r="J104" s="27">
        <f>IFERROR(MIN(IF(VLOOKUP(F104,'05_Master KPI'!$B$5:$G$100,5,FALSE)="Lower",H104/I104,I104/H104),1),0)</f>
        <v>0.82299999999999995</v>
      </c>
      <c r="K104" s="26">
        <f>IFERROR(VLOOKUP(F104,'05_Master KPI'!$B$5:$G$100,4,FALSE),0)</f>
        <v>20</v>
      </c>
      <c r="L104" s="28">
        <f t="shared" si="1"/>
        <v>16.46</v>
      </c>
      <c r="M104" s="26" t="str">
        <f>IF(D104="","",IF(J104&gt;='13_Setting'!$H$7,"Tercapai",IF(J104&gt;='13_Setting'!$H$6,"On Track","Tertinggal")))</f>
        <v>Tertinggal</v>
      </c>
      <c r="N104" s="24" t="s">
        <v>211</v>
      </c>
    </row>
    <row r="105" spans="1:14">
      <c r="A105" s="24" t="s">
        <v>40</v>
      </c>
      <c r="B105" s="24">
        <v>2026</v>
      </c>
      <c r="C105" s="25">
        <v>46173</v>
      </c>
      <c r="D105" s="24" t="s">
        <v>86</v>
      </c>
      <c r="E105" s="26" t="str">
        <f>IFERROR(VLOOKUP(D105,'04_Master Karyawan'!$A$5:$F$50,2,FALSE),"")</f>
        <v>Stephan</v>
      </c>
      <c r="F105" s="24" t="s">
        <v>153</v>
      </c>
      <c r="G105" s="26" t="str">
        <f>IFERROR(VLOOKUP(F105,'05_Master KPI'!$B$5:$G$100,2,FALSE)&amp;" ("&amp;VLOOKUP(F105,'05_Master KPI'!$B$5:$G$100,3,FALSE)&amp;")","")</f>
        <v>Lead Conversion (%)</v>
      </c>
      <c r="H105" s="26">
        <f>IFERROR(IF(B105&lt;&gt;'06_Target KPI'!$B$3,0,IF(VLOOKUP(F105,'05_Master KPI'!$B$5:$G$100,6,FALSE)="Kumulatif",INDEX('06_Target KPI'!$E$5:$P$100,MATCH(F105,'06_Target KPI'!$B$5:$B$100,0),MATCH(A105,'06_Target KPI'!$E$4:$P$4,0))*DAY(C105)/DAY(EOMONTH(C105,0)),INDEX('06_Target KPI'!$E$5:$P$100,MATCH(F105,'06_Target KPI'!$B$5:$B$100,0),MATCH(A105,'06_Target KPI'!$E$4:$P$4,0)))),0)</f>
        <v>10</v>
      </c>
      <c r="I105" s="24">
        <v>8.1999999999999993</v>
      </c>
      <c r="J105" s="27">
        <f>IFERROR(MIN(IF(VLOOKUP(F105,'05_Master KPI'!$B$5:$G$100,5,FALSE)="Lower",H105/I105,I105/H105),1),0)</f>
        <v>0.82</v>
      </c>
      <c r="K105" s="26">
        <f>IFERROR(VLOOKUP(F105,'05_Master KPI'!$B$5:$G$100,4,FALSE),0)</f>
        <v>20</v>
      </c>
      <c r="L105" s="28">
        <f t="shared" si="1"/>
        <v>16.399999999999999</v>
      </c>
      <c r="M105" s="26" t="str">
        <f>IF(D105="","",IF(J105&gt;='13_Setting'!$H$7,"Tercapai",IF(J105&gt;='13_Setting'!$H$6,"On Track","Tertinggal")))</f>
        <v>Tertinggal</v>
      </c>
      <c r="N105" s="24" t="s">
        <v>211</v>
      </c>
    </row>
    <row r="106" spans="1:14">
      <c r="A106" s="24" t="s">
        <v>40</v>
      </c>
      <c r="B106" s="24">
        <v>2026</v>
      </c>
      <c r="C106" s="25">
        <v>46173</v>
      </c>
      <c r="D106" s="24" t="s">
        <v>86</v>
      </c>
      <c r="E106" s="26" t="str">
        <f>IFERROR(VLOOKUP(D106,'04_Master Karyawan'!$A$5:$F$50,2,FALSE),"")</f>
        <v>Stephan</v>
      </c>
      <c r="F106" s="24" t="s">
        <v>155</v>
      </c>
      <c r="G106" s="26" t="str">
        <f>IFERROR(VLOOKUP(F106,'05_Master KPI'!$B$5:$G$100,2,FALSE)&amp;" ("&amp;VLOOKUP(F106,'05_Master KPI'!$B$5:$G$100,3,FALSE)&amp;")","")</f>
        <v>Reporting (%)</v>
      </c>
      <c r="H106" s="26">
        <f>IFERROR(IF(B106&lt;&gt;'06_Target KPI'!$B$3,0,IF(VLOOKUP(F106,'05_Master KPI'!$B$5:$G$100,6,FALSE)="Kumulatif",INDEX('06_Target KPI'!$E$5:$P$100,MATCH(F106,'06_Target KPI'!$B$5:$B$100,0),MATCH(A106,'06_Target KPI'!$E$4:$P$4,0))*DAY(C106)/DAY(EOMONTH(C106,0)),INDEX('06_Target KPI'!$E$5:$P$100,MATCH(F106,'06_Target KPI'!$B$5:$B$100,0),MATCH(A106,'06_Target KPI'!$E$4:$P$4,0)))),0)</f>
        <v>100</v>
      </c>
      <c r="I106" s="24">
        <v>82.3</v>
      </c>
      <c r="J106" s="27">
        <f>IFERROR(MIN(IF(VLOOKUP(F106,'05_Master KPI'!$B$5:$G$100,5,FALSE)="Lower",H106/I106,I106/H106),1),0)</f>
        <v>0.82299999999999995</v>
      </c>
      <c r="K106" s="26">
        <f>IFERROR(VLOOKUP(F106,'05_Master KPI'!$B$5:$G$100,4,FALSE),0)</f>
        <v>10</v>
      </c>
      <c r="L106" s="28">
        <f t="shared" si="1"/>
        <v>8.23</v>
      </c>
      <c r="M106" s="26" t="str">
        <f>IF(D106="","",IF(J106&gt;='13_Setting'!$H$7,"Tercapai",IF(J106&gt;='13_Setting'!$H$6,"On Track","Tertinggal")))</f>
        <v>Tertinggal</v>
      </c>
      <c r="N106" s="24" t="s">
        <v>211</v>
      </c>
    </row>
    <row r="107" spans="1:14">
      <c r="A107" s="24" t="s">
        <v>40</v>
      </c>
      <c r="B107" s="24">
        <v>2026</v>
      </c>
      <c r="C107" s="25">
        <v>46173</v>
      </c>
      <c r="D107" s="24" t="s">
        <v>90</v>
      </c>
      <c r="E107" s="26" t="str">
        <f>IFERROR(VLOOKUP(D107,'04_Master Karyawan'!$A$5:$F$50,2,FALSE),"")</f>
        <v>Cantika</v>
      </c>
      <c r="F107" s="24" t="s">
        <v>143</v>
      </c>
      <c r="G107" s="26" t="str">
        <f>IFERROR(VLOOKUP(F107,'05_Master KPI'!$B$5:$G$100,2,FALSE)&amp;" ("&amp;VLOOKUP(F107,'05_Master KPI'!$B$5:$G$100,3,FALSE)&amp;")","")</f>
        <v>Content Plan (konten)</v>
      </c>
      <c r="H107" s="26">
        <f>IFERROR(IF(B107&lt;&gt;'06_Target KPI'!$B$3,0,IF(VLOOKUP(F107,'05_Master KPI'!$B$5:$G$100,6,FALSE)="Kumulatif",INDEX('06_Target KPI'!$E$5:$P$100,MATCH(F107,'06_Target KPI'!$B$5:$B$100,0),MATCH(A107,'06_Target KPI'!$E$4:$P$4,0))*DAY(C107)/DAY(EOMONTH(C107,0)),INDEX('06_Target KPI'!$E$5:$P$100,MATCH(F107,'06_Target KPI'!$B$5:$B$100,0),MATCH(A107,'06_Target KPI'!$E$4:$P$4,0)))),0)</f>
        <v>30</v>
      </c>
      <c r="I107" s="24">
        <v>25</v>
      </c>
      <c r="J107" s="27">
        <f>IFERROR(MIN(IF(VLOOKUP(F107,'05_Master KPI'!$B$5:$G$100,5,FALSE)="Lower",H107/I107,I107/H107),1),0)</f>
        <v>0.83333333333333337</v>
      </c>
      <c r="K107" s="26">
        <f>IFERROR(VLOOKUP(F107,'05_Master KPI'!$B$5:$G$100,4,FALSE),0)</f>
        <v>15</v>
      </c>
      <c r="L107" s="28">
        <f t="shared" si="1"/>
        <v>12.5</v>
      </c>
      <c r="M107" s="26" t="str">
        <f>IF(D107="","",IF(J107&gt;='13_Setting'!$H$7,"Tercapai",IF(J107&gt;='13_Setting'!$H$6,"On Track","Tertinggal")))</f>
        <v>Tertinggal</v>
      </c>
      <c r="N107" s="24" t="s">
        <v>211</v>
      </c>
    </row>
    <row r="108" spans="1:14">
      <c r="A108" s="24" t="s">
        <v>40</v>
      </c>
      <c r="B108" s="24">
        <v>2026</v>
      </c>
      <c r="C108" s="25">
        <v>46173</v>
      </c>
      <c r="D108" s="24" t="s">
        <v>90</v>
      </c>
      <c r="E108" s="26" t="str">
        <f>IFERROR(VLOOKUP(D108,'04_Master Karyawan'!$A$5:$F$50,2,FALSE),"")</f>
        <v>Cantika</v>
      </c>
      <c r="F108" s="24" t="s">
        <v>146</v>
      </c>
      <c r="G108" s="26" t="str">
        <f>IFERROR(VLOOKUP(F108,'05_Master KPI'!$B$5:$G$100,2,FALSE)&amp;" ("&amp;VLOOKUP(F108,'05_Master KPI'!$B$5:$G$100,3,FALSE)&amp;")","")</f>
        <v>Engagement Rate (%)</v>
      </c>
      <c r="H108" s="26">
        <f>IFERROR(IF(B108&lt;&gt;'06_Target KPI'!$B$3,0,IF(VLOOKUP(F108,'05_Master KPI'!$B$5:$G$100,6,FALSE)="Kumulatif",INDEX('06_Target KPI'!$E$5:$P$100,MATCH(F108,'06_Target KPI'!$B$5:$B$100,0),MATCH(A108,'06_Target KPI'!$E$4:$P$4,0))*DAY(C108)/DAY(EOMONTH(C108,0)),INDEX('06_Target KPI'!$E$5:$P$100,MATCH(F108,'06_Target KPI'!$B$5:$B$100,0),MATCH(A108,'06_Target KPI'!$E$4:$P$4,0)))),0)</f>
        <v>5</v>
      </c>
      <c r="I108" s="24">
        <v>4.2</v>
      </c>
      <c r="J108" s="27">
        <f>IFERROR(MIN(IF(VLOOKUP(F108,'05_Master KPI'!$B$5:$G$100,5,FALSE)="Lower",H108/I108,I108/H108),1),0)</f>
        <v>0.84000000000000008</v>
      </c>
      <c r="K108" s="26">
        <f>IFERROR(VLOOKUP(F108,'05_Master KPI'!$B$5:$G$100,4,FALSE),0)</f>
        <v>15</v>
      </c>
      <c r="L108" s="28">
        <f t="shared" si="1"/>
        <v>12.600000000000001</v>
      </c>
      <c r="M108" s="26" t="str">
        <f>IF(D108="","",IF(J108&gt;='13_Setting'!$H$7,"Tercapai",IF(J108&gt;='13_Setting'!$H$6,"On Track","Tertinggal")))</f>
        <v>Tertinggal</v>
      </c>
      <c r="N108" s="24" t="s">
        <v>211</v>
      </c>
    </row>
    <row r="109" spans="1:14">
      <c r="A109" s="24" t="s">
        <v>40</v>
      </c>
      <c r="B109" s="24">
        <v>2026</v>
      </c>
      <c r="C109" s="25">
        <v>46173</v>
      </c>
      <c r="D109" s="24" t="s">
        <v>90</v>
      </c>
      <c r="E109" s="26" t="str">
        <f>IFERROR(VLOOKUP(D109,'04_Master Karyawan'!$A$5:$F$50,2,FALSE),"")</f>
        <v>Cantika</v>
      </c>
      <c r="F109" s="24" t="s">
        <v>148</v>
      </c>
      <c r="G109" s="26" t="str">
        <f>IFERROR(VLOOKUP(F109,'05_Master KPI'!$B$5:$G$100,2,FALSE)&amp;" ("&amp;VLOOKUP(F109,'05_Master KPI'!$B$5:$G$100,3,FALSE)&amp;")","")</f>
        <v>Qualified Leads (lead)</v>
      </c>
      <c r="H109" s="26">
        <f>IFERROR(IF(B109&lt;&gt;'06_Target KPI'!$B$3,0,IF(VLOOKUP(F109,'05_Master KPI'!$B$5:$G$100,6,FALSE)="Kumulatif",INDEX('06_Target KPI'!$E$5:$P$100,MATCH(F109,'06_Target KPI'!$B$5:$B$100,0),MATCH(A109,'06_Target KPI'!$E$4:$P$4,0))*DAY(C109)/DAY(EOMONTH(C109,0)),INDEX('06_Target KPI'!$E$5:$P$100,MATCH(F109,'06_Target KPI'!$B$5:$B$100,0),MATCH(A109,'06_Target KPI'!$E$4:$P$4,0)))),0)</f>
        <v>100</v>
      </c>
      <c r="I109" s="24">
        <v>85</v>
      </c>
      <c r="J109" s="27">
        <f>IFERROR(MIN(IF(VLOOKUP(F109,'05_Master KPI'!$B$5:$G$100,5,FALSE)="Lower",H109/I109,I109/H109),1),0)</f>
        <v>0.85</v>
      </c>
      <c r="K109" s="26">
        <f>IFERROR(VLOOKUP(F109,'05_Master KPI'!$B$5:$G$100,4,FALSE),0)</f>
        <v>20</v>
      </c>
      <c r="L109" s="28">
        <f t="shared" si="1"/>
        <v>17</v>
      </c>
      <c r="M109" s="26" t="str">
        <f>IF(D109="","",IF(J109&gt;='13_Setting'!$H$7,"Tercapai",IF(J109&gt;='13_Setting'!$H$6,"On Track","Tertinggal")))</f>
        <v>On Track</v>
      </c>
      <c r="N109" s="24" t="s">
        <v>211</v>
      </c>
    </row>
    <row r="110" spans="1:14">
      <c r="A110" s="24" t="s">
        <v>40</v>
      </c>
      <c r="B110" s="24">
        <v>2026</v>
      </c>
      <c r="C110" s="25">
        <v>46173</v>
      </c>
      <c r="D110" s="24" t="s">
        <v>90</v>
      </c>
      <c r="E110" s="26" t="str">
        <f>IFERROR(VLOOKUP(D110,'04_Master Karyawan'!$A$5:$F$50,2,FALSE),"")</f>
        <v>Cantika</v>
      </c>
      <c r="F110" s="24" t="s">
        <v>151</v>
      </c>
      <c r="G110" s="26" t="str">
        <f>IFERROR(VLOOKUP(F110,'05_Master KPI'!$B$5:$G$100,2,FALSE)&amp;" ("&amp;VLOOKUP(F110,'05_Master KPI'!$B$5:$G$100,3,FALSE)&amp;")","")</f>
        <v>Campaign Execution (%)</v>
      </c>
      <c r="H110" s="26">
        <f>IFERROR(IF(B110&lt;&gt;'06_Target KPI'!$B$3,0,IF(VLOOKUP(F110,'05_Master KPI'!$B$5:$G$100,6,FALSE)="Kumulatif",INDEX('06_Target KPI'!$E$5:$P$100,MATCH(F110,'06_Target KPI'!$B$5:$B$100,0),MATCH(A110,'06_Target KPI'!$E$4:$P$4,0))*DAY(C110)/DAY(EOMONTH(C110,0)),INDEX('06_Target KPI'!$E$5:$P$100,MATCH(F110,'06_Target KPI'!$B$5:$B$100,0),MATCH(A110,'06_Target KPI'!$E$4:$P$4,0)))),0)</f>
        <v>100</v>
      </c>
      <c r="I110" s="24">
        <v>84.8</v>
      </c>
      <c r="J110" s="27">
        <f>IFERROR(MIN(IF(VLOOKUP(F110,'05_Master KPI'!$B$5:$G$100,5,FALSE)="Lower",H110/I110,I110/H110),1),0)</f>
        <v>0.84799999999999998</v>
      </c>
      <c r="K110" s="26">
        <f>IFERROR(VLOOKUP(F110,'05_Master KPI'!$B$5:$G$100,4,FALSE),0)</f>
        <v>20</v>
      </c>
      <c r="L110" s="28">
        <f t="shared" si="1"/>
        <v>16.96</v>
      </c>
      <c r="M110" s="26" t="str">
        <f>IF(D110="","",IF(J110&gt;='13_Setting'!$H$7,"Tercapai",IF(J110&gt;='13_Setting'!$H$6,"On Track","Tertinggal")))</f>
        <v>Tertinggal</v>
      </c>
      <c r="N110" s="24" t="s">
        <v>211</v>
      </c>
    </row>
    <row r="111" spans="1:14">
      <c r="A111" s="24" t="s">
        <v>40</v>
      </c>
      <c r="B111" s="24">
        <v>2026</v>
      </c>
      <c r="C111" s="25">
        <v>46173</v>
      </c>
      <c r="D111" s="24" t="s">
        <v>90</v>
      </c>
      <c r="E111" s="26" t="str">
        <f>IFERROR(VLOOKUP(D111,'04_Master Karyawan'!$A$5:$F$50,2,FALSE),"")</f>
        <v>Cantika</v>
      </c>
      <c r="F111" s="24" t="s">
        <v>153</v>
      </c>
      <c r="G111" s="26" t="str">
        <f>IFERROR(VLOOKUP(F111,'05_Master KPI'!$B$5:$G$100,2,FALSE)&amp;" ("&amp;VLOOKUP(F111,'05_Master KPI'!$B$5:$G$100,3,FALSE)&amp;")","")</f>
        <v>Lead Conversion (%)</v>
      </c>
      <c r="H111" s="26">
        <f>IFERROR(IF(B111&lt;&gt;'06_Target KPI'!$B$3,0,IF(VLOOKUP(F111,'05_Master KPI'!$B$5:$G$100,6,FALSE)="Kumulatif",INDEX('06_Target KPI'!$E$5:$P$100,MATCH(F111,'06_Target KPI'!$B$5:$B$100,0),MATCH(A111,'06_Target KPI'!$E$4:$P$4,0))*DAY(C111)/DAY(EOMONTH(C111,0)),INDEX('06_Target KPI'!$E$5:$P$100,MATCH(F111,'06_Target KPI'!$B$5:$B$100,0),MATCH(A111,'06_Target KPI'!$E$4:$P$4,0)))),0)</f>
        <v>10</v>
      </c>
      <c r="I111" s="24">
        <v>8.5</v>
      </c>
      <c r="J111" s="27">
        <f>IFERROR(MIN(IF(VLOOKUP(F111,'05_Master KPI'!$B$5:$G$100,5,FALSE)="Lower",H111/I111,I111/H111),1),0)</f>
        <v>0.85</v>
      </c>
      <c r="K111" s="26">
        <f>IFERROR(VLOOKUP(F111,'05_Master KPI'!$B$5:$G$100,4,FALSE),0)</f>
        <v>20</v>
      </c>
      <c r="L111" s="28">
        <f t="shared" si="1"/>
        <v>17</v>
      </c>
      <c r="M111" s="26" t="str">
        <f>IF(D111="","",IF(J111&gt;='13_Setting'!$H$7,"Tercapai",IF(J111&gt;='13_Setting'!$H$6,"On Track","Tertinggal")))</f>
        <v>On Track</v>
      </c>
      <c r="N111" s="24" t="s">
        <v>211</v>
      </c>
    </row>
    <row r="112" spans="1:14">
      <c r="A112" s="24" t="s">
        <v>40</v>
      </c>
      <c r="B112" s="24">
        <v>2026</v>
      </c>
      <c r="C112" s="25">
        <v>46173</v>
      </c>
      <c r="D112" s="24" t="s">
        <v>90</v>
      </c>
      <c r="E112" s="26" t="str">
        <f>IFERROR(VLOOKUP(D112,'04_Master Karyawan'!$A$5:$F$50,2,FALSE),"")</f>
        <v>Cantika</v>
      </c>
      <c r="F112" s="24" t="s">
        <v>155</v>
      </c>
      <c r="G112" s="26" t="str">
        <f>IFERROR(VLOOKUP(F112,'05_Master KPI'!$B$5:$G$100,2,FALSE)&amp;" ("&amp;VLOOKUP(F112,'05_Master KPI'!$B$5:$G$100,3,FALSE)&amp;")","")</f>
        <v>Reporting (%)</v>
      </c>
      <c r="H112" s="26">
        <f>IFERROR(IF(B112&lt;&gt;'06_Target KPI'!$B$3,0,IF(VLOOKUP(F112,'05_Master KPI'!$B$5:$G$100,6,FALSE)="Kumulatif",INDEX('06_Target KPI'!$E$5:$P$100,MATCH(F112,'06_Target KPI'!$B$5:$B$100,0),MATCH(A112,'06_Target KPI'!$E$4:$P$4,0))*DAY(C112)/DAY(EOMONTH(C112,0)),INDEX('06_Target KPI'!$E$5:$P$100,MATCH(F112,'06_Target KPI'!$B$5:$B$100,0),MATCH(A112,'06_Target KPI'!$E$4:$P$4,0)))),0)</f>
        <v>100</v>
      </c>
      <c r="I112" s="24">
        <v>84.8</v>
      </c>
      <c r="J112" s="27">
        <f>IFERROR(MIN(IF(VLOOKUP(F112,'05_Master KPI'!$B$5:$G$100,5,FALSE)="Lower",H112/I112,I112/H112),1),0)</f>
        <v>0.84799999999999998</v>
      </c>
      <c r="K112" s="26">
        <f>IFERROR(VLOOKUP(F112,'05_Master KPI'!$B$5:$G$100,4,FALSE),0)</f>
        <v>10</v>
      </c>
      <c r="L112" s="28">
        <f t="shared" si="1"/>
        <v>8.48</v>
      </c>
      <c r="M112" s="26" t="str">
        <f>IF(D112="","",IF(J112&gt;='13_Setting'!$H$7,"Tercapai",IF(J112&gt;='13_Setting'!$H$6,"On Track","Tertinggal")))</f>
        <v>Tertinggal</v>
      </c>
      <c r="N112" s="24" t="s">
        <v>211</v>
      </c>
    </row>
    <row r="113" spans="1:14">
      <c r="A113" s="24" t="s">
        <v>40</v>
      </c>
      <c r="B113" s="24">
        <v>2026</v>
      </c>
      <c r="C113" s="25">
        <v>46173</v>
      </c>
      <c r="D113" s="24" t="s">
        <v>92</v>
      </c>
      <c r="E113" s="26" t="str">
        <f>IFERROR(VLOOKUP(D113,'04_Master Karyawan'!$A$5:$F$50,2,FALSE),"")</f>
        <v>Jessie</v>
      </c>
      <c r="F113" s="24" t="s">
        <v>143</v>
      </c>
      <c r="G113" s="26" t="str">
        <f>IFERROR(VLOOKUP(F113,'05_Master KPI'!$B$5:$G$100,2,FALSE)&amp;" ("&amp;VLOOKUP(F113,'05_Master KPI'!$B$5:$G$100,3,FALSE)&amp;")","")</f>
        <v>Content Plan (konten)</v>
      </c>
      <c r="H113" s="26">
        <f>IFERROR(IF(B113&lt;&gt;'06_Target KPI'!$B$3,0,IF(VLOOKUP(F113,'05_Master KPI'!$B$5:$G$100,6,FALSE)="Kumulatif",INDEX('06_Target KPI'!$E$5:$P$100,MATCH(F113,'06_Target KPI'!$B$5:$B$100,0),MATCH(A113,'06_Target KPI'!$E$4:$P$4,0))*DAY(C113)/DAY(EOMONTH(C113,0)),INDEX('06_Target KPI'!$E$5:$P$100,MATCH(F113,'06_Target KPI'!$B$5:$B$100,0),MATCH(A113,'06_Target KPI'!$E$4:$P$4,0)))),0)</f>
        <v>30</v>
      </c>
      <c r="I113" s="24">
        <v>26</v>
      </c>
      <c r="J113" s="27">
        <f>IFERROR(MIN(IF(VLOOKUP(F113,'05_Master KPI'!$B$5:$G$100,5,FALSE)="Lower",H113/I113,I113/H113),1),0)</f>
        <v>0.8666666666666667</v>
      </c>
      <c r="K113" s="26">
        <f>IFERROR(VLOOKUP(F113,'05_Master KPI'!$B$5:$G$100,4,FALSE),0)</f>
        <v>15</v>
      </c>
      <c r="L113" s="28">
        <f t="shared" si="1"/>
        <v>13</v>
      </c>
      <c r="M113" s="26" t="str">
        <f>IF(D113="","",IF(J113&gt;='13_Setting'!$H$7,"Tercapai",IF(J113&gt;='13_Setting'!$H$6,"On Track","Tertinggal")))</f>
        <v>On Track</v>
      </c>
      <c r="N113" s="24" t="s">
        <v>211</v>
      </c>
    </row>
    <row r="114" spans="1:14">
      <c r="A114" s="24" t="s">
        <v>40</v>
      </c>
      <c r="B114" s="24">
        <v>2026</v>
      </c>
      <c r="C114" s="25">
        <v>46173</v>
      </c>
      <c r="D114" s="24" t="s">
        <v>92</v>
      </c>
      <c r="E114" s="26" t="str">
        <f>IFERROR(VLOOKUP(D114,'04_Master Karyawan'!$A$5:$F$50,2,FALSE),"")</f>
        <v>Jessie</v>
      </c>
      <c r="F114" s="24" t="s">
        <v>146</v>
      </c>
      <c r="G114" s="26" t="str">
        <f>IFERROR(VLOOKUP(F114,'05_Master KPI'!$B$5:$G$100,2,FALSE)&amp;" ("&amp;VLOOKUP(F114,'05_Master KPI'!$B$5:$G$100,3,FALSE)&amp;")","")</f>
        <v>Engagement Rate (%)</v>
      </c>
      <c r="H114" s="26">
        <f>IFERROR(IF(B114&lt;&gt;'06_Target KPI'!$B$3,0,IF(VLOOKUP(F114,'05_Master KPI'!$B$5:$G$100,6,FALSE)="Kumulatif",INDEX('06_Target KPI'!$E$5:$P$100,MATCH(F114,'06_Target KPI'!$B$5:$B$100,0),MATCH(A114,'06_Target KPI'!$E$4:$P$4,0))*DAY(C114)/DAY(EOMONTH(C114,0)),INDEX('06_Target KPI'!$E$5:$P$100,MATCH(F114,'06_Target KPI'!$B$5:$B$100,0),MATCH(A114,'06_Target KPI'!$E$4:$P$4,0)))),0)</f>
        <v>5</v>
      </c>
      <c r="I114" s="24">
        <v>4.4000000000000004</v>
      </c>
      <c r="J114" s="27">
        <f>IFERROR(MIN(IF(VLOOKUP(F114,'05_Master KPI'!$B$5:$G$100,5,FALSE)="Lower",H114/I114,I114/H114),1),0)</f>
        <v>0.88000000000000012</v>
      </c>
      <c r="K114" s="26">
        <f>IFERROR(VLOOKUP(F114,'05_Master KPI'!$B$5:$G$100,4,FALSE),0)</f>
        <v>15</v>
      </c>
      <c r="L114" s="28">
        <f t="shared" si="1"/>
        <v>13.200000000000001</v>
      </c>
      <c r="M114" s="26" t="str">
        <f>IF(D114="","",IF(J114&gt;='13_Setting'!$H$7,"Tercapai",IF(J114&gt;='13_Setting'!$H$6,"On Track","Tertinggal")))</f>
        <v>On Track</v>
      </c>
      <c r="N114" s="24" t="s">
        <v>211</v>
      </c>
    </row>
    <row r="115" spans="1:14">
      <c r="A115" s="24" t="s">
        <v>40</v>
      </c>
      <c r="B115" s="24">
        <v>2026</v>
      </c>
      <c r="C115" s="25">
        <v>46173</v>
      </c>
      <c r="D115" s="24" t="s">
        <v>92</v>
      </c>
      <c r="E115" s="26" t="str">
        <f>IFERROR(VLOOKUP(D115,'04_Master Karyawan'!$A$5:$F$50,2,FALSE),"")</f>
        <v>Jessie</v>
      </c>
      <c r="F115" s="24" t="s">
        <v>148</v>
      </c>
      <c r="G115" s="26" t="str">
        <f>IFERROR(VLOOKUP(F115,'05_Master KPI'!$B$5:$G$100,2,FALSE)&amp;" ("&amp;VLOOKUP(F115,'05_Master KPI'!$B$5:$G$100,3,FALSE)&amp;")","")</f>
        <v>Qualified Leads (lead)</v>
      </c>
      <c r="H115" s="26">
        <f>IFERROR(IF(B115&lt;&gt;'06_Target KPI'!$B$3,0,IF(VLOOKUP(F115,'05_Master KPI'!$B$5:$G$100,6,FALSE)="Kumulatif",INDEX('06_Target KPI'!$E$5:$P$100,MATCH(F115,'06_Target KPI'!$B$5:$B$100,0),MATCH(A115,'06_Target KPI'!$E$4:$P$4,0))*DAY(C115)/DAY(EOMONTH(C115,0)),INDEX('06_Target KPI'!$E$5:$P$100,MATCH(F115,'06_Target KPI'!$B$5:$B$100,0),MATCH(A115,'06_Target KPI'!$E$4:$P$4,0)))),0)</f>
        <v>100</v>
      </c>
      <c r="I115" s="24">
        <v>87</v>
      </c>
      <c r="J115" s="27">
        <f>IFERROR(MIN(IF(VLOOKUP(F115,'05_Master KPI'!$B$5:$G$100,5,FALSE)="Lower",H115/I115,I115/H115),1),0)</f>
        <v>0.87</v>
      </c>
      <c r="K115" s="26">
        <f>IFERROR(VLOOKUP(F115,'05_Master KPI'!$B$5:$G$100,4,FALSE),0)</f>
        <v>20</v>
      </c>
      <c r="L115" s="28">
        <f t="shared" si="1"/>
        <v>17.399999999999999</v>
      </c>
      <c r="M115" s="26" t="str">
        <f>IF(D115="","",IF(J115&gt;='13_Setting'!$H$7,"Tercapai",IF(J115&gt;='13_Setting'!$H$6,"On Track","Tertinggal")))</f>
        <v>On Track</v>
      </c>
      <c r="N115" s="24" t="s">
        <v>211</v>
      </c>
    </row>
    <row r="116" spans="1:14">
      <c r="A116" s="24" t="s">
        <v>40</v>
      </c>
      <c r="B116" s="24">
        <v>2026</v>
      </c>
      <c r="C116" s="25">
        <v>46173</v>
      </c>
      <c r="D116" s="24" t="s">
        <v>92</v>
      </c>
      <c r="E116" s="26" t="str">
        <f>IFERROR(VLOOKUP(D116,'04_Master Karyawan'!$A$5:$F$50,2,FALSE),"")</f>
        <v>Jessie</v>
      </c>
      <c r="F116" s="24" t="s">
        <v>151</v>
      </c>
      <c r="G116" s="26" t="str">
        <f>IFERROR(VLOOKUP(F116,'05_Master KPI'!$B$5:$G$100,2,FALSE)&amp;" ("&amp;VLOOKUP(F116,'05_Master KPI'!$B$5:$G$100,3,FALSE)&amp;")","")</f>
        <v>Campaign Execution (%)</v>
      </c>
      <c r="H116" s="26">
        <f>IFERROR(IF(B116&lt;&gt;'06_Target KPI'!$B$3,0,IF(VLOOKUP(F116,'05_Master KPI'!$B$5:$G$100,6,FALSE)="Kumulatif",INDEX('06_Target KPI'!$E$5:$P$100,MATCH(F116,'06_Target KPI'!$B$5:$B$100,0),MATCH(A116,'06_Target KPI'!$E$4:$P$4,0))*DAY(C116)/DAY(EOMONTH(C116,0)),INDEX('06_Target KPI'!$E$5:$P$100,MATCH(F116,'06_Target KPI'!$B$5:$B$100,0),MATCH(A116,'06_Target KPI'!$E$4:$P$4,0)))),0)</f>
        <v>100</v>
      </c>
      <c r="I116" s="24">
        <v>87.3</v>
      </c>
      <c r="J116" s="27">
        <f>IFERROR(MIN(IF(VLOOKUP(F116,'05_Master KPI'!$B$5:$G$100,5,FALSE)="Lower",H116/I116,I116/H116),1),0)</f>
        <v>0.873</v>
      </c>
      <c r="K116" s="26">
        <f>IFERROR(VLOOKUP(F116,'05_Master KPI'!$B$5:$G$100,4,FALSE),0)</f>
        <v>20</v>
      </c>
      <c r="L116" s="28">
        <f t="shared" si="1"/>
        <v>17.46</v>
      </c>
      <c r="M116" s="26" t="str">
        <f>IF(D116="","",IF(J116&gt;='13_Setting'!$H$7,"Tercapai",IF(J116&gt;='13_Setting'!$H$6,"On Track","Tertinggal")))</f>
        <v>On Track</v>
      </c>
      <c r="N116" s="24" t="s">
        <v>211</v>
      </c>
    </row>
    <row r="117" spans="1:14">
      <c r="A117" s="24" t="s">
        <v>40</v>
      </c>
      <c r="B117" s="24">
        <v>2026</v>
      </c>
      <c r="C117" s="25">
        <v>46173</v>
      </c>
      <c r="D117" s="24" t="s">
        <v>92</v>
      </c>
      <c r="E117" s="26" t="str">
        <f>IFERROR(VLOOKUP(D117,'04_Master Karyawan'!$A$5:$F$50,2,FALSE),"")</f>
        <v>Jessie</v>
      </c>
      <c r="F117" s="24" t="s">
        <v>153</v>
      </c>
      <c r="G117" s="26" t="str">
        <f>IFERROR(VLOOKUP(F117,'05_Master KPI'!$B$5:$G$100,2,FALSE)&amp;" ("&amp;VLOOKUP(F117,'05_Master KPI'!$B$5:$G$100,3,FALSE)&amp;")","")</f>
        <v>Lead Conversion (%)</v>
      </c>
      <c r="H117" s="26">
        <f>IFERROR(IF(B117&lt;&gt;'06_Target KPI'!$B$3,0,IF(VLOOKUP(F117,'05_Master KPI'!$B$5:$G$100,6,FALSE)="Kumulatif",INDEX('06_Target KPI'!$E$5:$P$100,MATCH(F117,'06_Target KPI'!$B$5:$B$100,0),MATCH(A117,'06_Target KPI'!$E$4:$P$4,0))*DAY(C117)/DAY(EOMONTH(C117,0)),INDEX('06_Target KPI'!$E$5:$P$100,MATCH(F117,'06_Target KPI'!$B$5:$B$100,0),MATCH(A117,'06_Target KPI'!$E$4:$P$4,0)))),0)</f>
        <v>10</v>
      </c>
      <c r="I117" s="24">
        <v>8.6999999999999993</v>
      </c>
      <c r="J117" s="27">
        <f>IFERROR(MIN(IF(VLOOKUP(F117,'05_Master KPI'!$B$5:$G$100,5,FALSE)="Lower",H117/I117,I117/H117),1),0)</f>
        <v>0.86999999999999988</v>
      </c>
      <c r="K117" s="26">
        <f>IFERROR(VLOOKUP(F117,'05_Master KPI'!$B$5:$G$100,4,FALSE),0)</f>
        <v>20</v>
      </c>
      <c r="L117" s="28">
        <f t="shared" si="1"/>
        <v>17.399999999999999</v>
      </c>
      <c r="M117" s="26" t="str">
        <f>IF(D117="","",IF(J117&gt;='13_Setting'!$H$7,"Tercapai",IF(J117&gt;='13_Setting'!$H$6,"On Track","Tertinggal")))</f>
        <v>On Track</v>
      </c>
      <c r="N117" s="24" t="s">
        <v>211</v>
      </c>
    </row>
    <row r="118" spans="1:14">
      <c r="A118" s="24" t="s">
        <v>40</v>
      </c>
      <c r="B118" s="24">
        <v>2026</v>
      </c>
      <c r="C118" s="25">
        <v>46173</v>
      </c>
      <c r="D118" s="24" t="s">
        <v>92</v>
      </c>
      <c r="E118" s="26" t="str">
        <f>IFERROR(VLOOKUP(D118,'04_Master Karyawan'!$A$5:$F$50,2,FALSE),"")</f>
        <v>Jessie</v>
      </c>
      <c r="F118" s="24" t="s">
        <v>155</v>
      </c>
      <c r="G118" s="26" t="str">
        <f>IFERROR(VLOOKUP(F118,'05_Master KPI'!$B$5:$G$100,2,FALSE)&amp;" ("&amp;VLOOKUP(F118,'05_Master KPI'!$B$5:$G$100,3,FALSE)&amp;")","")</f>
        <v>Reporting (%)</v>
      </c>
      <c r="H118" s="26">
        <f>IFERROR(IF(B118&lt;&gt;'06_Target KPI'!$B$3,0,IF(VLOOKUP(F118,'05_Master KPI'!$B$5:$G$100,6,FALSE)="Kumulatif",INDEX('06_Target KPI'!$E$5:$P$100,MATCH(F118,'06_Target KPI'!$B$5:$B$100,0),MATCH(A118,'06_Target KPI'!$E$4:$P$4,0))*DAY(C118)/DAY(EOMONTH(C118,0)),INDEX('06_Target KPI'!$E$5:$P$100,MATCH(F118,'06_Target KPI'!$B$5:$B$100,0),MATCH(A118,'06_Target KPI'!$E$4:$P$4,0)))),0)</f>
        <v>100</v>
      </c>
      <c r="I118" s="24">
        <v>87.3</v>
      </c>
      <c r="J118" s="27">
        <f>IFERROR(MIN(IF(VLOOKUP(F118,'05_Master KPI'!$B$5:$G$100,5,FALSE)="Lower",H118/I118,I118/H118),1),0)</f>
        <v>0.873</v>
      </c>
      <c r="K118" s="26">
        <f>IFERROR(VLOOKUP(F118,'05_Master KPI'!$B$5:$G$100,4,FALSE),0)</f>
        <v>10</v>
      </c>
      <c r="L118" s="28">
        <f t="shared" si="1"/>
        <v>8.73</v>
      </c>
      <c r="M118" s="26" t="str">
        <f>IF(D118="","",IF(J118&gt;='13_Setting'!$H$7,"Tercapai",IF(J118&gt;='13_Setting'!$H$6,"On Track","Tertinggal")))</f>
        <v>On Track</v>
      </c>
      <c r="N118" s="24" t="s">
        <v>211</v>
      </c>
    </row>
    <row r="119" spans="1:14">
      <c r="A119" s="24" t="s">
        <v>40</v>
      </c>
      <c r="B119" s="24">
        <v>2026</v>
      </c>
      <c r="C119" s="25">
        <v>46173</v>
      </c>
      <c r="D119" s="24" t="s">
        <v>94</v>
      </c>
      <c r="E119" s="26" t="str">
        <f>IFERROR(VLOOKUP(D119,'04_Master Karyawan'!$A$5:$F$50,2,FALSE),"")</f>
        <v>Kia</v>
      </c>
      <c r="F119" s="24" t="s">
        <v>143</v>
      </c>
      <c r="G119" s="26" t="str">
        <f>IFERROR(VLOOKUP(F119,'05_Master KPI'!$B$5:$G$100,2,FALSE)&amp;" ("&amp;VLOOKUP(F119,'05_Master KPI'!$B$5:$G$100,3,FALSE)&amp;")","")</f>
        <v>Content Plan (konten)</v>
      </c>
      <c r="H119" s="26">
        <f>IFERROR(IF(B119&lt;&gt;'06_Target KPI'!$B$3,0,IF(VLOOKUP(F119,'05_Master KPI'!$B$5:$G$100,6,FALSE)="Kumulatif",INDEX('06_Target KPI'!$E$5:$P$100,MATCH(F119,'06_Target KPI'!$B$5:$B$100,0),MATCH(A119,'06_Target KPI'!$E$4:$P$4,0))*DAY(C119)/DAY(EOMONTH(C119,0)),INDEX('06_Target KPI'!$E$5:$P$100,MATCH(F119,'06_Target KPI'!$B$5:$B$100,0),MATCH(A119,'06_Target KPI'!$E$4:$P$4,0)))),0)</f>
        <v>30</v>
      </c>
      <c r="I119" s="24">
        <v>27</v>
      </c>
      <c r="J119" s="27">
        <f>IFERROR(MIN(IF(VLOOKUP(F119,'05_Master KPI'!$B$5:$G$100,5,FALSE)="Lower",H119/I119,I119/H119),1),0)</f>
        <v>0.9</v>
      </c>
      <c r="K119" s="26">
        <f>IFERROR(VLOOKUP(F119,'05_Master KPI'!$B$5:$G$100,4,FALSE),0)</f>
        <v>15</v>
      </c>
      <c r="L119" s="28">
        <f t="shared" si="1"/>
        <v>13.5</v>
      </c>
      <c r="M119" s="26" t="str">
        <f>IF(D119="","",IF(J119&gt;='13_Setting'!$H$7,"Tercapai",IF(J119&gt;='13_Setting'!$H$6,"On Track","Tertinggal")))</f>
        <v>On Track</v>
      </c>
      <c r="N119" s="24" t="s">
        <v>211</v>
      </c>
    </row>
    <row r="120" spans="1:14">
      <c r="A120" s="24" t="s">
        <v>40</v>
      </c>
      <c r="B120" s="24">
        <v>2026</v>
      </c>
      <c r="C120" s="25">
        <v>46173</v>
      </c>
      <c r="D120" s="24" t="s">
        <v>94</v>
      </c>
      <c r="E120" s="26" t="str">
        <f>IFERROR(VLOOKUP(D120,'04_Master Karyawan'!$A$5:$F$50,2,FALSE),"")</f>
        <v>Kia</v>
      </c>
      <c r="F120" s="24" t="s">
        <v>146</v>
      </c>
      <c r="G120" s="26" t="str">
        <f>IFERROR(VLOOKUP(F120,'05_Master KPI'!$B$5:$G$100,2,FALSE)&amp;" ("&amp;VLOOKUP(F120,'05_Master KPI'!$B$5:$G$100,3,FALSE)&amp;")","")</f>
        <v>Engagement Rate (%)</v>
      </c>
      <c r="H120" s="26">
        <f>IFERROR(IF(B120&lt;&gt;'06_Target KPI'!$B$3,0,IF(VLOOKUP(F120,'05_Master KPI'!$B$5:$G$100,6,FALSE)="Kumulatif",INDEX('06_Target KPI'!$E$5:$P$100,MATCH(F120,'06_Target KPI'!$B$5:$B$100,0),MATCH(A120,'06_Target KPI'!$E$4:$P$4,0))*DAY(C120)/DAY(EOMONTH(C120,0)),INDEX('06_Target KPI'!$E$5:$P$100,MATCH(F120,'06_Target KPI'!$B$5:$B$100,0),MATCH(A120,'06_Target KPI'!$E$4:$P$4,0)))),0)</f>
        <v>5</v>
      </c>
      <c r="I120" s="24">
        <v>4.5</v>
      </c>
      <c r="J120" s="27">
        <f>IFERROR(MIN(IF(VLOOKUP(F120,'05_Master KPI'!$B$5:$G$100,5,FALSE)="Lower",H120/I120,I120/H120),1),0)</f>
        <v>0.9</v>
      </c>
      <c r="K120" s="26">
        <f>IFERROR(VLOOKUP(F120,'05_Master KPI'!$B$5:$G$100,4,FALSE),0)</f>
        <v>15</v>
      </c>
      <c r="L120" s="28">
        <f t="shared" si="1"/>
        <v>13.5</v>
      </c>
      <c r="M120" s="26" t="str">
        <f>IF(D120="","",IF(J120&gt;='13_Setting'!$H$7,"Tercapai",IF(J120&gt;='13_Setting'!$H$6,"On Track","Tertinggal")))</f>
        <v>On Track</v>
      </c>
      <c r="N120" s="24" t="s">
        <v>211</v>
      </c>
    </row>
    <row r="121" spans="1:14">
      <c r="A121" s="24" t="s">
        <v>40</v>
      </c>
      <c r="B121" s="24">
        <v>2026</v>
      </c>
      <c r="C121" s="25">
        <v>46173</v>
      </c>
      <c r="D121" s="24" t="s">
        <v>94</v>
      </c>
      <c r="E121" s="26" t="str">
        <f>IFERROR(VLOOKUP(D121,'04_Master Karyawan'!$A$5:$F$50,2,FALSE),"")</f>
        <v>Kia</v>
      </c>
      <c r="F121" s="24" t="s">
        <v>148</v>
      </c>
      <c r="G121" s="26" t="str">
        <f>IFERROR(VLOOKUP(F121,'05_Master KPI'!$B$5:$G$100,2,FALSE)&amp;" ("&amp;VLOOKUP(F121,'05_Master KPI'!$B$5:$G$100,3,FALSE)&amp;")","")</f>
        <v>Qualified Leads (lead)</v>
      </c>
      <c r="H121" s="26">
        <f>IFERROR(IF(B121&lt;&gt;'06_Target KPI'!$B$3,0,IF(VLOOKUP(F121,'05_Master KPI'!$B$5:$G$100,6,FALSE)="Kumulatif",INDEX('06_Target KPI'!$E$5:$P$100,MATCH(F121,'06_Target KPI'!$B$5:$B$100,0),MATCH(A121,'06_Target KPI'!$E$4:$P$4,0))*DAY(C121)/DAY(EOMONTH(C121,0)),INDEX('06_Target KPI'!$E$5:$P$100,MATCH(F121,'06_Target KPI'!$B$5:$B$100,0),MATCH(A121,'06_Target KPI'!$E$4:$P$4,0)))),0)</f>
        <v>100</v>
      </c>
      <c r="I121" s="24">
        <v>90</v>
      </c>
      <c r="J121" s="27">
        <f>IFERROR(MIN(IF(VLOOKUP(F121,'05_Master KPI'!$B$5:$G$100,5,FALSE)="Lower",H121/I121,I121/H121),1),0)</f>
        <v>0.9</v>
      </c>
      <c r="K121" s="26">
        <f>IFERROR(VLOOKUP(F121,'05_Master KPI'!$B$5:$G$100,4,FALSE),0)</f>
        <v>20</v>
      </c>
      <c r="L121" s="28">
        <f t="shared" si="1"/>
        <v>18</v>
      </c>
      <c r="M121" s="26" t="str">
        <f>IF(D121="","",IF(J121&gt;='13_Setting'!$H$7,"Tercapai",IF(J121&gt;='13_Setting'!$H$6,"On Track","Tertinggal")))</f>
        <v>On Track</v>
      </c>
      <c r="N121" s="24" t="s">
        <v>211</v>
      </c>
    </row>
    <row r="122" spans="1:14">
      <c r="A122" s="24" t="s">
        <v>40</v>
      </c>
      <c r="B122" s="24">
        <v>2026</v>
      </c>
      <c r="C122" s="25">
        <v>46173</v>
      </c>
      <c r="D122" s="24" t="s">
        <v>94</v>
      </c>
      <c r="E122" s="26" t="str">
        <f>IFERROR(VLOOKUP(D122,'04_Master Karyawan'!$A$5:$F$50,2,FALSE),"")</f>
        <v>Kia</v>
      </c>
      <c r="F122" s="24" t="s">
        <v>151</v>
      </c>
      <c r="G122" s="26" t="str">
        <f>IFERROR(VLOOKUP(F122,'05_Master KPI'!$B$5:$G$100,2,FALSE)&amp;" ("&amp;VLOOKUP(F122,'05_Master KPI'!$B$5:$G$100,3,FALSE)&amp;")","")</f>
        <v>Campaign Execution (%)</v>
      </c>
      <c r="H122" s="26">
        <f>IFERROR(IF(B122&lt;&gt;'06_Target KPI'!$B$3,0,IF(VLOOKUP(F122,'05_Master KPI'!$B$5:$G$100,6,FALSE)="Kumulatif",INDEX('06_Target KPI'!$E$5:$P$100,MATCH(F122,'06_Target KPI'!$B$5:$B$100,0),MATCH(A122,'06_Target KPI'!$E$4:$P$4,0))*DAY(C122)/DAY(EOMONTH(C122,0)),INDEX('06_Target KPI'!$E$5:$P$100,MATCH(F122,'06_Target KPI'!$B$5:$B$100,0),MATCH(A122,'06_Target KPI'!$E$4:$P$4,0)))),0)</f>
        <v>100</v>
      </c>
      <c r="I122" s="24">
        <v>89.8</v>
      </c>
      <c r="J122" s="27">
        <f>IFERROR(MIN(IF(VLOOKUP(F122,'05_Master KPI'!$B$5:$G$100,5,FALSE)="Lower",H122/I122,I122/H122),1),0)</f>
        <v>0.89800000000000002</v>
      </c>
      <c r="K122" s="26">
        <f>IFERROR(VLOOKUP(F122,'05_Master KPI'!$B$5:$G$100,4,FALSE),0)</f>
        <v>20</v>
      </c>
      <c r="L122" s="28">
        <f t="shared" si="1"/>
        <v>17.96</v>
      </c>
      <c r="M122" s="26" t="str">
        <f>IF(D122="","",IF(J122&gt;='13_Setting'!$H$7,"Tercapai",IF(J122&gt;='13_Setting'!$H$6,"On Track","Tertinggal")))</f>
        <v>On Track</v>
      </c>
      <c r="N122" s="24" t="s">
        <v>211</v>
      </c>
    </row>
    <row r="123" spans="1:14">
      <c r="A123" s="24" t="s">
        <v>40</v>
      </c>
      <c r="B123" s="24">
        <v>2026</v>
      </c>
      <c r="C123" s="25">
        <v>46173</v>
      </c>
      <c r="D123" s="24" t="s">
        <v>94</v>
      </c>
      <c r="E123" s="26" t="str">
        <f>IFERROR(VLOOKUP(D123,'04_Master Karyawan'!$A$5:$F$50,2,FALSE),"")</f>
        <v>Kia</v>
      </c>
      <c r="F123" s="24" t="s">
        <v>153</v>
      </c>
      <c r="G123" s="26" t="str">
        <f>IFERROR(VLOOKUP(F123,'05_Master KPI'!$B$5:$G$100,2,FALSE)&amp;" ("&amp;VLOOKUP(F123,'05_Master KPI'!$B$5:$G$100,3,FALSE)&amp;")","")</f>
        <v>Lead Conversion (%)</v>
      </c>
      <c r="H123" s="26">
        <f>IFERROR(IF(B123&lt;&gt;'06_Target KPI'!$B$3,0,IF(VLOOKUP(F123,'05_Master KPI'!$B$5:$G$100,6,FALSE)="Kumulatif",INDEX('06_Target KPI'!$E$5:$P$100,MATCH(F123,'06_Target KPI'!$B$5:$B$100,0),MATCH(A123,'06_Target KPI'!$E$4:$P$4,0))*DAY(C123)/DAY(EOMONTH(C123,0)),INDEX('06_Target KPI'!$E$5:$P$100,MATCH(F123,'06_Target KPI'!$B$5:$B$100,0),MATCH(A123,'06_Target KPI'!$E$4:$P$4,0)))),0)</f>
        <v>10</v>
      </c>
      <c r="I123" s="24">
        <v>9</v>
      </c>
      <c r="J123" s="27">
        <f>IFERROR(MIN(IF(VLOOKUP(F123,'05_Master KPI'!$B$5:$G$100,5,FALSE)="Lower",H123/I123,I123/H123),1),0)</f>
        <v>0.9</v>
      </c>
      <c r="K123" s="26">
        <f>IFERROR(VLOOKUP(F123,'05_Master KPI'!$B$5:$G$100,4,FALSE),0)</f>
        <v>20</v>
      </c>
      <c r="L123" s="28">
        <f t="shared" si="1"/>
        <v>18</v>
      </c>
      <c r="M123" s="26" t="str">
        <f>IF(D123="","",IF(J123&gt;='13_Setting'!$H$7,"Tercapai",IF(J123&gt;='13_Setting'!$H$6,"On Track","Tertinggal")))</f>
        <v>On Track</v>
      </c>
      <c r="N123" s="24" t="s">
        <v>211</v>
      </c>
    </row>
    <row r="124" spans="1:14">
      <c r="A124" s="24" t="s">
        <v>40</v>
      </c>
      <c r="B124" s="24">
        <v>2026</v>
      </c>
      <c r="C124" s="25">
        <v>46173</v>
      </c>
      <c r="D124" s="24" t="s">
        <v>94</v>
      </c>
      <c r="E124" s="26" t="str">
        <f>IFERROR(VLOOKUP(D124,'04_Master Karyawan'!$A$5:$F$50,2,FALSE),"")</f>
        <v>Kia</v>
      </c>
      <c r="F124" s="24" t="s">
        <v>155</v>
      </c>
      <c r="G124" s="26" t="str">
        <f>IFERROR(VLOOKUP(F124,'05_Master KPI'!$B$5:$G$100,2,FALSE)&amp;" ("&amp;VLOOKUP(F124,'05_Master KPI'!$B$5:$G$100,3,FALSE)&amp;")","")</f>
        <v>Reporting (%)</v>
      </c>
      <c r="H124" s="26">
        <f>IFERROR(IF(B124&lt;&gt;'06_Target KPI'!$B$3,0,IF(VLOOKUP(F124,'05_Master KPI'!$B$5:$G$100,6,FALSE)="Kumulatif",INDEX('06_Target KPI'!$E$5:$P$100,MATCH(F124,'06_Target KPI'!$B$5:$B$100,0),MATCH(A124,'06_Target KPI'!$E$4:$P$4,0))*DAY(C124)/DAY(EOMONTH(C124,0)),INDEX('06_Target KPI'!$E$5:$P$100,MATCH(F124,'06_Target KPI'!$B$5:$B$100,0),MATCH(A124,'06_Target KPI'!$E$4:$P$4,0)))),0)</f>
        <v>100</v>
      </c>
      <c r="I124" s="24">
        <v>89.8</v>
      </c>
      <c r="J124" s="27">
        <f>IFERROR(MIN(IF(VLOOKUP(F124,'05_Master KPI'!$B$5:$G$100,5,FALSE)="Lower",H124/I124,I124/H124),1),0)</f>
        <v>0.89800000000000002</v>
      </c>
      <c r="K124" s="26">
        <f>IFERROR(VLOOKUP(F124,'05_Master KPI'!$B$5:$G$100,4,FALSE),0)</f>
        <v>10</v>
      </c>
      <c r="L124" s="28">
        <f t="shared" si="1"/>
        <v>8.98</v>
      </c>
      <c r="M124" s="26" t="str">
        <f>IF(D124="","",IF(J124&gt;='13_Setting'!$H$7,"Tercapai",IF(J124&gt;='13_Setting'!$H$6,"On Track","Tertinggal")))</f>
        <v>On Track</v>
      </c>
      <c r="N124" s="24" t="s">
        <v>211</v>
      </c>
    </row>
    <row r="125" spans="1:14">
      <c r="A125" s="24" t="s">
        <v>196</v>
      </c>
      <c r="B125" s="24">
        <v>2026</v>
      </c>
      <c r="C125" s="25">
        <v>46203</v>
      </c>
      <c r="D125" s="24" t="s">
        <v>86</v>
      </c>
      <c r="E125" s="26" t="str">
        <f>IFERROR(VLOOKUP(D125,'04_Master Karyawan'!$A$5:$F$50,2,FALSE),"")</f>
        <v>Stephan</v>
      </c>
      <c r="F125" s="24" t="s">
        <v>143</v>
      </c>
      <c r="G125" s="26" t="str">
        <f>IFERROR(VLOOKUP(F125,'05_Master KPI'!$B$5:$G$100,2,FALSE)&amp;" ("&amp;VLOOKUP(F125,'05_Master KPI'!$B$5:$G$100,3,FALSE)&amp;")","")</f>
        <v>Content Plan (konten)</v>
      </c>
      <c r="H125" s="26">
        <f>IFERROR(IF(B125&lt;&gt;'06_Target KPI'!$B$3,0,IF(VLOOKUP(F125,'05_Master KPI'!$B$5:$G$100,6,FALSE)="Kumulatif",INDEX('06_Target KPI'!$E$5:$P$100,MATCH(F125,'06_Target KPI'!$B$5:$B$100,0),MATCH(A125,'06_Target KPI'!$E$4:$P$4,0))*DAY(C125)/DAY(EOMONTH(C125,0)),INDEX('06_Target KPI'!$E$5:$P$100,MATCH(F125,'06_Target KPI'!$B$5:$B$100,0),MATCH(A125,'06_Target KPI'!$E$4:$P$4,0)))),0)</f>
        <v>30</v>
      </c>
      <c r="I125" s="24">
        <v>26</v>
      </c>
      <c r="J125" s="27">
        <f>IFERROR(MIN(IF(VLOOKUP(F125,'05_Master KPI'!$B$5:$G$100,5,FALSE)="Lower",H125/I125,I125/H125),1),0)</f>
        <v>0.8666666666666667</v>
      </c>
      <c r="K125" s="26">
        <f>IFERROR(VLOOKUP(F125,'05_Master KPI'!$B$5:$G$100,4,FALSE),0)</f>
        <v>15</v>
      </c>
      <c r="L125" s="28">
        <f t="shared" si="1"/>
        <v>13</v>
      </c>
      <c r="M125" s="26" t="str">
        <f>IF(D125="","",IF(J125&gt;='13_Setting'!$H$7,"Tercapai",IF(J125&gt;='13_Setting'!$H$6,"On Track","Tertinggal")))</f>
        <v>On Track</v>
      </c>
      <c r="N125" s="24" t="s">
        <v>211</v>
      </c>
    </row>
    <row r="126" spans="1:14">
      <c r="A126" s="24" t="s">
        <v>196</v>
      </c>
      <c r="B126" s="24">
        <v>2026</v>
      </c>
      <c r="C126" s="25">
        <v>46203</v>
      </c>
      <c r="D126" s="24" t="s">
        <v>86</v>
      </c>
      <c r="E126" s="26" t="str">
        <f>IFERROR(VLOOKUP(D126,'04_Master Karyawan'!$A$5:$F$50,2,FALSE),"")</f>
        <v>Stephan</v>
      </c>
      <c r="F126" s="24" t="s">
        <v>146</v>
      </c>
      <c r="G126" s="26" t="str">
        <f>IFERROR(VLOOKUP(F126,'05_Master KPI'!$B$5:$G$100,2,FALSE)&amp;" ("&amp;VLOOKUP(F126,'05_Master KPI'!$B$5:$G$100,3,FALSE)&amp;")","")</f>
        <v>Engagement Rate (%)</v>
      </c>
      <c r="H126" s="26">
        <f>IFERROR(IF(B126&lt;&gt;'06_Target KPI'!$B$3,0,IF(VLOOKUP(F126,'05_Master KPI'!$B$5:$G$100,6,FALSE)="Kumulatif",INDEX('06_Target KPI'!$E$5:$P$100,MATCH(F126,'06_Target KPI'!$B$5:$B$100,0),MATCH(A126,'06_Target KPI'!$E$4:$P$4,0))*DAY(C126)/DAY(EOMONTH(C126,0)),INDEX('06_Target KPI'!$E$5:$P$100,MATCH(F126,'06_Target KPI'!$B$5:$B$100,0),MATCH(A126,'06_Target KPI'!$E$4:$P$4,0)))),0)</f>
        <v>5</v>
      </c>
      <c r="I126" s="24">
        <v>4.3</v>
      </c>
      <c r="J126" s="27">
        <f>IFERROR(MIN(IF(VLOOKUP(F126,'05_Master KPI'!$B$5:$G$100,5,FALSE)="Lower",H126/I126,I126/H126),1),0)</f>
        <v>0.86</v>
      </c>
      <c r="K126" s="26">
        <f>IFERROR(VLOOKUP(F126,'05_Master KPI'!$B$5:$G$100,4,FALSE),0)</f>
        <v>15</v>
      </c>
      <c r="L126" s="28">
        <f t="shared" si="1"/>
        <v>12.9</v>
      </c>
      <c r="M126" s="26" t="str">
        <f>IF(D126="","",IF(J126&gt;='13_Setting'!$H$7,"Tercapai",IF(J126&gt;='13_Setting'!$H$6,"On Track","Tertinggal")))</f>
        <v>On Track</v>
      </c>
      <c r="N126" s="24" t="s">
        <v>211</v>
      </c>
    </row>
    <row r="127" spans="1:14">
      <c r="A127" s="24" t="s">
        <v>196</v>
      </c>
      <c r="B127" s="24">
        <v>2026</v>
      </c>
      <c r="C127" s="25">
        <v>46203</v>
      </c>
      <c r="D127" s="24" t="s">
        <v>86</v>
      </c>
      <c r="E127" s="26" t="str">
        <f>IFERROR(VLOOKUP(D127,'04_Master Karyawan'!$A$5:$F$50,2,FALSE),"")</f>
        <v>Stephan</v>
      </c>
      <c r="F127" s="24" t="s">
        <v>148</v>
      </c>
      <c r="G127" s="26" t="str">
        <f>IFERROR(VLOOKUP(F127,'05_Master KPI'!$B$5:$G$100,2,FALSE)&amp;" ("&amp;VLOOKUP(F127,'05_Master KPI'!$B$5:$G$100,3,FALSE)&amp;")","")</f>
        <v>Qualified Leads (lead)</v>
      </c>
      <c r="H127" s="26">
        <f>IFERROR(IF(B127&lt;&gt;'06_Target KPI'!$B$3,0,IF(VLOOKUP(F127,'05_Master KPI'!$B$5:$G$100,6,FALSE)="Kumulatif",INDEX('06_Target KPI'!$E$5:$P$100,MATCH(F127,'06_Target KPI'!$B$5:$B$100,0),MATCH(A127,'06_Target KPI'!$E$4:$P$4,0))*DAY(C127)/DAY(EOMONTH(C127,0)),INDEX('06_Target KPI'!$E$5:$P$100,MATCH(F127,'06_Target KPI'!$B$5:$B$100,0),MATCH(A127,'06_Target KPI'!$E$4:$P$4,0)))),0)</f>
        <v>100</v>
      </c>
      <c r="I127" s="24">
        <v>85</v>
      </c>
      <c r="J127" s="27">
        <f>IFERROR(MIN(IF(VLOOKUP(F127,'05_Master KPI'!$B$5:$G$100,5,FALSE)="Lower",H127/I127,I127/H127),1),0)</f>
        <v>0.85</v>
      </c>
      <c r="K127" s="26">
        <f>IFERROR(VLOOKUP(F127,'05_Master KPI'!$B$5:$G$100,4,FALSE),0)</f>
        <v>20</v>
      </c>
      <c r="L127" s="28">
        <f t="shared" si="1"/>
        <v>17</v>
      </c>
      <c r="M127" s="26" t="str">
        <f>IF(D127="","",IF(J127&gt;='13_Setting'!$H$7,"Tercapai",IF(J127&gt;='13_Setting'!$H$6,"On Track","Tertinggal")))</f>
        <v>On Track</v>
      </c>
      <c r="N127" s="24" t="s">
        <v>211</v>
      </c>
    </row>
    <row r="128" spans="1:14">
      <c r="A128" s="24" t="s">
        <v>196</v>
      </c>
      <c r="B128" s="24">
        <v>2026</v>
      </c>
      <c r="C128" s="25">
        <v>46203</v>
      </c>
      <c r="D128" s="24" t="s">
        <v>86</v>
      </c>
      <c r="E128" s="26" t="str">
        <f>IFERROR(VLOOKUP(D128,'04_Master Karyawan'!$A$5:$F$50,2,FALSE),"")</f>
        <v>Stephan</v>
      </c>
      <c r="F128" s="24" t="s">
        <v>151</v>
      </c>
      <c r="G128" s="26" t="str">
        <f>IFERROR(VLOOKUP(F128,'05_Master KPI'!$B$5:$G$100,2,FALSE)&amp;" ("&amp;VLOOKUP(F128,'05_Master KPI'!$B$5:$G$100,3,FALSE)&amp;")","")</f>
        <v>Campaign Execution (%)</v>
      </c>
      <c r="H128" s="26">
        <f>IFERROR(IF(B128&lt;&gt;'06_Target KPI'!$B$3,0,IF(VLOOKUP(F128,'05_Master KPI'!$B$5:$G$100,6,FALSE)="Kumulatif",INDEX('06_Target KPI'!$E$5:$P$100,MATCH(F128,'06_Target KPI'!$B$5:$B$100,0),MATCH(A128,'06_Target KPI'!$E$4:$P$4,0))*DAY(C128)/DAY(EOMONTH(C128,0)),INDEX('06_Target KPI'!$E$5:$P$100,MATCH(F128,'06_Target KPI'!$B$5:$B$100,0),MATCH(A128,'06_Target KPI'!$E$4:$P$4,0)))),0)</f>
        <v>100</v>
      </c>
      <c r="I128" s="24">
        <v>85.3</v>
      </c>
      <c r="J128" s="27">
        <f>IFERROR(MIN(IF(VLOOKUP(F128,'05_Master KPI'!$B$5:$G$100,5,FALSE)="Lower",H128/I128,I128/H128),1),0)</f>
        <v>0.85299999999999998</v>
      </c>
      <c r="K128" s="26">
        <f>IFERROR(VLOOKUP(F128,'05_Master KPI'!$B$5:$G$100,4,FALSE),0)</f>
        <v>20</v>
      </c>
      <c r="L128" s="28">
        <f t="shared" si="1"/>
        <v>17.059999999999999</v>
      </c>
      <c r="M128" s="26" t="str">
        <f>IF(D128="","",IF(J128&gt;='13_Setting'!$H$7,"Tercapai",IF(J128&gt;='13_Setting'!$H$6,"On Track","Tertinggal")))</f>
        <v>On Track</v>
      </c>
      <c r="N128" s="24" t="s">
        <v>211</v>
      </c>
    </row>
    <row r="129" spans="1:14">
      <c r="A129" s="24" t="s">
        <v>196</v>
      </c>
      <c r="B129" s="24">
        <v>2026</v>
      </c>
      <c r="C129" s="25">
        <v>46203</v>
      </c>
      <c r="D129" s="24" t="s">
        <v>86</v>
      </c>
      <c r="E129" s="26" t="str">
        <f>IFERROR(VLOOKUP(D129,'04_Master Karyawan'!$A$5:$F$50,2,FALSE),"")</f>
        <v>Stephan</v>
      </c>
      <c r="F129" s="24" t="s">
        <v>153</v>
      </c>
      <c r="G129" s="26" t="str">
        <f>IFERROR(VLOOKUP(F129,'05_Master KPI'!$B$5:$G$100,2,FALSE)&amp;" ("&amp;VLOOKUP(F129,'05_Master KPI'!$B$5:$G$100,3,FALSE)&amp;")","")</f>
        <v>Lead Conversion (%)</v>
      </c>
      <c r="H129" s="26">
        <f>IFERROR(IF(B129&lt;&gt;'06_Target KPI'!$B$3,0,IF(VLOOKUP(F129,'05_Master KPI'!$B$5:$G$100,6,FALSE)="Kumulatif",INDEX('06_Target KPI'!$E$5:$P$100,MATCH(F129,'06_Target KPI'!$B$5:$B$100,0),MATCH(A129,'06_Target KPI'!$E$4:$P$4,0))*DAY(C129)/DAY(EOMONTH(C129,0)),INDEX('06_Target KPI'!$E$5:$P$100,MATCH(F129,'06_Target KPI'!$B$5:$B$100,0),MATCH(A129,'06_Target KPI'!$E$4:$P$4,0)))),0)</f>
        <v>10</v>
      </c>
      <c r="I129" s="24">
        <v>8.5</v>
      </c>
      <c r="J129" s="27">
        <f>IFERROR(MIN(IF(VLOOKUP(F129,'05_Master KPI'!$B$5:$G$100,5,FALSE)="Lower",H129/I129,I129/H129),1),0)</f>
        <v>0.85</v>
      </c>
      <c r="K129" s="26">
        <f>IFERROR(VLOOKUP(F129,'05_Master KPI'!$B$5:$G$100,4,FALSE),0)</f>
        <v>20</v>
      </c>
      <c r="L129" s="28">
        <f t="shared" si="1"/>
        <v>17</v>
      </c>
      <c r="M129" s="26" t="str">
        <f>IF(D129="","",IF(J129&gt;='13_Setting'!$H$7,"Tercapai",IF(J129&gt;='13_Setting'!$H$6,"On Track","Tertinggal")))</f>
        <v>On Track</v>
      </c>
      <c r="N129" s="24" t="s">
        <v>211</v>
      </c>
    </row>
    <row r="130" spans="1:14">
      <c r="A130" s="24" t="s">
        <v>196</v>
      </c>
      <c r="B130" s="24">
        <v>2026</v>
      </c>
      <c r="C130" s="25">
        <v>46203</v>
      </c>
      <c r="D130" s="24" t="s">
        <v>86</v>
      </c>
      <c r="E130" s="26" t="str">
        <f>IFERROR(VLOOKUP(D130,'04_Master Karyawan'!$A$5:$F$50,2,FALSE),"")</f>
        <v>Stephan</v>
      </c>
      <c r="F130" s="24" t="s">
        <v>155</v>
      </c>
      <c r="G130" s="26" t="str">
        <f>IFERROR(VLOOKUP(F130,'05_Master KPI'!$B$5:$G$100,2,FALSE)&amp;" ("&amp;VLOOKUP(F130,'05_Master KPI'!$B$5:$G$100,3,FALSE)&amp;")","")</f>
        <v>Reporting (%)</v>
      </c>
      <c r="H130" s="26">
        <f>IFERROR(IF(B130&lt;&gt;'06_Target KPI'!$B$3,0,IF(VLOOKUP(F130,'05_Master KPI'!$B$5:$G$100,6,FALSE)="Kumulatif",INDEX('06_Target KPI'!$E$5:$P$100,MATCH(F130,'06_Target KPI'!$B$5:$B$100,0),MATCH(A130,'06_Target KPI'!$E$4:$P$4,0))*DAY(C130)/DAY(EOMONTH(C130,0)),INDEX('06_Target KPI'!$E$5:$P$100,MATCH(F130,'06_Target KPI'!$B$5:$B$100,0),MATCH(A130,'06_Target KPI'!$E$4:$P$4,0)))),0)</f>
        <v>100</v>
      </c>
      <c r="I130" s="24">
        <v>85.3</v>
      </c>
      <c r="J130" s="27">
        <f>IFERROR(MIN(IF(VLOOKUP(F130,'05_Master KPI'!$B$5:$G$100,5,FALSE)="Lower",H130/I130,I130/H130),1),0)</f>
        <v>0.85299999999999998</v>
      </c>
      <c r="K130" s="26">
        <f>IFERROR(VLOOKUP(F130,'05_Master KPI'!$B$5:$G$100,4,FALSE),0)</f>
        <v>10</v>
      </c>
      <c r="L130" s="28">
        <f t="shared" si="1"/>
        <v>8.5299999999999994</v>
      </c>
      <c r="M130" s="26" t="str">
        <f>IF(D130="","",IF(J130&gt;='13_Setting'!$H$7,"Tercapai",IF(J130&gt;='13_Setting'!$H$6,"On Track","Tertinggal")))</f>
        <v>On Track</v>
      </c>
      <c r="N130" s="24" t="s">
        <v>211</v>
      </c>
    </row>
    <row r="131" spans="1:14">
      <c r="A131" s="24" t="s">
        <v>196</v>
      </c>
      <c r="B131" s="24">
        <v>2026</v>
      </c>
      <c r="C131" s="25">
        <v>46203</v>
      </c>
      <c r="D131" s="24" t="s">
        <v>90</v>
      </c>
      <c r="E131" s="26" t="str">
        <f>IFERROR(VLOOKUP(D131,'04_Master Karyawan'!$A$5:$F$50,2,FALSE),"")</f>
        <v>Cantika</v>
      </c>
      <c r="F131" s="24" t="s">
        <v>143</v>
      </c>
      <c r="G131" s="26" t="str">
        <f>IFERROR(VLOOKUP(F131,'05_Master KPI'!$B$5:$G$100,2,FALSE)&amp;" ("&amp;VLOOKUP(F131,'05_Master KPI'!$B$5:$G$100,3,FALSE)&amp;")","")</f>
        <v>Content Plan (konten)</v>
      </c>
      <c r="H131" s="26">
        <f>IFERROR(IF(B131&lt;&gt;'06_Target KPI'!$B$3,0,IF(VLOOKUP(F131,'05_Master KPI'!$B$5:$G$100,6,FALSE)="Kumulatif",INDEX('06_Target KPI'!$E$5:$P$100,MATCH(F131,'06_Target KPI'!$B$5:$B$100,0),MATCH(A131,'06_Target KPI'!$E$4:$P$4,0))*DAY(C131)/DAY(EOMONTH(C131,0)),INDEX('06_Target KPI'!$E$5:$P$100,MATCH(F131,'06_Target KPI'!$B$5:$B$100,0),MATCH(A131,'06_Target KPI'!$E$4:$P$4,0)))),0)</f>
        <v>30</v>
      </c>
      <c r="I131" s="24">
        <v>26</v>
      </c>
      <c r="J131" s="27">
        <f>IFERROR(MIN(IF(VLOOKUP(F131,'05_Master KPI'!$B$5:$G$100,5,FALSE)="Lower",H131/I131,I131/H131),1),0)</f>
        <v>0.8666666666666667</v>
      </c>
      <c r="K131" s="26">
        <f>IFERROR(VLOOKUP(F131,'05_Master KPI'!$B$5:$G$100,4,FALSE),0)</f>
        <v>15</v>
      </c>
      <c r="L131" s="28">
        <f t="shared" si="1"/>
        <v>13</v>
      </c>
      <c r="M131" s="26" t="str">
        <f>IF(D131="","",IF(J131&gt;='13_Setting'!$H$7,"Tercapai",IF(J131&gt;='13_Setting'!$H$6,"On Track","Tertinggal")))</f>
        <v>On Track</v>
      </c>
      <c r="N131" s="24" t="s">
        <v>211</v>
      </c>
    </row>
    <row r="132" spans="1:14">
      <c r="A132" s="24" t="s">
        <v>196</v>
      </c>
      <c r="B132" s="24">
        <v>2026</v>
      </c>
      <c r="C132" s="25">
        <v>46203</v>
      </c>
      <c r="D132" s="24" t="s">
        <v>90</v>
      </c>
      <c r="E132" s="26" t="str">
        <f>IFERROR(VLOOKUP(D132,'04_Master Karyawan'!$A$5:$F$50,2,FALSE),"")</f>
        <v>Cantika</v>
      </c>
      <c r="F132" s="24" t="s">
        <v>146</v>
      </c>
      <c r="G132" s="26" t="str">
        <f>IFERROR(VLOOKUP(F132,'05_Master KPI'!$B$5:$G$100,2,FALSE)&amp;" ("&amp;VLOOKUP(F132,'05_Master KPI'!$B$5:$G$100,3,FALSE)&amp;")","")</f>
        <v>Engagement Rate (%)</v>
      </c>
      <c r="H132" s="26">
        <f>IFERROR(IF(B132&lt;&gt;'06_Target KPI'!$B$3,0,IF(VLOOKUP(F132,'05_Master KPI'!$B$5:$G$100,6,FALSE)="Kumulatif",INDEX('06_Target KPI'!$E$5:$P$100,MATCH(F132,'06_Target KPI'!$B$5:$B$100,0),MATCH(A132,'06_Target KPI'!$E$4:$P$4,0))*DAY(C132)/DAY(EOMONTH(C132,0)),INDEX('06_Target KPI'!$E$5:$P$100,MATCH(F132,'06_Target KPI'!$B$5:$B$100,0),MATCH(A132,'06_Target KPI'!$E$4:$P$4,0)))),0)</f>
        <v>5</v>
      </c>
      <c r="I132" s="24">
        <v>4.4000000000000004</v>
      </c>
      <c r="J132" s="27">
        <f>IFERROR(MIN(IF(VLOOKUP(F132,'05_Master KPI'!$B$5:$G$100,5,FALSE)="Lower",H132/I132,I132/H132),1),0)</f>
        <v>0.88000000000000012</v>
      </c>
      <c r="K132" s="26">
        <f>IFERROR(VLOOKUP(F132,'05_Master KPI'!$B$5:$G$100,4,FALSE),0)</f>
        <v>15</v>
      </c>
      <c r="L132" s="28">
        <f t="shared" si="1"/>
        <v>13.200000000000001</v>
      </c>
      <c r="M132" s="26" t="str">
        <f>IF(D132="","",IF(J132&gt;='13_Setting'!$H$7,"Tercapai",IF(J132&gt;='13_Setting'!$H$6,"On Track","Tertinggal")))</f>
        <v>On Track</v>
      </c>
      <c r="N132" s="24" t="s">
        <v>211</v>
      </c>
    </row>
    <row r="133" spans="1:14">
      <c r="A133" s="24" t="s">
        <v>196</v>
      </c>
      <c r="B133" s="24">
        <v>2026</v>
      </c>
      <c r="C133" s="25">
        <v>46203</v>
      </c>
      <c r="D133" s="24" t="s">
        <v>90</v>
      </c>
      <c r="E133" s="26" t="str">
        <f>IFERROR(VLOOKUP(D133,'04_Master Karyawan'!$A$5:$F$50,2,FALSE),"")</f>
        <v>Cantika</v>
      </c>
      <c r="F133" s="24" t="s">
        <v>148</v>
      </c>
      <c r="G133" s="26" t="str">
        <f>IFERROR(VLOOKUP(F133,'05_Master KPI'!$B$5:$G$100,2,FALSE)&amp;" ("&amp;VLOOKUP(F133,'05_Master KPI'!$B$5:$G$100,3,FALSE)&amp;")","")</f>
        <v>Qualified Leads (lead)</v>
      </c>
      <c r="H133" s="26">
        <f>IFERROR(IF(B133&lt;&gt;'06_Target KPI'!$B$3,0,IF(VLOOKUP(F133,'05_Master KPI'!$B$5:$G$100,6,FALSE)="Kumulatif",INDEX('06_Target KPI'!$E$5:$P$100,MATCH(F133,'06_Target KPI'!$B$5:$B$100,0),MATCH(A133,'06_Target KPI'!$E$4:$P$4,0))*DAY(C133)/DAY(EOMONTH(C133,0)),INDEX('06_Target KPI'!$E$5:$P$100,MATCH(F133,'06_Target KPI'!$B$5:$B$100,0),MATCH(A133,'06_Target KPI'!$E$4:$P$4,0)))),0)</f>
        <v>100</v>
      </c>
      <c r="I133" s="24">
        <v>88</v>
      </c>
      <c r="J133" s="27">
        <f>IFERROR(MIN(IF(VLOOKUP(F133,'05_Master KPI'!$B$5:$G$100,5,FALSE)="Lower",H133/I133,I133/H133),1),0)</f>
        <v>0.88</v>
      </c>
      <c r="K133" s="26">
        <f>IFERROR(VLOOKUP(F133,'05_Master KPI'!$B$5:$G$100,4,FALSE),0)</f>
        <v>20</v>
      </c>
      <c r="L133" s="28">
        <f t="shared" ref="L133:L196" si="2">J133*K133</f>
        <v>17.600000000000001</v>
      </c>
      <c r="M133" s="26" t="str">
        <f>IF(D133="","",IF(J133&gt;='13_Setting'!$H$7,"Tercapai",IF(J133&gt;='13_Setting'!$H$6,"On Track","Tertinggal")))</f>
        <v>On Track</v>
      </c>
      <c r="N133" s="24" t="s">
        <v>211</v>
      </c>
    </row>
    <row r="134" spans="1:14">
      <c r="A134" s="24" t="s">
        <v>196</v>
      </c>
      <c r="B134" s="24">
        <v>2026</v>
      </c>
      <c r="C134" s="25">
        <v>46203</v>
      </c>
      <c r="D134" s="24" t="s">
        <v>90</v>
      </c>
      <c r="E134" s="26" t="str">
        <f>IFERROR(VLOOKUP(D134,'04_Master Karyawan'!$A$5:$F$50,2,FALSE),"")</f>
        <v>Cantika</v>
      </c>
      <c r="F134" s="24" t="s">
        <v>151</v>
      </c>
      <c r="G134" s="26" t="str">
        <f>IFERROR(VLOOKUP(F134,'05_Master KPI'!$B$5:$G$100,2,FALSE)&amp;" ("&amp;VLOOKUP(F134,'05_Master KPI'!$B$5:$G$100,3,FALSE)&amp;")","")</f>
        <v>Campaign Execution (%)</v>
      </c>
      <c r="H134" s="26">
        <f>IFERROR(IF(B134&lt;&gt;'06_Target KPI'!$B$3,0,IF(VLOOKUP(F134,'05_Master KPI'!$B$5:$G$100,6,FALSE)="Kumulatif",INDEX('06_Target KPI'!$E$5:$P$100,MATCH(F134,'06_Target KPI'!$B$5:$B$100,0),MATCH(A134,'06_Target KPI'!$E$4:$P$4,0))*DAY(C134)/DAY(EOMONTH(C134,0)),INDEX('06_Target KPI'!$E$5:$P$100,MATCH(F134,'06_Target KPI'!$B$5:$B$100,0),MATCH(A134,'06_Target KPI'!$E$4:$P$4,0)))),0)</f>
        <v>100</v>
      </c>
      <c r="I134" s="24">
        <v>87.8</v>
      </c>
      <c r="J134" s="27">
        <f>IFERROR(MIN(IF(VLOOKUP(F134,'05_Master KPI'!$B$5:$G$100,5,FALSE)="Lower",H134/I134,I134/H134),1),0)</f>
        <v>0.878</v>
      </c>
      <c r="K134" s="26">
        <f>IFERROR(VLOOKUP(F134,'05_Master KPI'!$B$5:$G$100,4,FALSE),0)</f>
        <v>20</v>
      </c>
      <c r="L134" s="28">
        <f t="shared" si="2"/>
        <v>17.559999999999999</v>
      </c>
      <c r="M134" s="26" t="str">
        <f>IF(D134="","",IF(J134&gt;='13_Setting'!$H$7,"Tercapai",IF(J134&gt;='13_Setting'!$H$6,"On Track","Tertinggal")))</f>
        <v>On Track</v>
      </c>
      <c r="N134" s="24" t="s">
        <v>211</v>
      </c>
    </row>
    <row r="135" spans="1:14">
      <c r="A135" s="24" t="s">
        <v>196</v>
      </c>
      <c r="B135" s="24">
        <v>2026</v>
      </c>
      <c r="C135" s="25">
        <v>46203</v>
      </c>
      <c r="D135" s="24" t="s">
        <v>90</v>
      </c>
      <c r="E135" s="26" t="str">
        <f>IFERROR(VLOOKUP(D135,'04_Master Karyawan'!$A$5:$F$50,2,FALSE),"")</f>
        <v>Cantika</v>
      </c>
      <c r="F135" s="24" t="s">
        <v>153</v>
      </c>
      <c r="G135" s="26" t="str">
        <f>IFERROR(VLOOKUP(F135,'05_Master KPI'!$B$5:$G$100,2,FALSE)&amp;" ("&amp;VLOOKUP(F135,'05_Master KPI'!$B$5:$G$100,3,FALSE)&amp;")","")</f>
        <v>Lead Conversion (%)</v>
      </c>
      <c r="H135" s="26">
        <f>IFERROR(IF(B135&lt;&gt;'06_Target KPI'!$B$3,0,IF(VLOOKUP(F135,'05_Master KPI'!$B$5:$G$100,6,FALSE)="Kumulatif",INDEX('06_Target KPI'!$E$5:$P$100,MATCH(F135,'06_Target KPI'!$B$5:$B$100,0),MATCH(A135,'06_Target KPI'!$E$4:$P$4,0))*DAY(C135)/DAY(EOMONTH(C135,0)),INDEX('06_Target KPI'!$E$5:$P$100,MATCH(F135,'06_Target KPI'!$B$5:$B$100,0),MATCH(A135,'06_Target KPI'!$E$4:$P$4,0)))),0)</f>
        <v>10</v>
      </c>
      <c r="I135" s="24">
        <v>8.8000000000000007</v>
      </c>
      <c r="J135" s="27">
        <f>IFERROR(MIN(IF(VLOOKUP(F135,'05_Master KPI'!$B$5:$G$100,5,FALSE)="Lower",H135/I135,I135/H135),1),0)</f>
        <v>0.88000000000000012</v>
      </c>
      <c r="K135" s="26">
        <f>IFERROR(VLOOKUP(F135,'05_Master KPI'!$B$5:$G$100,4,FALSE),0)</f>
        <v>20</v>
      </c>
      <c r="L135" s="28">
        <f t="shared" si="2"/>
        <v>17.600000000000001</v>
      </c>
      <c r="M135" s="26" t="str">
        <f>IF(D135="","",IF(J135&gt;='13_Setting'!$H$7,"Tercapai",IF(J135&gt;='13_Setting'!$H$6,"On Track","Tertinggal")))</f>
        <v>On Track</v>
      </c>
      <c r="N135" s="24" t="s">
        <v>211</v>
      </c>
    </row>
    <row r="136" spans="1:14">
      <c r="A136" s="24" t="s">
        <v>196</v>
      </c>
      <c r="B136" s="24">
        <v>2026</v>
      </c>
      <c r="C136" s="25">
        <v>46203</v>
      </c>
      <c r="D136" s="24" t="s">
        <v>90</v>
      </c>
      <c r="E136" s="26" t="str">
        <f>IFERROR(VLOOKUP(D136,'04_Master Karyawan'!$A$5:$F$50,2,FALSE),"")</f>
        <v>Cantika</v>
      </c>
      <c r="F136" s="24" t="s">
        <v>155</v>
      </c>
      <c r="G136" s="26" t="str">
        <f>IFERROR(VLOOKUP(F136,'05_Master KPI'!$B$5:$G$100,2,FALSE)&amp;" ("&amp;VLOOKUP(F136,'05_Master KPI'!$B$5:$G$100,3,FALSE)&amp;")","")</f>
        <v>Reporting (%)</v>
      </c>
      <c r="H136" s="26">
        <f>IFERROR(IF(B136&lt;&gt;'06_Target KPI'!$B$3,0,IF(VLOOKUP(F136,'05_Master KPI'!$B$5:$G$100,6,FALSE)="Kumulatif",INDEX('06_Target KPI'!$E$5:$P$100,MATCH(F136,'06_Target KPI'!$B$5:$B$100,0),MATCH(A136,'06_Target KPI'!$E$4:$P$4,0))*DAY(C136)/DAY(EOMONTH(C136,0)),INDEX('06_Target KPI'!$E$5:$P$100,MATCH(F136,'06_Target KPI'!$B$5:$B$100,0),MATCH(A136,'06_Target KPI'!$E$4:$P$4,0)))),0)</f>
        <v>100</v>
      </c>
      <c r="I136" s="24">
        <v>87.8</v>
      </c>
      <c r="J136" s="27">
        <f>IFERROR(MIN(IF(VLOOKUP(F136,'05_Master KPI'!$B$5:$G$100,5,FALSE)="Lower",H136/I136,I136/H136),1),0)</f>
        <v>0.878</v>
      </c>
      <c r="K136" s="26">
        <f>IFERROR(VLOOKUP(F136,'05_Master KPI'!$B$5:$G$100,4,FALSE),0)</f>
        <v>10</v>
      </c>
      <c r="L136" s="28">
        <f t="shared" si="2"/>
        <v>8.7799999999999994</v>
      </c>
      <c r="M136" s="26" t="str">
        <f>IF(D136="","",IF(J136&gt;='13_Setting'!$H$7,"Tercapai",IF(J136&gt;='13_Setting'!$H$6,"On Track","Tertinggal")))</f>
        <v>On Track</v>
      </c>
      <c r="N136" s="24" t="s">
        <v>211</v>
      </c>
    </row>
    <row r="137" spans="1:14">
      <c r="A137" s="24" t="s">
        <v>196</v>
      </c>
      <c r="B137" s="24">
        <v>2026</v>
      </c>
      <c r="C137" s="25">
        <v>46203</v>
      </c>
      <c r="D137" s="24" t="s">
        <v>92</v>
      </c>
      <c r="E137" s="26" t="str">
        <f>IFERROR(VLOOKUP(D137,'04_Master Karyawan'!$A$5:$F$50,2,FALSE),"")</f>
        <v>Jessie</v>
      </c>
      <c r="F137" s="24" t="s">
        <v>143</v>
      </c>
      <c r="G137" s="26" t="str">
        <f>IFERROR(VLOOKUP(F137,'05_Master KPI'!$B$5:$G$100,2,FALSE)&amp;" ("&amp;VLOOKUP(F137,'05_Master KPI'!$B$5:$G$100,3,FALSE)&amp;")","")</f>
        <v>Content Plan (konten)</v>
      </c>
      <c r="H137" s="26">
        <f>IFERROR(IF(B137&lt;&gt;'06_Target KPI'!$B$3,0,IF(VLOOKUP(F137,'05_Master KPI'!$B$5:$G$100,6,FALSE)="Kumulatif",INDEX('06_Target KPI'!$E$5:$P$100,MATCH(F137,'06_Target KPI'!$B$5:$B$100,0),MATCH(A137,'06_Target KPI'!$E$4:$P$4,0))*DAY(C137)/DAY(EOMONTH(C137,0)),INDEX('06_Target KPI'!$E$5:$P$100,MATCH(F137,'06_Target KPI'!$B$5:$B$100,0),MATCH(A137,'06_Target KPI'!$E$4:$P$4,0)))),0)</f>
        <v>30</v>
      </c>
      <c r="I137" s="24">
        <v>27</v>
      </c>
      <c r="J137" s="27">
        <f>IFERROR(MIN(IF(VLOOKUP(F137,'05_Master KPI'!$B$5:$G$100,5,FALSE)="Lower",H137/I137,I137/H137),1),0)</f>
        <v>0.9</v>
      </c>
      <c r="K137" s="26">
        <f>IFERROR(VLOOKUP(F137,'05_Master KPI'!$B$5:$G$100,4,FALSE),0)</f>
        <v>15</v>
      </c>
      <c r="L137" s="28">
        <f t="shared" si="2"/>
        <v>13.5</v>
      </c>
      <c r="M137" s="26" t="str">
        <f>IF(D137="","",IF(J137&gt;='13_Setting'!$H$7,"Tercapai",IF(J137&gt;='13_Setting'!$H$6,"On Track","Tertinggal")))</f>
        <v>On Track</v>
      </c>
      <c r="N137" s="24" t="s">
        <v>211</v>
      </c>
    </row>
    <row r="138" spans="1:14">
      <c r="A138" s="24" t="s">
        <v>196</v>
      </c>
      <c r="B138" s="24">
        <v>2026</v>
      </c>
      <c r="C138" s="25">
        <v>46203</v>
      </c>
      <c r="D138" s="24" t="s">
        <v>92</v>
      </c>
      <c r="E138" s="26" t="str">
        <f>IFERROR(VLOOKUP(D138,'04_Master Karyawan'!$A$5:$F$50,2,FALSE),"")</f>
        <v>Jessie</v>
      </c>
      <c r="F138" s="24" t="s">
        <v>146</v>
      </c>
      <c r="G138" s="26" t="str">
        <f>IFERROR(VLOOKUP(F138,'05_Master KPI'!$B$5:$G$100,2,FALSE)&amp;" ("&amp;VLOOKUP(F138,'05_Master KPI'!$B$5:$G$100,3,FALSE)&amp;")","")</f>
        <v>Engagement Rate (%)</v>
      </c>
      <c r="H138" s="26">
        <f>IFERROR(IF(B138&lt;&gt;'06_Target KPI'!$B$3,0,IF(VLOOKUP(F138,'05_Master KPI'!$B$5:$G$100,6,FALSE)="Kumulatif",INDEX('06_Target KPI'!$E$5:$P$100,MATCH(F138,'06_Target KPI'!$B$5:$B$100,0),MATCH(A138,'06_Target KPI'!$E$4:$P$4,0))*DAY(C138)/DAY(EOMONTH(C138,0)),INDEX('06_Target KPI'!$E$5:$P$100,MATCH(F138,'06_Target KPI'!$B$5:$B$100,0),MATCH(A138,'06_Target KPI'!$E$4:$P$4,0)))),0)</f>
        <v>5</v>
      </c>
      <c r="I138" s="24">
        <v>4.5</v>
      </c>
      <c r="J138" s="27">
        <f>IFERROR(MIN(IF(VLOOKUP(F138,'05_Master KPI'!$B$5:$G$100,5,FALSE)="Lower",H138/I138,I138/H138),1),0)</f>
        <v>0.9</v>
      </c>
      <c r="K138" s="26">
        <f>IFERROR(VLOOKUP(F138,'05_Master KPI'!$B$5:$G$100,4,FALSE),0)</f>
        <v>15</v>
      </c>
      <c r="L138" s="28">
        <f t="shared" si="2"/>
        <v>13.5</v>
      </c>
      <c r="M138" s="26" t="str">
        <f>IF(D138="","",IF(J138&gt;='13_Setting'!$H$7,"Tercapai",IF(J138&gt;='13_Setting'!$H$6,"On Track","Tertinggal")))</f>
        <v>On Track</v>
      </c>
      <c r="N138" s="24" t="s">
        <v>211</v>
      </c>
    </row>
    <row r="139" spans="1:14">
      <c r="A139" s="24" t="s">
        <v>196</v>
      </c>
      <c r="B139" s="24">
        <v>2026</v>
      </c>
      <c r="C139" s="25">
        <v>46203</v>
      </c>
      <c r="D139" s="24" t="s">
        <v>92</v>
      </c>
      <c r="E139" s="26" t="str">
        <f>IFERROR(VLOOKUP(D139,'04_Master Karyawan'!$A$5:$F$50,2,FALSE),"")</f>
        <v>Jessie</v>
      </c>
      <c r="F139" s="24" t="s">
        <v>148</v>
      </c>
      <c r="G139" s="26" t="str">
        <f>IFERROR(VLOOKUP(F139,'05_Master KPI'!$B$5:$G$100,2,FALSE)&amp;" ("&amp;VLOOKUP(F139,'05_Master KPI'!$B$5:$G$100,3,FALSE)&amp;")","")</f>
        <v>Qualified Leads (lead)</v>
      </c>
      <c r="H139" s="26">
        <f>IFERROR(IF(B139&lt;&gt;'06_Target KPI'!$B$3,0,IF(VLOOKUP(F139,'05_Master KPI'!$B$5:$G$100,6,FALSE)="Kumulatif",INDEX('06_Target KPI'!$E$5:$P$100,MATCH(F139,'06_Target KPI'!$B$5:$B$100,0),MATCH(A139,'06_Target KPI'!$E$4:$P$4,0))*DAY(C139)/DAY(EOMONTH(C139,0)),INDEX('06_Target KPI'!$E$5:$P$100,MATCH(F139,'06_Target KPI'!$B$5:$B$100,0),MATCH(A139,'06_Target KPI'!$E$4:$P$4,0)))),0)</f>
        <v>100</v>
      </c>
      <c r="I139" s="24">
        <v>90</v>
      </c>
      <c r="J139" s="27">
        <f>IFERROR(MIN(IF(VLOOKUP(F139,'05_Master KPI'!$B$5:$G$100,5,FALSE)="Lower",H139/I139,I139/H139),1),0)</f>
        <v>0.9</v>
      </c>
      <c r="K139" s="26">
        <f>IFERROR(VLOOKUP(F139,'05_Master KPI'!$B$5:$G$100,4,FALSE),0)</f>
        <v>20</v>
      </c>
      <c r="L139" s="28">
        <f t="shared" si="2"/>
        <v>18</v>
      </c>
      <c r="M139" s="26" t="str">
        <f>IF(D139="","",IF(J139&gt;='13_Setting'!$H$7,"Tercapai",IF(J139&gt;='13_Setting'!$H$6,"On Track","Tertinggal")))</f>
        <v>On Track</v>
      </c>
      <c r="N139" s="24" t="s">
        <v>211</v>
      </c>
    </row>
    <row r="140" spans="1:14">
      <c r="A140" s="24" t="s">
        <v>196</v>
      </c>
      <c r="B140" s="24">
        <v>2026</v>
      </c>
      <c r="C140" s="25">
        <v>46203</v>
      </c>
      <c r="D140" s="24" t="s">
        <v>92</v>
      </c>
      <c r="E140" s="26" t="str">
        <f>IFERROR(VLOOKUP(D140,'04_Master Karyawan'!$A$5:$F$50,2,FALSE),"")</f>
        <v>Jessie</v>
      </c>
      <c r="F140" s="24" t="s">
        <v>151</v>
      </c>
      <c r="G140" s="26" t="str">
        <f>IFERROR(VLOOKUP(F140,'05_Master KPI'!$B$5:$G$100,2,FALSE)&amp;" ("&amp;VLOOKUP(F140,'05_Master KPI'!$B$5:$G$100,3,FALSE)&amp;")","")</f>
        <v>Campaign Execution (%)</v>
      </c>
      <c r="H140" s="26">
        <f>IFERROR(IF(B140&lt;&gt;'06_Target KPI'!$B$3,0,IF(VLOOKUP(F140,'05_Master KPI'!$B$5:$G$100,6,FALSE)="Kumulatif",INDEX('06_Target KPI'!$E$5:$P$100,MATCH(F140,'06_Target KPI'!$B$5:$B$100,0),MATCH(A140,'06_Target KPI'!$E$4:$P$4,0))*DAY(C140)/DAY(EOMONTH(C140,0)),INDEX('06_Target KPI'!$E$5:$P$100,MATCH(F140,'06_Target KPI'!$B$5:$B$100,0),MATCH(A140,'06_Target KPI'!$E$4:$P$4,0)))),0)</f>
        <v>100</v>
      </c>
      <c r="I140" s="24">
        <v>90.3</v>
      </c>
      <c r="J140" s="27">
        <f>IFERROR(MIN(IF(VLOOKUP(F140,'05_Master KPI'!$B$5:$G$100,5,FALSE)="Lower",H140/I140,I140/H140),1),0)</f>
        <v>0.90300000000000002</v>
      </c>
      <c r="K140" s="26">
        <f>IFERROR(VLOOKUP(F140,'05_Master KPI'!$B$5:$G$100,4,FALSE),0)</f>
        <v>20</v>
      </c>
      <c r="L140" s="28">
        <f t="shared" si="2"/>
        <v>18.060000000000002</v>
      </c>
      <c r="M140" s="26" t="str">
        <f>IF(D140="","",IF(J140&gt;='13_Setting'!$H$7,"Tercapai",IF(J140&gt;='13_Setting'!$H$6,"On Track","Tertinggal")))</f>
        <v>On Track</v>
      </c>
      <c r="N140" s="24" t="s">
        <v>211</v>
      </c>
    </row>
    <row r="141" spans="1:14">
      <c r="A141" s="24" t="s">
        <v>196</v>
      </c>
      <c r="B141" s="24">
        <v>2026</v>
      </c>
      <c r="C141" s="25">
        <v>46203</v>
      </c>
      <c r="D141" s="24" t="s">
        <v>92</v>
      </c>
      <c r="E141" s="26" t="str">
        <f>IFERROR(VLOOKUP(D141,'04_Master Karyawan'!$A$5:$F$50,2,FALSE),"")</f>
        <v>Jessie</v>
      </c>
      <c r="F141" s="24" t="s">
        <v>153</v>
      </c>
      <c r="G141" s="26" t="str">
        <f>IFERROR(VLOOKUP(F141,'05_Master KPI'!$B$5:$G$100,2,FALSE)&amp;" ("&amp;VLOOKUP(F141,'05_Master KPI'!$B$5:$G$100,3,FALSE)&amp;")","")</f>
        <v>Lead Conversion (%)</v>
      </c>
      <c r="H141" s="26">
        <f>IFERROR(IF(B141&lt;&gt;'06_Target KPI'!$B$3,0,IF(VLOOKUP(F141,'05_Master KPI'!$B$5:$G$100,6,FALSE)="Kumulatif",INDEX('06_Target KPI'!$E$5:$P$100,MATCH(F141,'06_Target KPI'!$B$5:$B$100,0),MATCH(A141,'06_Target KPI'!$E$4:$P$4,0))*DAY(C141)/DAY(EOMONTH(C141,0)),INDEX('06_Target KPI'!$E$5:$P$100,MATCH(F141,'06_Target KPI'!$B$5:$B$100,0),MATCH(A141,'06_Target KPI'!$E$4:$P$4,0)))),0)</f>
        <v>10</v>
      </c>
      <c r="I141" s="24">
        <v>9</v>
      </c>
      <c r="J141" s="27">
        <f>IFERROR(MIN(IF(VLOOKUP(F141,'05_Master KPI'!$B$5:$G$100,5,FALSE)="Lower",H141/I141,I141/H141),1),0)</f>
        <v>0.9</v>
      </c>
      <c r="K141" s="26">
        <f>IFERROR(VLOOKUP(F141,'05_Master KPI'!$B$5:$G$100,4,FALSE),0)</f>
        <v>20</v>
      </c>
      <c r="L141" s="28">
        <f t="shared" si="2"/>
        <v>18</v>
      </c>
      <c r="M141" s="26" t="str">
        <f>IF(D141="","",IF(J141&gt;='13_Setting'!$H$7,"Tercapai",IF(J141&gt;='13_Setting'!$H$6,"On Track","Tertinggal")))</f>
        <v>On Track</v>
      </c>
      <c r="N141" s="24" t="s">
        <v>211</v>
      </c>
    </row>
    <row r="142" spans="1:14">
      <c r="A142" s="24" t="s">
        <v>196</v>
      </c>
      <c r="B142" s="24">
        <v>2026</v>
      </c>
      <c r="C142" s="25">
        <v>46203</v>
      </c>
      <c r="D142" s="24" t="s">
        <v>92</v>
      </c>
      <c r="E142" s="26" t="str">
        <f>IFERROR(VLOOKUP(D142,'04_Master Karyawan'!$A$5:$F$50,2,FALSE),"")</f>
        <v>Jessie</v>
      </c>
      <c r="F142" s="24" t="s">
        <v>155</v>
      </c>
      <c r="G142" s="26" t="str">
        <f>IFERROR(VLOOKUP(F142,'05_Master KPI'!$B$5:$G$100,2,FALSE)&amp;" ("&amp;VLOOKUP(F142,'05_Master KPI'!$B$5:$G$100,3,FALSE)&amp;")","")</f>
        <v>Reporting (%)</v>
      </c>
      <c r="H142" s="26">
        <f>IFERROR(IF(B142&lt;&gt;'06_Target KPI'!$B$3,0,IF(VLOOKUP(F142,'05_Master KPI'!$B$5:$G$100,6,FALSE)="Kumulatif",INDEX('06_Target KPI'!$E$5:$P$100,MATCH(F142,'06_Target KPI'!$B$5:$B$100,0),MATCH(A142,'06_Target KPI'!$E$4:$P$4,0))*DAY(C142)/DAY(EOMONTH(C142,0)),INDEX('06_Target KPI'!$E$5:$P$100,MATCH(F142,'06_Target KPI'!$B$5:$B$100,0),MATCH(A142,'06_Target KPI'!$E$4:$P$4,0)))),0)</f>
        <v>100</v>
      </c>
      <c r="I142" s="24">
        <v>90.3</v>
      </c>
      <c r="J142" s="27">
        <f>IFERROR(MIN(IF(VLOOKUP(F142,'05_Master KPI'!$B$5:$G$100,5,FALSE)="Lower",H142/I142,I142/H142),1),0)</f>
        <v>0.90300000000000002</v>
      </c>
      <c r="K142" s="26">
        <f>IFERROR(VLOOKUP(F142,'05_Master KPI'!$B$5:$G$100,4,FALSE),0)</f>
        <v>10</v>
      </c>
      <c r="L142" s="28">
        <f t="shared" si="2"/>
        <v>9.0300000000000011</v>
      </c>
      <c r="M142" s="26" t="str">
        <f>IF(D142="","",IF(J142&gt;='13_Setting'!$H$7,"Tercapai",IF(J142&gt;='13_Setting'!$H$6,"On Track","Tertinggal")))</f>
        <v>On Track</v>
      </c>
      <c r="N142" s="24" t="s">
        <v>211</v>
      </c>
    </row>
    <row r="143" spans="1:14">
      <c r="A143" s="24" t="s">
        <v>196</v>
      </c>
      <c r="B143" s="24">
        <v>2026</v>
      </c>
      <c r="C143" s="25">
        <v>46203</v>
      </c>
      <c r="D143" s="24" t="s">
        <v>94</v>
      </c>
      <c r="E143" s="26" t="str">
        <f>IFERROR(VLOOKUP(D143,'04_Master Karyawan'!$A$5:$F$50,2,FALSE),"")</f>
        <v>Kia</v>
      </c>
      <c r="F143" s="24" t="s">
        <v>143</v>
      </c>
      <c r="G143" s="26" t="str">
        <f>IFERROR(VLOOKUP(F143,'05_Master KPI'!$B$5:$G$100,2,FALSE)&amp;" ("&amp;VLOOKUP(F143,'05_Master KPI'!$B$5:$G$100,3,FALSE)&amp;")","")</f>
        <v>Content Plan (konten)</v>
      </c>
      <c r="H143" s="26">
        <f>IFERROR(IF(B143&lt;&gt;'06_Target KPI'!$B$3,0,IF(VLOOKUP(F143,'05_Master KPI'!$B$5:$G$100,6,FALSE)="Kumulatif",INDEX('06_Target KPI'!$E$5:$P$100,MATCH(F143,'06_Target KPI'!$B$5:$B$100,0),MATCH(A143,'06_Target KPI'!$E$4:$P$4,0))*DAY(C143)/DAY(EOMONTH(C143,0)),INDEX('06_Target KPI'!$E$5:$P$100,MATCH(F143,'06_Target KPI'!$B$5:$B$100,0),MATCH(A143,'06_Target KPI'!$E$4:$P$4,0)))),0)</f>
        <v>30</v>
      </c>
      <c r="I143" s="24">
        <v>28</v>
      </c>
      <c r="J143" s="27">
        <f>IFERROR(MIN(IF(VLOOKUP(F143,'05_Master KPI'!$B$5:$G$100,5,FALSE)="Lower",H143/I143,I143/H143),1),0)</f>
        <v>0.93333333333333335</v>
      </c>
      <c r="K143" s="26">
        <f>IFERROR(VLOOKUP(F143,'05_Master KPI'!$B$5:$G$100,4,FALSE),0)</f>
        <v>15</v>
      </c>
      <c r="L143" s="28">
        <f t="shared" si="2"/>
        <v>14</v>
      </c>
      <c r="M143" s="26" t="str">
        <f>IF(D143="","",IF(J143&gt;='13_Setting'!$H$7,"Tercapai",IF(J143&gt;='13_Setting'!$H$6,"On Track","Tertinggal")))</f>
        <v>On Track</v>
      </c>
      <c r="N143" s="24" t="s">
        <v>211</v>
      </c>
    </row>
    <row r="144" spans="1:14">
      <c r="A144" s="24" t="s">
        <v>196</v>
      </c>
      <c r="B144" s="24">
        <v>2026</v>
      </c>
      <c r="C144" s="25">
        <v>46203</v>
      </c>
      <c r="D144" s="24" t="s">
        <v>94</v>
      </c>
      <c r="E144" s="26" t="str">
        <f>IFERROR(VLOOKUP(D144,'04_Master Karyawan'!$A$5:$F$50,2,FALSE),"")</f>
        <v>Kia</v>
      </c>
      <c r="F144" s="24" t="s">
        <v>146</v>
      </c>
      <c r="G144" s="26" t="str">
        <f>IFERROR(VLOOKUP(F144,'05_Master KPI'!$B$5:$G$100,2,FALSE)&amp;" ("&amp;VLOOKUP(F144,'05_Master KPI'!$B$5:$G$100,3,FALSE)&amp;")","")</f>
        <v>Engagement Rate (%)</v>
      </c>
      <c r="H144" s="26">
        <f>IFERROR(IF(B144&lt;&gt;'06_Target KPI'!$B$3,0,IF(VLOOKUP(F144,'05_Master KPI'!$B$5:$G$100,6,FALSE)="Kumulatif",INDEX('06_Target KPI'!$E$5:$P$100,MATCH(F144,'06_Target KPI'!$B$5:$B$100,0),MATCH(A144,'06_Target KPI'!$E$4:$P$4,0))*DAY(C144)/DAY(EOMONTH(C144,0)),INDEX('06_Target KPI'!$E$5:$P$100,MATCH(F144,'06_Target KPI'!$B$5:$B$100,0),MATCH(A144,'06_Target KPI'!$E$4:$P$4,0)))),0)</f>
        <v>5</v>
      </c>
      <c r="I144" s="24">
        <v>4.5999999999999996</v>
      </c>
      <c r="J144" s="27">
        <f>IFERROR(MIN(IF(VLOOKUP(F144,'05_Master KPI'!$B$5:$G$100,5,FALSE)="Lower",H144/I144,I144/H144),1),0)</f>
        <v>0.91999999999999993</v>
      </c>
      <c r="K144" s="26">
        <f>IFERROR(VLOOKUP(F144,'05_Master KPI'!$B$5:$G$100,4,FALSE),0)</f>
        <v>15</v>
      </c>
      <c r="L144" s="28">
        <f t="shared" si="2"/>
        <v>13.799999999999999</v>
      </c>
      <c r="M144" s="26" t="str">
        <f>IF(D144="","",IF(J144&gt;='13_Setting'!$H$7,"Tercapai",IF(J144&gt;='13_Setting'!$H$6,"On Track","Tertinggal")))</f>
        <v>On Track</v>
      </c>
      <c r="N144" s="24" t="s">
        <v>211</v>
      </c>
    </row>
    <row r="145" spans="1:14">
      <c r="A145" s="24" t="s">
        <v>196</v>
      </c>
      <c r="B145" s="24">
        <v>2026</v>
      </c>
      <c r="C145" s="25">
        <v>46203</v>
      </c>
      <c r="D145" s="24" t="s">
        <v>94</v>
      </c>
      <c r="E145" s="26" t="str">
        <f>IFERROR(VLOOKUP(D145,'04_Master Karyawan'!$A$5:$F$50,2,FALSE),"")</f>
        <v>Kia</v>
      </c>
      <c r="F145" s="24" t="s">
        <v>148</v>
      </c>
      <c r="G145" s="26" t="str">
        <f>IFERROR(VLOOKUP(F145,'05_Master KPI'!$B$5:$G$100,2,FALSE)&amp;" ("&amp;VLOOKUP(F145,'05_Master KPI'!$B$5:$G$100,3,FALSE)&amp;")","")</f>
        <v>Qualified Leads (lead)</v>
      </c>
      <c r="H145" s="26">
        <f>IFERROR(IF(B145&lt;&gt;'06_Target KPI'!$B$3,0,IF(VLOOKUP(F145,'05_Master KPI'!$B$5:$G$100,6,FALSE)="Kumulatif",INDEX('06_Target KPI'!$E$5:$P$100,MATCH(F145,'06_Target KPI'!$B$5:$B$100,0),MATCH(A145,'06_Target KPI'!$E$4:$P$4,0))*DAY(C145)/DAY(EOMONTH(C145,0)),INDEX('06_Target KPI'!$E$5:$P$100,MATCH(F145,'06_Target KPI'!$B$5:$B$100,0),MATCH(A145,'06_Target KPI'!$E$4:$P$4,0)))),0)</f>
        <v>100</v>
      </c>
      <c r="I145" s="24">
        <v>93</v>
      </c>
      <c r="J145" s="27">
        <f>IFERROR(MIN(IF(VLOOKUP(F145,'05_Master KPI'!$B$5:$G$100,5,FALSE)="Lower",H145/I145,I145/H145),1),0)</f>
        <v>0.93</v>
      </c>
      <c r="K145" s="26">
        <f>IFERROR(VLOOKUP(F145,'05_Master KPI'!$B$5:$G$100,4,FALSE),0)</f>
        <v>20</v>
      </c>
      <c r="L145" s="28">
        <f t="shared" si="2"/>
        <v>18.600000000000001</v>
      </c>
      <c r="M145" s="26" t="str">
        <f>IF(D145="","",IF(J145&gt;='13_Setting'!$H$7,"Tercapai",IF(J145&gt;='13_Setting'!$H$6,"On Track","Tertinggal")))</f>
        <v>On Track</v>
      </c>
      <c r="N145" s="24" t="s">
        <v>211</v>
      </c>
    </row>
    <row r="146" spans="1:14">
      <c r="A146" s="24" t="s">
        <v>196</v>
      </c>
      <c r="B146" s="24">
        <v>2026</v>
      </c>
      <c r="C146" s="25">
        <v>46203</v>
      </c>
      <c r="D146" s="24" t="s">
        <v>94</v>
      </c>
      <c r="E146" s="26" t="str">
        <f>IFERROR(VLOOKUP(D146,'04_Master Karyawan'!$A$5:$F$50,2,FALSE),"")</f>
        <v>Kia</v>
      </c>
      <c r="F146" s="24" t="s">
        <v>151</v>
      </c>
      <c r="G146" s="26" t="str">
        <f>IFERROR(VLOOKUP(F146,'05_Master KPI'!$B$5:$G$100,2,FALSE)&amp;" ("&amp;VLOOKUP(F146,'05_Master KPI'!$B$5:$G$100,3,FALSE)&amp;")","")</f>
        <v>Campaign Execution (%)</v>
      </c>
      <c r="H146" s="26">
        <f>IFERROR(IF(B146&lt;&gt;'06_Target KPI'!$B$3,0,IF(VLOOKUP(F146,'05_Master KPI'!$B$5:$G$100,6,FALSE)="Kumulatif",INDEX('06_Target KPI'!$E$5:$P$100,MATCH(F146,'06_Target KPI'!$B$5:$B$100,0),MATCH(A146,'06_Target KPI'!$E$4:$P$4,0))*DAY(C146)/DAY(EOMONTH(C146,0)),INDEX('06_Target KPI'!$E$5:$P$100,MATCH(F146,'06_Target KPI'!$B$5:$B$100,0),MATCH(A146,'06_Target KPI'!$E$4:$P$4,0)))),0)</f>
        <v>100</v>
      </c>
      <c r="I146" s="24">
        <v>92.8</v>
      </c>
      <c r="J146" s="27">
        <f>IFERROR(MIN(IF(VLOOKUP(F146,'05_Master KPI'!$B$5:$G$100,5,FALSE)="Lower",H146/I146,I146/H146),1),0)</f>
        <v>0.92799999999999994</v>
      </c>
      <c r="K146" s="26">
        <f>IFERROR(VLOOKUP(F146,'05_Master KPI'!$B$5:$G$100,4,FALSE),0)</f>
        <v>20</v>
      </c>
      <c r="L146" s="28">
        <f t="shared" si="2"/>
        <v>18.559999999999999</v>
      </c>
      <c r="M146" s="26" t="str">
        <f>IF(D146="","",IF(J146&gt;='13_Setting'!$H$7,"Tercapai",IF(J146&gt;='13_Setting'!$H$6,"On Track","Tertinggal")))</f>
        <v>On Track</v>
      </c>
      <c r="N146" s="24" t="s">
        <v>211</v>
      </c>
    </row>
    <row r="147" spans="1:14">
      <c r="A147" s="24" t="s">
        <v>196</v>
      </c>
      <c r="B147" s="24">
        <v>2026</v>
      </c>
      <c r="C147" s="25">
        <v>46203</v>
      </c>
      <c r="D147" s="24" t="s">
        <v>94</v>
      </c>
      <c r="E147" s="26" t="str">
        <f>IFERROR(VLOOKUP(D147,'04_Master Karyawan'!$A$5:$F$50,2,FALSE),"")</f>
        <v>Kia</v>
      </c>
      <c r="F147" s="24" t="s">
        <v>153</v>
      </c>
      <c r="G147" s="26" t="str">
        <f>IFERROR(VLOOKUP(F147,'05_Master KPI'!$B$5:$G$100,2,FALSE)&amp;" ("&amp;VLOOKUP(F147,'05_Master KPI'!$B$5:$G$100,3,FALSE)&amp;")","")</f>
        <v>Lead Conversion (%)</v>
      </c>
      <c r="H147" s="26">
        <f>IFERROR(IF(B147&lt;&gt;'06_Target KPI'!$B$3,0,IF(VLOOKUP(F147,'05_Master KPI'!$B$5:$G$100,6,FALSE)="Kumulatif",INDEX('06_Target KPI'!$E$5:$P$100,MATCH(F147,'06_Target KPI'!$B$5:$B$100,0),MATCH(A147,'06_Target KPI'!$E$4:$P$4,0))*DAY(C147)/DAY(EOMONTH(C147,0)),INDEX('06_Target KPI'!$E$5:$P$100,MATCH(F147,'06_Target KPI'!$B$5:$B$100,0),MATCH(A147,'06_Target KPI'!$E$4:$P$4,0)))),0)</f>
        <v>10</v>
      </c>
      <c r="I147" s="24">
        <v>9.3000000000000007</v>
      </c>
      <c r="J147" s="27">
        <f>IFERROR(MIN(IF(VLOOKUP(F147,'05_Master KPI'!$B$5:$G$100,5,FALSE)="Lower",H147/I147,I147/H147),1),0)</f>
        <v>0.93</v>
      </c>
      <c r="K147" s="26">
        <f>IFERROR(VLOOKUP(F147,'05_Master KPI'!$B$5:$G$100,4,FALSE),0)</f>
        <v>20</v>
      </c>
      <c r="L147" s="28">
        <f t="shared" si="2"/>
        <v>18.600000000000001</v>
      </c>
      <c r="M147" s="26" t="str">
        <f>IF(D147="","",IF(J147&gt;='13_Setting'!$H$7,"Tercapai",IF(J147&gt;='13_Setting'!$H$6,"On Track","Tertinggal")))</f>
        <v>On Track</v>
      </c>
      <c r="N147" s="24" t="s">
        <v>211</v>
      </c>
    </row>
    <row r="148" spans="1:14">
      <c r="A148" s="24" t="s">
        <v>196</v>
      </c>
      <c r="B148" s="24">
        <v>2026</v>
      </c>
      <c r="C148" s="25">
        <v>46203</v>
      </c>
      <c r="D148" s="24" t="s">
        <v>94</v>
      </c>
      <c r="E148" s="26" t="str">
        <f>IFERROR(VLOOKUP(D148,'04_Master Karyawan'!$A$5:$F$50,2,FALSE),"")</f>
        <v>Kia</v>
      </c>
      <c r="F148" s="24" t="s">
        <v>155</v>
      </c>
      <c r="G148" s="26" t="str">
        <f>IFERROR(VLOOKUP(F148,'05_Master KPI'!$B$5:$G$100,2,FALSE)&amp;" ("&amp;VLOOKUP(F148,'05_Master KPI'!$B$5:$G$100,3,FALSE)&amp;")","")</f>
        <v>Reporting (%)</v>
      </c>
      <c r="H148" s="26">
        <f>IFERROR(IF(B148&lt;&gt;'06_Target KPI'!$B$3,0,IF(VLOOKUP(F148,'05_Master KPI'!$B$5:$G$100,6,FALSE)="Kumulatif",INDEX('06_Target KPI'!$E$5:$P$100,MATCH(F148,'06_Target KPI'!$B$5:$B$100,0),MATCH(A148,'06_Target KPI'!$E$4:$P$4,0))*DAY(C148)/DAY(EOMONTH(C148,0)),INDEX('06_Target KPI'!$E$5:$P$100,MATCH(F148,'06_Target KPI'!$B$5:$B$100,0),MATCH(A148,'06_Target KPI'!$E$4:$P$4,0)))),0)</f>
        <v>100</v>
      </c>
      <c r="I148" s="24">
        <v>92.8</v>
      </c>
      <c r="J148" s="27">
        <f>IFERROR(MIN(IF(VLOOKUP(F148,'05_Master KPI'!$B$5:$G$100,5,FALSE)="Lower",H148/I148,I148/H148),1),0)</f>
        <v>0.92799999999999994</v>
      </c>
      <c r="K148" s="26">
        <f>IFERROR(VLOOKUP(F148,'05_Master KPI'!$B$5:$G$100,4,FALSE),0)</f>
        <v>10</v>
      </c>
      <c r="L148" s="28">
        <f t="shared" si="2"/>
        <v>9.2799999999999994</v>
      </c>
      <c r="M148" s="26" t="str">
        <f>IF(D148="","",IF(J148&gt;='13_Setting'!$H$7,"Tercapai",IF(J148&gt;='13_Setting'!$H$6,"On Track","Tertinggal")))</f>
        <v>On Track</v>
      </c>
      <c r="N148" s="24" t="s">
        <v>211</v>
      </c>
    </row>
    <row r="149" spans="1:14">
      <c r="A149" s="24" t="s">
        <v>197</v>
      </c>
      <c r="B149" s="24">
        <v>2026</v>
      </c>
      <c r="C149" s="25">
        <v>46234</v>
      </c>
      <c r="D149" s="24" t="s">
        <v>86</v>
      </c>
      <c r="E149" s="26" t="str">
        <f>IFERROR(VLOOKUP(D149,'04_Master Karyawan'!$A$5:$F$50,2,FALSE),"")</f>
        <v>Stephan</v>
      </c>
      <c r="F149" s="24" t="s">
        <v>143</v>
      </c>
      <c r="G149" s="26" t="str">
        <f>IFERROR(VLOOKUP(F149,'05_Master KPI'!$B$5:$G$100,2,FALSE)&amp;" ("&amp;VLOOKUP(F149,'05_Master KPI'!$B$5:$G$100,3,FALSE)&amp;")","")</f>
        <v>Content Plan (konten)</v>
      </c>
      <c r="H149" s="26">
        <f>IFERROR(IF(B149&lt;&gt;'06_Target KPI'!$B$3,0,IF(VLOOKUP(F149,'05_Master KPI'!$B$5:$G$100,6,FALSE)="Kumulatif",INDEX('06_Target KPI'!$E$5:$P$100,MATCH(F149,'06_Target KPI'!$B$5:$B$100,0),MATCH(A149,'06_Target KPI'!$E$4:$P$4,0))*DAY(C149)/DAY(EOMONTH(C149,0)),INDEX('06_Target KPI'!$E$5:$P$100,MATCH(F149,'06_Target KPI'!$B$5:$B$100,0),MATCH(A149,'06_Target KPI'!$E$4:$P$4,0)))),0)</f>
        <v>30</v>
      </c>
      <c r="I149" s="24">
        <v>26</v>
      </c>
      <c r="J149" s="27">
        <f>IFERROR(MIN(IF(VLOOKUP(F149,'05_Master KPI'!$B$5:$G$100,5,FALSE)="Lower",H149/I149,I149/H149),1),0)</f>
        <v>0.8666666666666667</v>
      </c>
      <c r="K149" s="26">
        <f>IFERROR(VLOOKUP(F149,'05_Master KPI'!$B$5:$G$100,4,FALSE),0)</f>
        <v>15</v>
      </c>
      <c r="L149" s="28">
        <f t="shared" si="2"/>
        <v>13</v>
      </c>
      <c r="M149" s="26" t="str">
        <f>IF(D149="","",IF(J149&gt;='13_Setting'!$H$7,"Tercapai",IF(J149&gt;='13_Setting'!$H$6,"On Track","Tertinggal")))</f>
        <v>On Track</v>
      </c>
      <c r="N149" s="24" t="s">
        <v>211</v>
      </c>
    </row>
    <row r="150" spans="1:14">
      <c r="A150" s="24" t="s">
        <v>197</v>
      </c>
      <c r="B150" s="24">
        <v>2026</v>
      </c>
      <c r="C150" s="25">
        <v>46234</v>
      </c>
      <c r="D150" s="24" t="s">
        <v>86</v>
      </c>
      <c r="E150" s="26" t="str">
        <f>IFERROR(VLOOKUP(D150,'04_Master Karyawan'!$A$5:$F$50,2,FALSE),"")</f>
        <v>Stephan</v>
      </c>
      <c r="F150" s="24" t="s">
        <v>146</v>
      </c>
      <c r="G150" s="26" t="str">
        <f>IFERROR(VLOOKUP(F150,'05_Master KPI'!$B$5:$G$100,2,FALSE)&amp;" ("&amp;VLOOKUP(F150,'05_Master KPI'!$B$5:$G$100,3,FALSE)&amp;")","")</f>
        <v>Engagement Rate (%)</v>
      </c>
      <c r="H150" s="26">
        <f>IFERROR(IF(B150&lt;&gt;'06_Target KPI'!$B$3,0,IF(VLOOKUP(F150,'05_Master KPI'!$B$5:$G$100,6,FALSE)="Kumulatif",INDEX('06_Target KPI'!$E$5:$P$100,MATCH(F150,'06_Target KPI'!$B$5:$B$100,0),MATCH(A150,'06_Target KPI'!$E$4:$P$4,0))*DAY(C150)/DAY(EOMONTH(C150,0)),INDEX('06_Target KPI'!$E$5:$P$100,MATCH(F150,'06_Target KPI'!$B$5:$B$100,0),MATCH(A150,'06_Target KPI'!$E$4:$P$4,0)))),0)</f>
        <v>5</v>
      </c>
      <c r="I150" s="24">
        <v>4.4000000000000004</v>
      </c>
      <c r="J150" s="27">
        <f>IFERROR(MIN(IF(VLOOKUP(F150,'05_Master KPI'!$B$5:$G$100,5,FALSE)="Lower",H150/I150,I150/H150),1),0)</f>
        <v>0.88000000000000012</v>
      </c>
      <c r="K150" s="26">
        <f>IFERROR(VLOOKUP(F150,'05_Master KPI'!$B$5:$G$100,4,FALSE),0)</f>
        <v>15</v>
      </c>
      <c r="L150" s="28">
        <f t="shared" si="2"/>
        <v>13.200000000000001</v>
      </c>
      <c r="M150" s="26" t="str">
        <f>IF(D150="","",IF(J150&gt;='13_Setting'!$H$7,"Tercapai",IF(J150&gt;='13_Setting'!$H$6,"On Track","Tertinggal")))</f>
        <v>On Track</v>
      </c>
      <c r="N150" s="24" t="s">
        <v>211</v>
      </c>
    </row>
    <row r="151" spans="1:14">
      <c r="A151" s="24" t="s">
        <v>197</v>
      </c>
      <c r="B151" s="24">
        <v>2026</v>
      </c>
      <c r="C151" s="25">
        <v>46234</v>
      </c>
      <c r="D151" s="24" t="s">
        <v>86</v>
      </c>
      <c r="E151" s="26" t="str">
        <f>IFERROR(VLOOKUP(D151,'04_Master Karyawan'!$A$5:$F$50,2,FALSE),"")</f>
        <v>Stephan</v>
      </c>
      <c r="F151" s="24" t="s">
        <v>148</v>
      </c>
      <c r="G151" s="26" t="str">
        <f>IFERROR(VLOOKUP(F151,'05_Master KPI'!$B$5:$G$100,2,FALSE)&amp;" ("&amp;VLOOKUP(F151,'05_Master KPI'!$B$5:$G$100,3,FALSE)&amp;")","")</f>
        <v>Qualified Leads (lead)</v>
      </c>
      <c r="H151" s="26">
        <f>IFERROR(IF(B151&lt;&gt;'06_Target KPI'!$B$3,0,IF(VLOOKUP(F151,'05_Master KPI'!$B$5:$G$100,6,FALSE)="Kumulatif",INDEX('06_Target KPI'!$E$5:$P$100,MATCH(F151,'06_Target KPI'!$B$5:$B$100,0),MATCH(A151,'06_Target KPI'!$E$4:$P$4,0))*DAY(C151)/DAY(EOMONTH(C151,0)),INDEX('06_Target KPI'!$E$5:$P$100,MATCH(F151,'06_Target KPI'!$B$5:$B$100,0),MATCH(A151,'06_Target KPI'!$E$4:$P$4,0)))),0)</f>
        <v>100</v>
      </c>
      <c r="I151" s="24">
        <v>87</v>
      </c>
      <c r="J151" s="27">
        <f>IFERROR(MIN(IF(VLOOKUP(F151,'05_Master KPI'!$B$5:$G$100,5,FALSE)="Lower",H151/I151,I151/H151),1),0)</f>
        <v>0.87</v>
      </c>
      <c r="K151" s="26">
        <f>IFERROR(VLOOKUP(F151,'05_Master KPI'!$B$5:$G$100,4,FALSE),0)</f>
        <v>20</v>
      </c>
      <c r="L151" s="28">
        <f t="shared" si="2"/>
        <v>17.399999999999999</v>
      </c>
      <c r="M151" s="26" t="str">
        <f>IF(D151="","",IF(J151&gt;='13_Setting'!$H$7,"Tercapai",IF(J151&gt;='13_Setting'!$H$6,"On Track","Tertinggal")))</f>
        <v>On Track</v>
      </c>
      <c r="N151" s="24" t="s">
        <v>211</v>
      </c>
    </row>
    <row r="152" spans="1:14">
      <c r="A152" s="24" t="s">
        <v>197</v>
      </c>
      <c r="B152" s="24">
        <v>2026</v>
      </c>
      <c r="C152" s="25">
        <v>46234</v>
      </c>
      <c r="D152" s="24" t="s">
        <v>86</v>
      </c>
      <c r="E152" s="26" t="str">
        <f>IFERROR(VLOOKUP(D152,'04_Master Karyawan'!$A$5:$F$50,2,FALSE),"")</f>
        <v>Stephan</v>
      </c>
      <c r="F152" s="24" t="s">
        <v>151</v>
      </c>
      <c r="G152" s="26" t="str">
        <f>IFERROR(VLOOKUP(F152,'05_Master KPI'!$B$5:$G$100,2,FALSE)&amp;" ("&amp;VLOOKUP(F152,'05_Master KPI'!$B$5:$G$100,3,FALSE)&amp;")","")</f>
        <v>Campaign Execution (%)</v>
      </c>
      <c r="H152" s="26">
        <f>IFERROR(IF(B152&lt;&gt;'06_Target KPI'!$B$3,0,IF(VLOOKUP(F152,'05_Master KPI'!$B$5:$G$100,6,FALSE)="Kumulatif",INDEX('06_Target KPI'!$E$5:$P$100,MATCH(F152,'06_Target KPI'!$B$5:$B$100,0),MATCH(A152,'06_Target KPI'!$E$4:$P$4,0))*DAY(C152)/DAY(EOMONTH(C152,0)),INDEX('06_Target KPI'!$E$5:$P$100,MATCH(F152,'06_Target KPI'!$B$5:$B$100,0),MATCH(A152,'06_Target KPI'!$E$4:$P$4,0)))),0)</f>
        <v>100</v>
      </c>
      <c r="I152" s="24">
        <v>87.3</v>
      </c>
      <c r="J152" s="27">
        <f>IFERROR(MIN(IF(VLOOKUP(F152,'05_Master KPI'!$B$5:$G$100,5,FALSE)="Lower",H152/I152,I152/H152),1),0)</f>
        <v>0.873</v>
      </c>
      <c r="K152" s="26">
        <f>IFERROR(VLOOKUP(F152,'05_Master KPI'!$B$5:$G$100,4,FALSE),0)</f>
        <v>20</v>
      </c>
      <c r="L152" s="28">
        <f t="shared" si="2"/>
        <v>17.46</v>
      </c>
      <c r="M152" s="26" t="str">
        <f>IF(D152="","",IF(J152&gt;='13_Setting'!$H$7,"Tercapai",IF(J152&gt;='13_Setting'!$H$6,"On Track","Tertinggal")))</f>
        <v>On Track</v>
      </c>
      <c r="N152" s="24" t="s">
        <v>211</v>
      </c>
    </row>
    <row r="153" spans="1:14">
      <c r="A153" s="24" t="s">
        <v>197</v>
      </c>
      <c r="B153" s="24">
        <v>2026</v>
      </c>
      <c r="C153" s="25">
        <v>46234</v>
      </c>
      <c r="D153" s="24" t="s">
        <v>86</v>
      </c>
      <c r="E153" s="26" t="str">
        <f>IFERROR(VLOOKUP(D153,'04_Master Karyawan'!$A$5:$F$50,2,FALSE),"")</f>
        <v>Stephan</v>
      </c>
      <c r="F153" s="24" t="s">
        <v>153</v>
      </c>
      <c r="G153" s="26" t="str">
        <f>IFERROR(VLOOKUP(F153,'05_Master KPI'!$B$5:$G$100,2,FALSE)&amp;" ("&amp;VLOOKUP(F153,'05_Master KPI'!$B$5:$G$100,3,FALSE)&amp;")","")</f>
        <v>Lead Conversion (%)</v>
      </c>
      <c r="H153" s="26">
        <f>IFERROR(IF(B153&lt;&gt;'06_Target KPI'!$B$3,0,IF(VLOOKUP(F153,'05_Master KPI'!$B$5:$G$100,6,FALSE)="Kumulatif",INDEX('06_Target KPI'!$E$5:$P$100,MATCH(F153,'06_Target KPI'!$B$5:$B$100,0),MATCH(A153,'06_Target KPI'!$E$4:$P$4,0))*DAY(C153)/DAY(EOMONTH(C153,0)),INDEX('06_Target KPI'!$E$5:$P$100,MATCH(F153,'06_Target KPI'!$B$5:$B$100,0),MATCH(A153,'06_Target KPI'!$E$4:$P$4,0)))),0)</f>
        <v>10</v>
      </c>
      <c r="I153" s="24">
        <v>8.6999999999999993</v>
      </c>
      <c r="J153" s="27">
        <f>IFERROR(MIN(IF(VLOOKUP(F153,'05_Master KPI'!$B$5:$G$100,5,FALSE)="Lower",H153/I153,I153/H153),1),0)</f>
        <v>0.86999999999999988</v>
      </c>
      <c r="K153" s="26">
        <f>IFERROR(VLOOKUP(F153,'05_Master KPI'!$B$5:$G$100,4,FALSE),0)</f>
        <v>20</v>
      </c>
      <c r="L153" s="28">
        <f t="shared" si="2"/>
        <v>17.399999999999999</v>
      </c>
      <c r="M153" s="26" t="str">
        <f>IF(D153="","",IF(J153&gt;='13_Setting'!$H$7,"Tercapai",IF(J153&gt;='13_Setting'!$H$6,"On Track","Tertinggal")))</f>
        <v>On Track</v>
      </c>
      <c r="N153" s="24" t="s">
        <v>211</v>
      </c>
    </row>
    <row r="154" spans="1:14">
      <c r="A154" s="24" t="s">
        <v>197</v>
      </c>
      <c r="B154" s="24">
        <v>2026</v>
      </c>
      <c r="C154" s="25">
        <v>46234</v>
      </c>
      <c r="D154" s="24" t="s">
        <v>86</v>
      </c>
      <c r="E154" s="26" t="str">
        <f>IFERROR(VLOOKUP(D154,'04_Master Karyawan'!$A$5:$F$50,2,FALSE),"")</f>
        <v>Stephan</v>
      </c>
      <c r="F154" s="24" t="s">
        <v>155</v>
      </c>
      <c r="G154" s="26" t="str">
        <f>IFERROR(VLOOKUP(F154,'05_Master KPI'!$B$5:$G$100,2,FALSE)&amp;" ("&amp;VLOOKUP(F154,'05_Master KPI'!$B$5:$G$100,3,FALSE)&amp;")","")</f>
        <v>Reporting (%)</v>
      </c>
      <c r="H154" s="26">
        <f>IFERROR(IF(B154&lt;&gt;'06_Target KPI'!$B$3,0,IF(VLOOKUP(F154,'05_Master KPI'!$B$5:$G$100,6,FALSE)="Kumulatif",INDEX('06_Target KPI'!$E$5:$P$100,MATCH(F154,'06_Target KPI'!$B$5:$B$100,0),MATCH(A154,'06_Target KPI'!$E$4:$P$4,0))*DAY(C154)/DAY(EOMONTH(C154,0)),INDEX('06_Target KPI'!$E$5:$P$100,MATCH(F154,'06_Target KPI'!$B$5:$B$100,0),MATCH(A154,'06_Target KPI'!$E$4:$P$4,0)))),0)</f>
        <v>100</v>
      </c>
      <c r="I154" s="24">
        <v>87.3</v>
      </c>
      <c r="J154" s="27">
        <f>IFERROR(MIN(IF(VLOOKUP(F154,'05_Master KPI'!$B$5:$G$100,5,FALSE)="Lower",H154/I154,I154/H154),1),0)</f>
        <v>0.873</v>
      </c>
      <c r="K154" s="26">
        <f>IFERROR(VLOOKUP(F154,'05_Master KPI'!$B$5:$G$100,4,FALSE),0)</f>
        <v>10</v>
      </c>
      <c r="L154" s="28">
        <f t="shared" si="2"/>
        <v>8.73</v>
      </c>
      <c r="M154" s="26" t="str">
        <f>IF(D154="","",IF(J154&gt;='13_Setting'!$H$7,"Tercapai",IF(J154&gt;='13_Setting'!$H$6,"On Track","Tertinggal")))</f>
        <v>On Track</v>
      </c>
      <c r="N154" s="24" t="s">
        <v>211</v>
      </c>
    </row>
    <row r="155" spans="1:14">
      <c r="A155" s="24" t="s">
        <v>197</v>
      </c>
      <c r="B155" s="24">
        <v>2026</v>
      </c>
      <c r="C155" s="25">
        <v>46234</v>
      </c>
      <c r="D155" s="24" t="s">
        <v>90</v>
      </c>
      <c r="E155" s="26" t="str">
        <f>IFERROR(VLOOKUP(D155,'04_Master Karyawan'!$A$5:$F$50,2,FALSE),"")</f>
        <v>Cantika</v>
      </c>
      <c r="F155" s="24" t="s">
        <v>143</v>
      </c>
      <c r="G155" s="26" t="str">
        <f>IFERROR(VLOOKUP(F155,'05_Master KPI'!$B$5:$G$100,2,FALSE)&amp;" ("&amp;VLOOKUP(F155,'05_Master KPI'!$B$5:$G$100,3,FALSE)&amp;")","")</f>
        <v>Content Plan (konten)</v>
      </c>
      <c r="H155" s="26">
        <f>IFERROR(IF(B155&lt;&gt;'06_Target KPI'!$B$3,0,IF(VLOOKUP(F155,'05_Master KPI'!$B$5:$G$100,6,FALSE)="Kumulatif",INDEX('06_Target KPI'!$E$5:$P$100,MATCH(F155,'06_Target KPI'!$B$5:$B$100,0),MATCH(A155,'06_Target KPI'!$E$4:$P$4,0))*DAY(C155)/DAY(EOMONTH(C155,0)),INDEX('06_Target KPI'!$E$5:$P$100,MATCH(F155,'06_Target KPI'!$B$5:$B$100,0),MATCH(A155,'06_Target KPI'!$E$4:$P$4,0)))),0)</f>
        <v>30</v>
      </c>
      <c r="I155" s="24">
        <v>27</v>
      </c>
      <c r="J155" s="27">
        <f>IFERROR(MIN(IF(VLOOKUP(F155,'05_Master KPI'!$B$5:$G$100,5,FALSE)="Lower",H155/I155,I155/H155),1),0)</f>
        <v>0.9</v>
      </c>
      <c r="K155" s="26">
        <f>IFERROR(VLOOKUP(F155,'05_Master KPI'!$B$5:$G$100,4,FALSE),0)</f>
        <v>15</v>
      </c>
      <c r="L155" s="28">
        <f t="shared" si="2"/>
        <v>13.5</v>
      </c>
      <c r="M155" s="26" t="str">
        <f>IF(D155="","",IF(J155&gt;='13_Setting'!$H$7,"Tercapai",IF(J155&gt;='13_Setting'!$H$6,"On Track","Tertinggal")))</f>
        <v>On Track</v>
      </c>
      <c r="N155" s="24" t="s">
        <v>211</v>
      </c>
    </row>
    <row r="156" spans="1:14">
      <c r="A156" s="24" t="s">
        <v>197</v>
      </c>
      <c r="B156" s="24">
        <v>2026</v>
      </c>
      <c r="C156" s="25">
        <v>46234</v>
      </c>
      <c r="D156" s="24" t="s">
        <v>90</v>
      </c>
      <c r="E156" s="26" t="str">
        <f>IFERROR(VLOOKUP(D156,'04_Master Karyawan'!$A$5:$F$50,2,FALSE),"")</f>
        <v>Cantika</v>
      </c>
      <c r="F156" s="24" t="s">
        <v>146</v>
      </c>
      <c r="G156" s="26" t="str">
        <f>IFERROR(VLOOKUP(F156,'05_Master KPI'!$B$5:$G$100,2,FALSE)&amp;" ("&amp;VLOOKUP(F156,'05_Master KPI'!$B$5:$G$100,3,FALSE)&amp;")","")</f>
        <v>Engagement Rate (%)</v>
      </c>
      <c r="H156" s="26">
        <f>IFERROR(IF(B156&lt;&gt;'06_Target KPI'!$B$3,0,IF(VLOOKUP(F156,'05_Master KPI'!$B$5:$G$100,6,FALSE)="Kumulatif",INDEX('06_Target KPI'!$E$5:$P$100,MATCH(F156,'06_Target KPI'!$B$5:$B$100,0),MATCH(A156,'06_Target KPI'!$E$4:$P$4,0))*DAY(C156)/DAY(EOMONTH(C156,0)),INDEX('06_Target KPI'!$E$5:$P$100,MATCH(F156,'06_Target KPI'!$B$5:$B$100,0),MATCH(A156,'06_Target KPI'!$E$4:$P$4,0)))),0)</f>
        <v>5</v>
      </c>
      <c r="I156" s="24">
        <v>4.5</v>
      </c>
      <c r="J156" s="27">
        <f>IFERROR(MIN(IF(VLOOKUP(F156,'05_Master KPI'!$B$5:$G$100,5,FALSE)="Lower",H156/I156,I156/H156),1),0)</f>
        <v>0.9</v>
      </c>
      <c r="K156" s="26">
        <f>IFERROR(VLOOKUP(F156,'05_Master KPI'!$B$5:$G$100,4,FALSE),0)</f>
        <v>15</v>
      </c>
      <c r="L156" s="28">
        <f t="shared" si="2"/>
        <v>13.5</v>
      </c>
      <c r="M156" s="26" t="str">
        <f>IF(D156="","",IF(J156&gt;='13_Setting'!$H$7,"Tercapai",IF(J156&gt;='13_Setting'!$H$6,"On Track","Tertinggal")))</f>
        <v>On Track</v>
      </c>
      <c r="N156" s="24" t="s">
        <v>211</v>
      </c>
    </row>
    <row r="157" spans="1:14">
      <c r="A157" s="24" t="s">
        <v>197</v>
      </c>
      <c r="B157" s="24">
        <v>2026</v>
      </c>
      <c r="C157" s="25">
        <v>46234</v>
      </c>
      <c r="D157" s="24" t="s">
        <v>90</v>
      </c>
      <c r="E157" s="26" t="str">
        <f>IFERROR(VLOOKUP(D157,'04_Master Karyawan'!$A$5:$F$50,2,FALSE),"")</f>
        <v>Cantika</v>
      </c>
      <c r="F157" s="24" t="s">
        <v>148</v>
      </c>
      <c r="G157" s="26" t="str">
        <f>IFERROR(VLOOKUP(F157,'05_Master KPI'!$B$5:$G$100,2,FALSE)&amp;" ("&amp;VLOOKUP(F157,'05_Master KPI'!$B$5:$G$100,3,FALSE)&amp;")","")</f>
        <v>Qualified Leads (lead)</v>
      </c>
      <c r="H157" s="26">
        <f>IFERROR(IF(B157&lt;&gt;'06_Target KPI'!$B$3,0,IF(VLOOKUP(F157,'05_Master KPI'!$B$5:$G$100,6,FALSE)="Kumulatif",INDEX('06_Target KPI'!$E$5:$P$100,MATCH(F157,'06_Target KPI'!$B$5:$B$100,0),MATCH(A157,'06_Target KPI'!$E$4:$P$4,0))*DAY(C157)/DAY(EOMONTH(C157,0)),INDEX('06_Target KPI'!$E$5:$P$100,MATCH(F157,'06_Target KPI'!$B$5:$B$100,0),MATCH(A157,'06_Target KPI'!$E$4:$P$4,0)))),0)</f>
        <v>100</v>
      </c>
      <c r="I157" s="24">
        <v>90</v>
      </c>
      <c r="J157" s="27">
        <f>IFERROR(MIN(IF(VLOOKUP(F157,'05_Master KPI'!$B$5:$G$100,5,FALSE)="Lower",H157/I157,I157/H157),1),0)</f>
        <v>0.9</v>
      </c>
      <c r="K157" s="26">
        <f>IFERROR(VLOOKUP(F157,'05_Master KPI'!$B$5:$G$100,4,FALSE),0)</f>
        <v>20</v>
      </c>
      <c r="L157" s="28">
        <f t="shared" si="2"/>
        <v>18</v>
      </c>
      <c r="M157" s="26" t="str">
        <f>IF(D157="","",IF(J157&gt;='13_Setting'!$H$7,"Tercapai",IF(J157&gt;='13_Setting'!$H$6,"On Track","Tertinggal")))</f>
        <v>On Track</v>
      </c>
      <c r="N157" s="24" t="s">
        <v>211</v>
      </c>
    </row>
    <row r="158" spans="1:14">
      <c r="A158" s="24" t="s">
        <v>197</v>
      </c>
      <c r="B158" s="24">
        <v>2026</v>
      </c>
      <c r="C158" s="25">
        <v>46234</v>
      </c>
      <c r="D158" s="24" t="s">
        <v>90</v>
      </c>
      <c r="E158" s="26" t="str">
        <f>IFERROR(VLOOKUP(D158,'04_Master Karyawan'!$A$5:$F$50,2,FALSE),"")</f>
        <v>Cantika</v>
      </c>
      <c r="F158" s="24" t="s">
        <v>151</v>
      </c>
      <c r="G158" s="26" t="str">
        <f>IFERROR(VLOOKUP(F158,'05_Master KPI'!$B$5:$G$100,2,FALSE)&amp;" ("&amp;VLOOKUP(F158,'05_Master KPI'!$B$5:$G$100,3,FALSE)&amp;")","")</f>
        <v>Campaign Execution (%)</v>
      </c>
      <c r="H158" s="26">
        <f>IFERROR(IF(B158&lt;&gt;'06_Target KPI'!$B$3,0,IF(VLOOKUP(F158,'05_Master KPI'!$B$5:$G$100,6,FALSE)="Kumulatif",INDEX('06_Target KPI'!$E$5:$P$100,MATCH(F158,'06_Target KPI'!$B$5:$B$100,0),MATCH(A158,'06_Target KPI'!$E$4:$P$4,0))*DAY(C158)/DAY(EOMONTH(C158,0)),INDEX('06_Target KPI'!$E$5:$P$100,MATCH(F158,'06_Target KPI'!$B$5:$B$100,0),MATCH(A158,'06_Target KPI'!$E$4:$P$4,0)))),0)</f>
        <v>100</v>
      </c>
      <c r="I158" s="24">
        <v>89.8</v>
      </c>
      <c r="J158" s="27">
        <f>IFERROR(MIN(IF(VLOOKUP(F158,'05_Master KPI'!$B$5:$G$100,5,FALSE)="Lower",H158/I158,I158/H158),1),0)</f>
        <v>0.89800000000000002</v>
      </c>
      <c r="K158" s="26">
        <f>IFERROR(VLOOKUP(F158,'05_Master KPI'!$B$5:$G$100,4,FALSE),0)</f>
        <v>20</v>
      </c>
      <c r="L158" s="28">
        <f t="shared" si="2"/>
        <v>17.96</v>
      </c>
      <c r="M158" s="26" t="str">
        <f>IF(D158="","",IF(J158&gt;='13_Setting'!$H$7,"Tercapai",IF(J158&gt;='13_Setting'!$H$6,"On Track","Tertinggal")))</f>
        <v>On Track</v>
      </c>
      <c r="N158" s="24" t="s">
        <v>211</v>
      </c>
    </row>
    <row r="159" spans="1:14">
      <c r="A159" s="24" t="s">
        <v>197</v>
      </c>
      <c r="B159" s="24">
        <v>2026</v>
      </c>
      <c r="C159" s="25">
        <v>46234</v>
      </c>
      <c r="D159" s="24" t="s">
        <v>90</v>
      </c>
      <c r="E159" s="26" t="str">
        <f>IFERROR(VLOOKUP(D159,'04_Master Karyawan'!$A$5:$F$50,2,FALSE),"")</f>
        <v>Cantika</v>
      </c>
      <c r="F159" s="24" t="s">
        <v>153</v>
      </c>
      <c r="G159" s="26" t="str">
        <f>IFERROR(VLOOKUP(F159,'05_Master KPI'!$B$5:$G$100,2,FALSE)&amp;" ("&amp;VLOOKUP(F159,'05_Master KPI'!$B$5:$G$100,3,FALSE)&amp;")","")</f>
        <v>Lead Conversion (%)</v>
      </c>
      <c r="H159" s="26">
        <f>IFERROR(IF(B159&lt;&gt;'06_Target KPI'!$B$3,0,IF(VLOOKUP(F159,'05_Master KPI'!$B$5:$G$100,6,FALSE)="Kumulatif",INDEX('06_Target KPI'!$E$5:$P$100,MATCH(F159,'06_Target KPI'!$B$5:$B$100,0),MATCH(A159,'06_Target KPI'!$E$4:$P$4,0))*DAY(C159)/DAY(EOMONTH(C159,0)),INDEX('06_Target KPI'!$E$5:$P$100,MATCH(F159,'06_Target KPI'!$B$5:$B$100,0),MATCH(A159,'06_Target KPI'!$E$4:$P$4,0)))),0)</f>
        <v>10</v>
      </c>
      <c r="I159" s="24">
        <v>9</v>
      </c>
      <c r="J159" s="27">
        <f>IFERROR(MIN(IF(VLOOKUP(F159,'05_Master KPI'!$B$5:$G$100,5,FALSE)="Lower",H159/I159,I159/H159),1),0)</f>
        <v>0.9</v>
      </c>
      <c r="K159" s="26">
        <f>IFERROR(VLOOKUP(F159,'05_Master KPI'!$B$5:$G$100,4,FALSE),0)</f>
        <v>20</v>
      </c>
      <c r="L159" s="28">
        <f t="shared" si="2"/>
        <v>18</v>
      </c>
      <c r="M159" s="26" t="str">
        <f>IF(D159="","",IF(J159&gt;='13_Setting'!$H$7,"Tercapai",IF(J159&gt;='13_Setting'!$H$6,"On Track","Tertinggal")))</f>
        <v>On Track</v>
      </c>
      <c r="N159" s="24" t="s">
        <v>211</v>
      </c>
    </row>
    <row r="160" spans="1:14">
      <c r="A160" s="24" t="s">
        <v>197</v>
      </c>
      <c r="B160" s="24">
        <v>2026</v>
      </c>
      <c r="C160" s="25">
        <v>46234</v>
      </c>
      <c r="D160" s="24" t="s">
        <v>90</v>
      </c>
      <c r="E160" s="26" t="str">
        <f>IFERROR(VLOOKUP(D160,'04_Master Karyawan'!$A$5:$F$50,2,FALSE),"")</f>
        <v>Cantika</v>
      </c>
      <c r="F160" s="24" t="s">
        <v>155</v>
      </c>
      <c r="G160" s="26" t="str">
        <f>IFERROR(VLOOKUP(F160,'05_Master KPI'!$B$5:$G$100,2,FALSE)&amp;" ("&amp;VLOOKUP(F160,'05_Master KPI'!$B$5:$G$100,3,FALSE)&amp;")","")</f>
        <v>Reporting (%)</v>
      </c>
      <c r="H160" s="26">
        <f>IFERROR(IF(B160&lt;&gt;'06_Target KPI'!$B$3,0,IF(VLOOKUP(F160,'05_Master KPI'!$B$5:$G$100,6,FALSE)="Kumulatif",INDEX('06_Target KPI'!$E$5:$P$100,MATCH(F160,'06_Target KPI'!$B$5:$B$100,0),MATCH(A160,'06_Target KPI'!$E$4:$P$4,0))*DAY(C160)/DAY(EOMONTH(C160,0)),INDEX('06_Target KPI'!$E$5:$P$100,MATCH(F160,'06_Target KPI'!$B$5:$B$100,0),MATCH(A160,'06_Target KPI'!$E$4:$P$4,0)))),0)</f>
        <v>100</v>
      </c>
      <c r="I160" s="24">
        <v>89.8</v>
      </c>
      <c r="J160" s="27">
        <f>IFERROR(MIN(IF(VLOOKUP(F160,'05_Master KPI'!$B$5:$G$100,5,FALSE)="Lower",H160/I160,I160/H160),1),0)</f>
        <v>0.89800000000000002</v>
      </c>
      <c r="K160" s="26">
        <f>IFERROR(VLOOKUP(F160,'05_Master KPI'!$B$5:$G$100,4,FALSE),0)</f>
        <v>10</v>
      </c>
      <c r="L160" s="28">
        <f t="shared" si="2"/>
        <v>8.98</v>
      </c>
      <c r="M160" s="26" t="str">
        <f>IF(D160="","",IF(J160&gt;='13_Setting'!$H$7,"Tercapai",IF(J160&gt;='13_Setting'!$H$6,"On Track","Tertinggal")))</f>
        <v>On Track</v>
      </c>
      <c r="N160" s="24" t="s">
        <v>211</v>
      </c>
    </row>
    <row r="161" spans="1:14">
      <c r="A161" s="24" t="s">
        <v>197</v>
      </c>
      <c r="B161" s="24">
        <v>2026</v>
      </c>
      <c r="C161" s="25">
        <v>46234</v>
      </c>
      <c r="D161" s="24" t="s">
        <v>92</v>
      </c>
      <c r="E161" s="26" t="str">
        <f>IFERROR(VLOOKUP(D161,'04_Master Karyawan'!$A$5:$F$50,2,FALSE),"")</f>
        <v>Jessie</v>
      </c>
      <c r="F161" s="24" t="s">
        <v>143</v>
      </c>
      <c r="G161" s="26" t="str">
        <f>IFERROR(VLOOKUP(F161,'05_Master KPI'!$B$5:$G$100,2,FALSE)&amp;" ("&amp;VLOOKUP(F161,'05_Master KPI'!$B$5:$G$100,3,FALSE)&amp;")","")</f>
        <v>Content Plan (konten)</v>
      </c>
      <c r="H161" s="26">
        <f>IFERROR(IF(B161&lt;&gt;'06_Target KPI'!$B$3,0,IF(VLOOKUP(F161,'05_Master KPI'!$B$5:$G$100,6,FALSE)="Kumulatif",INDEX('06_Target KPI'!$E$5:$P$100,MATCH(F161,'06_Target KPI'!$B$5:$B$100,0),MATCH(A161,'06_Target KPI'!$E$4:$P$4,0))*DAY(C161)/DAY(EOMONTH(C161,0)),INDEX('06_Target KPI'!$E$5:$P$100,MATCH(F161,'06_Target KPI'!$B$5:$B$100,0),MATCH(A161,'06_Target KPI'!$E$4:$P$4,0)))),0)</f>
        <v>30</v>
      </c>
      <c r="I161" s="24">
        <v>28</v>
      </c>
      <c r="J161" s="27">
        <f>IFERROR(MIN(IF(VLOOKUP(F161,'05_Master KPI'!$B$5:$G$100,5,FALSE)="Lower",H161/I161,I161/H161),1),0)</f>
        <v>0.93333333333333335</v>
      </c>
      <c r="K161" s="26">
        <f>IFERROR(VLOOKUP(F161,'05_Master KPI'!$B$5:$G$100,4,FALSE),0)</f>
        <v>15</v>
      </c>
      <c r="L161" s="28">
        <f t="shared" si="2"/>
        <v>14</v>
      </c>
      <c r="M161" s="26" t="str">
        <f>IF(D161="","",IF(J161&gt;='13_Setting'!$H$7,"Tercapai",IF(J161&gt;='13_Setting'!$H$6,"On Track","Tertinggal")))</f>
        <v>On Track</v>
      </c>
      <c r="N161" s="24" t="s">
        <v>211</v>
      </c>
    </row>
    <row r="162" spans="1:14">
      <c r="A162" s="24" t="s">
        <v>197</v>
      </c>
      <c r="B162" s="24">
        <v>2026</v>
      </c>
      <c r="C162" s="25">
        <v>46234</v>
      </c>
      <c r="D162" s="24" t="s">
        <v>92</v>
      </c>
      <c r="E162" s="26" t="str">
        <f>IFERROR(VLOOKUP(D162,'04_Master Karyawan'!$A$5:$F$50,2,FALSE),"")</f>
        <v>Jessie</v>
      </c>
      <c r="F162" s="24" t="s">
        <v>146</v>
      </c>
      <c r="G162" s="26" t="str">
        <f>IFERROR(VLOOKUP(F162,'05_Master KPI'!$B$5:$G$100,2,FALSE)&amp;" ("&amp;VLOOKUP(F162,'05_Master KPI'!$B$5:$G$100,3,FALSE)&amp;")","")</f>
        <v>Engagement Rate (%)</v>
      </c>
      <c r="H162" s="26">
        <f>IFERROR(IF(B162&lt;&gt;'06_Target KPI'!$B$3,0,IF(VLOOKUP(F162,'05_Master KPI'!$B$5:$G$100,6,FALSE)="Kumulatif",INDEX('06_Target KPI'!$E$5:$P$100,MATCH(F162,'06_Target KPI'!$B$5:$B$100,0),MATCH(A162,'06_Target KPI'!$E$4:$P$4,0))*DAY(C162)/DAY(EOMONTH(C162,0)),INDEX('06_Target KPI'!$E$5:$P$100,MATCH(F162,'06_Target KPI'!$B$5:$B$100,0),MATCH(A162,'06_Target KPI'!$E$4:$P$4,0)))),0)</f>
        <v>5</v>
      </c>
      <c r="I162" s="24">
        <v>4.5999999999999996</v>
      </c>
      <c r="J162" s="27">
        <f>IFERROR(MIN(IF(VLOOKUP(F162,'05_Master KPI'!$B$5:$G$100,5,FALSE)="Lower",H162/I162,I162/H162),1),0)</f>
        <v>0.91999999999999993</v>
      </c>
      <c r="K162" s="26">
        <f>IFERROR(VLOOKUP(F162,'05_Master KPI'!$B$5:$G$100,4,FALSE),0)</f>
        <v>15</v>
      </c>
      <c r="L162" s="28">
        <f t="shared" si="2"/>
        <v>13.799999999999999</v>
      </c>
      <c r="M162" s="26" t="str">
        <f>IF(D162="","",IF(J162&gt;='13_Setting'!$H$7,"Tercapai",IF(J162&gt;='13_Setting'!$H$6,"On Track","Tertinggal")))</f>
        <v>On Track</v>
      </c>
      <c r="N162" s="24" t="s">
        <v>211</v>
      </c>
    </row>
    <row r="163" spans="1:14">
      <c r="A163" s="24" t="s">
        <v>197</v>
      </c>
      <c r="B163" s="24">
        <v>2026</v>
      </c>
      <c r="C163" s="25">
        <v>46234</v>
      </c>
      <c r="D163" s="24" t="s">
        <v>92</v>
      </c>
      <c r="E163" s="26" t="str">
        <f>IFERROR(VLOOKUP(D163,'04_Master Karyawan'!$A$5:$F$50,2,FALSE),"")</f>
        <v>Jessie</v>
      </c>
      <c r="F163" s="24" t="s">
        <v>148</v>
      </c>
      <c r="G163" s="26" t="str">
        <f>IFERROR(VLOOKUP(F163,'05_Master KPI'!$B$5:$G$100,2,FALSE)&amp;" ("&amp;VLOOKUP(F163,'05_Master KPI'!$B$5:$G$100,3,FALSE)&amp;")","")</f>
        <v>Qualified Leads (lead)</v>
      </c>
      <c r="H163" s="26">
        <f>IFERROR(IF(B163&lt;&gt;'06_Target KPI'!$B$3,0,IF(VLOOKUP(F163,'05_Master KPI'!$B$5:$G$100,6,FALSE)="Kumulatif",INDEX('06_Target KPI'!$E$5:$P$100,MATCH(F163,'06_Target KPI'!$B$5:$B$100,0),MATCH(A163,'06_Target KPI'!$E$4:$P$4,0))*DAY(C163)/DAY(EOMONTH(C163,0)),INDEX('06_Target KPI'!$E$5:$P$100,MATCH(F163,'06_Target KPI'!$B$5:$B$100,0),MATCH(A163,'06_Target KPI'!$E$4:$P$4,0)))),0)</f>
        <v>100</v>
      </c>
      <c r="I163" s="24">
        <v>92</v>
      </c>
      <c r="J163" s="27">
        <f>IFERROR(MIN(IF(VLOOKUP(F163,'05_Master KPI'!$B$5:$G$100,5,FALSE)="Lower",H163/I163,I163/H163),1),0)</f>
        <v>0.92</v>
      </c>
      <c r="K163" s="26">
        <f>IFERROR(VLOOKUP(F163,'05_Master KPI'!$B$5:$G$100,4,FALSE),0)</f>
        <v>20</v>
      </c>
      <c r="L163" s="28">
        <f t="shared" si="2"/>
        <v>18.400000000000002</v>
      </c>
      <c r="M163" s="26" t="str">
        <f>IF(D163="","",IF(J163&gt;='13_Setting'!$H$7,"Tercapai",IF(J163&gt;='13_Setting'!$H$6,"On Track","Tertinggal")))</f>
        <v>On Track</v>
      </c>
      <c r="N163" s="24" t="s">
        <v>211</v>
      </c>
    </row>
    <row r="164" spans="1:14">
      <c r="A164" s="24" t="s">
        <v>197</v>
      </c>
      <c r="B164" s="24">
        <v>2026</v>
      </c>
      <c r="C164" s="25">
        <v>46234</v>
      </c>
      <c r="D164" s="24" t="s">
        <v>92</v>
      </c>
      <c r="E164" s="26" t="str">
        <f>IFERROR(VLOOKUP(D164,'04_Master Karyawan'!$A$5:$F$50,2,FALSE),"")</f>
        <v>Jessie</v>
      </c>
      <c r="F164" s="24" t="s">
        <v>151</v>
      </c>
      <c r="G164" s="26" t="str">
        <f>IFERROR(VLOOKUP(F164,'05_Master KPI'!$B$5:$G$100,2,FALSE)&amp;" ("&amp;VLOOKUP(F164,'05_Master KPI'!$B$5:$G$100,3,FALSE)&amp;")","")</f>
        <v>Campaign Execution (%)</v>
      </c>
      <c r="H164" s="26">
        <f>IFERROR(IF(B164&lt;&gt;'06_Target KPI'!$B$3,0,IF(VLOOKUP(F164,'05_Master KPI'!$B$5:$G$100,6,FALSE)="Kumulatif",INDEX('06_Target KPI'!$E$5:$P$100,MATCH(F164,'06_Target KPI'!$B$5:$B$100,0),MATCH(A164,'06_Target KPI'!$E$4:$P$4,0))*DAY(C164)/DAY(EOMONTH(C164,0)),INDEX('06_Target KPI'!$E$5:$P$100,MATCH(F164,'06_Target KPI'!$B$5:$B$100,0),MATCH(A164,'06_Target KPI'!$E$4:$P$4,0)))),0)</f>
        <v>100</v>
      </c>
      <c r="I164" s="24">
        <v>92.3</v>
      </c>
      <c r="J164" s="27">
        <f>IFERROR(MIN(IF(VLOOKUP(F164,'05_Master KPI'!$B$5:$G$100,5,FALSE)="Lower",H164/I164,I164/H164),1),0)</f>
        <v>0.92299999999999993</v>
      </c>
      <c r="K164" s="26">
        <f>IFERROR(VLOOKUP(F164,'05_Master KPI'!$B$5:$G$100,4,FALSE),0)</f>
        <v>20</v>
      </c>
      <c r="L164" s="28">
        <f t="shared" si="2"/>
        <v>18.459999999999997</v>
      </c>
      <c r="M164" s="26" t="str">
        <f>IF(D164="","",IF(J164&gt;='13_Setting'!$H$7,"Tercapai",IF(J164&gt;='13_Setting'!$H$6,"On Track","Tertinggal")))</f>
        <v>On Track</v>
      </c>
      <c r="N164" s="24" t="s">
        <v>211</v>
      </c>
    </row>
    <row r="165" spans="1:14">
      <c r="A165" s="24" t="s">
        <v>197</v>
      </c>
      <c r="B165" s="24">
        <v>2026</v>
      </c>
      <c r="C165" s="25">
        <v>46234</v>
      </c>
      <c r="D165" s="24" t="s">
        <v>92</v>
      </c>
      <c r="E165" s="26" t="str">
        <f>IFERROR(VLOOKUP(D165,'04_Master Karyawan'!$A$5:$F$50,2,FALSE),"")</f>
        <v>Jessie</v>
      </c>
      <c r="F165" s="24" t="s">
        <v>153</v>
      </c>
      <c r="G165" s="26" t="str">
        <f>IFERROR(VLOOKUP(F165,'05_Master KPI'!$B$5:$G$100,2,FALSE)&amp;" ("&amp;VLOOKUP(F165,'05_Master KPI'!$B$5:$G$100,3,FALSE)&amp;")","")</f>
        <v>Lead Conversion (%)</v>
      </c>
      <c r="H165" s="26">
        <f>IFERROR(IF(B165&lt;&gt;'06_Target KPI'!$B$3,0,IF(VLOOKUP(F165,'05_Master KPI'!$B$5:$G$100,6,FALSE)="Kumulatif",INDEX('06_Target KPI'!$E$5:$P$100,MATCH(F165,'06_Target KPI'!$B$5:$B$100,0),MATCH(A165,'06_Target KPI'!$E$4:$P$4,0))*DAY(C165)/DAY(EOMONTH(C165,0)),INDEX('06_Target KPI'!$E$5:$P$100,MATCH(F165,'06_Target KPI'!$B$5:$B$100,0),MATCH(A165,'06_Target KPI'!$E$4:$P$4,0)))),0)</f>
        <v>10</v>
      </c>
      <c r="I165" s="24">
        <v>9.1999999999999993</v>
      </c>
      <c r="J165" s="27">
        <f>IFERROR(MIN(IF(VLOOKUP(F165,'05_Master KPI'!$B$5:$G$100,5,FALSE)="Lower",H165/I165,I165/H165),1),0)</f>
        <v>0.91999999999999993</v>
      </c>
      <c r="K165" s="26">
        <f>IFERROR(VLOOKUP(F165,'05_Master KPI'!$B$5:$G$100,4,FALSE),0)</f>
        <v>20</v>
      </c>
      <c r="L165" s="28">
        <f t="shared" si="2"/>
        <v>18.399999999999999</v>
      </c>
      <c r="M165" s="26" t="str">
        <f>IF(D165="","",IF(J165&gt;='13_Setting'!$H$7,"Tercapai",IF(J165&gt;='13_Setting'!$H$6,"On Track","Tertinggal")))</f>
        <v>On Track</v>
      </c>
      <c r="N165" s="24" t="s">
        <v>211</v>
      </c>
    </row>
    <row r="166" spans="1:14">
      <c r="A166" s="24" t="s">
        <v>197</v>
      </c>
      <c r="B166" s="24">
        <v>2026</v>
      </c>
      <c r="C166" s="25">
        <v>46234</v>
      </c>
      <c r="D166" s="24" t="s">
        <v>92</v>
      </c>
      <c r="E166" s="26" t="str">
        <f>IFERROR(VLOOKUP(D166,'04_Master Karyawan'!$A$5:$F$50,2,FALSE),"")</f>
        <v>Jessie</v>
      </c>
      <c r="F166" s="24" t="s">
        <v>155</v>
      </c>
      <c r="G166" s="26" t="str">
        <f>IFERROR(VLOOKUP(F166,'05_Master KPI'!$B$5:$G$100,2,FALSE)&amp;" ("&amp;VLOOKUP(F166,'05_Master KPI'!$B$5:$G$100,3,FALSE)&amp;")","")</f>
        <v>Reporting (%)</v>
      </c>
      <c r="H166" s="26">
        <f>IFERROR(IF(B166&lt;&gt;'06_Target KPI'!$B$3,0,IF(VLOOKUP(F166,'05_Master KPI'!$B$5:$G$100,6,FALSE)="Kumulatif",INDEX('06_Target KPI'!$E$5:$P$100,MATCH(F166,'06_Target KPI'!$B$5:$B$100,0),MATCH(A166,'06_Target KPI'!$E$4:$P$4,0))*DAY(C166)/DAY(EOMONTH(C166,0)),INDEX('06_Target KPI'!$E$5:$P$100,MATCH(F166,'06_Target KPI'!$B$5:$B$100,0),MATCH(A166,'06_Target KPI'!$E$4:$P$4,0)))),0)</f>
        <v>100</v>
      </c>
      <c r="I166" s="24">
        <v>92.3</v>
      </c>
      <c r="J166" s="27">
        <f>IFERROR(MIN(IF(VLOOKUP(F166,'05_Master KPI'!$B$5:$G$100,5,FALSE)="Lower",H166/I166,I166/H166),1),0)</f>
        <v>0.92299999999999993</v>
      </c>
      <c r="K166" s="26">
        <f>IFERROR(VLOOKUP(F166,'05_Master KPI'!$B$5:$G$100,4,FALSE),0)</f>
        <v>10</v>
      </c>
      <c r="L166" s="28">
        <f t="shared" si="2"/>
        <v>9.2299999999999986</v>
      </c>
      <c r="M166" s="26" t="str">
        <f>IF(D166="","",IF(J166&gt;='13_Setting'!$H$7,"Tercapai",IF(J166&gt;='13_Setting'!$H$6,"On Track","Tertinggal")))</f>
        <v>On Track</v>
      </c>
      <c r="N166" s="24" t="s">
        <v>211</v>
      </c>
    </row>
    <row r="167" spans="1:14">
      <c r="A167" s="24" t="s">
        <v>197</v>
      </c>
      <c r="B167" s="24">
        <v>2026</v>
      </c>
      <c r="C167" s="25">
        <v>46234</v>
      </c>
      <c r="D167" s="24" t="s">
        <v>94</v>
      </c>
      <c r="E167" s="26" t="str">
        <f>IFERROR(VLOOKUP(D167,'04_Master Karyawan'!$A$5:$F$50,2,FALSE),"")</f>
        <v>Kia</v>
      </c>
      <c r="F167" s="24" t="s">
        <v>143</v>
      </c>
      <c r="G167" s="26" t="str">
        <f>IFERROR(VLOOKUP(F167,'05_Master KPI'!$B$5:$G$100,2,FALSE)&amp;" ("&amp;VLOOKUP(F167,'05_Master KPI'!$B$5:$G$100,3,FALSE)&amp;")","")</f>
        <v>Content Plan (konten)</v>
      </c>
      <c r="H167" s="26">
        <f>IFERROR(IF(B167&lt;&gt;'06_Target KPI'!$B$3,0,IF(VLOOKUP(F167,'05_Master KPI'!$B$5:$G$100,6,FALSE)="Kumulatif",INDEX('06_Target KPI'!$E$5:$P$100,MATCH(F167,'06_Target KPI'!$B$5:$B$100,0),MATCH(A167,'06_Target KPI'!$E$4:$P$4,0))*DAY(C167)/DAY(EOMONTH(C167,0)),INDEX('06_Target KPI'!$E$5:$P$100,MATCH(F167,'06_Target KPI'!$B$5:$B$100,0),MATCH(A167,'06_Target KPI'!$E$4:$P$4,0)))),0)</f>
        <v>30</v>
      </c>
      <c r="I167" s="24">
        <v>28</v>
      </c>
      <c r="J167" s="27">
        <f>IFERROR(MIN(IF(VLOOKUP(F167,'05_Master KPI'!$B$5:$G$100,5,FALSE)="Lower",H167/I167,I167/H167),1),0)</f>
        <v>0.93333333333333335</v>
      </c>
      <c r="K167" s="26">
        <f>IFERROR(VLOOKUP(F167,'05_Master KPI'!$B$5:$G$100,4,FALSE),0)</f>
        <v>15</v>
      </c>
      <c r="L167" s="28">
        <f t="shared" si="2"/>
        <v>14</v>
      </c>
      <c r="M167" s="26" t="str">
        <f>IF(D167="","",IF(J167&gt;='13_Setting'!$H$7,"Tercapai",IF(J167&gt;='13_Setting'!$H$6,"On Track","Tertinggal")))</f>
        <v>On Track</v>
      </c>
      <c r="N167" s="24" t="s">
        <v>211</v>
      </c>
    </row>
    <row r="168" spans="1:14">
      <c r="A168" s="24" t="s">
        <v>197</v>
      </c>
      <c r="B168" s="24">
        <v>2026</v>
      </c>
      <c r="C168" s="25">
        <v>46234</v>
      </c>
      <c r="D168" s="24" t="s">
        <v>94</v>
      </c>
      <c r="E168" s="26" t="str">
        <f>IFERROR(VLOOKUP(D168,'04_Master Karyawan'!$A$5:$F$50,2,FALSE),"")</f>
        <v>Kia</v>
      </c>
      <c r="F168" s="24" t="s">
        <v>146</v>
      </c>
      <c r="G168" s="26" t="str">
        <f>IFERROR(VLOOKUP(F168,'05_Master KPI'!$B$5:$G$100,2,FALSE)&amp;" ("&amp;VLOOKUP(F168,'05_Master KPI'!$B$5:$G$100,3,FALSE)&amp;")","")</f>
        <v>Engagement Rate (%)</v>
      </c>
      <c r="H168" s="26">
        <f>IFERROR(IF(B168&lt;&gt;'06_Target KPI'!$B$3,0,IF(VLOOKUP(F168,'05_Master KPI'!$B$5:$G$100,6,FALSE)="Kumulatif",INDEX('06_Target KPI'!$E$5:$P$100,MATCH(F168,'06_Target KPI'!$B$5:$B$100,0),MATCH(A168,'06_Target KPI'!$E$4:$P$4,0))*DAY(C168)/DAY(EOMONTH(C168,0)),INDEX('06_Target KPI'!$E$5:$P$100,MATCH(F168,'06_Target KPI'!$B$5:$B$100,0),MATCH(A168,'06_Target KPI'!$E$4:$P$4,0)))),0)</f>
        <v>5</v>
      </c>
      <c r="I168" s="24">
        <v>4.7</v>
      </c>
      <c r="J168" s="27">
        <f>IFERROR(MIN(IF(VLOOKUP(F168,'05_Master KPI'!$B$5:$G$100,5,FALSE)="Lower",H168/I168,I168/H168),1),0)</f>
        <v>0.94000000000000006</v>
      </c>
      <c r="K168" s="26">
        <f>IFERROR(VLOOKUP(F168,'05_Master KPI'!$B$5:$G$100,4,FALSE),0)</f>
        <v>15</v>
      </c>
      <c r="L168" s="28">
        <f t="shared" si="2"/>
        <v>14.100000000000001</v>
      </c>
      <c r="M168" s="26" t="str">
        <f>IF(D168="","",IF(J168&gt;='13_Setting'!$H$7,"Tercapai",IF(J168&gt;='13_Setting'!$H$6,"On Track","Tertinggal")))</f>
        <v>On Track</v>
      </c>
      <c r="N168" s="24" t="s">
        <v>211</v>
      </c>
    </row>
    <row r="169" spans="1:14">
      <c r="A169" s="24" t="s">
        <v>197</v>
      </c>
      <c r="B169" s="24">
        <v>2026</v>
      </c>
      <c r="C169" s="25">
        <v>46234</v>
      </c>
      <c r="D169" s="24" t="s">
        <v>94</v>
      </c>
      <c r="E169" s="26" t="str">
        <f>IFERROR(VLOOKUP(D169,'04_Master Karyawan'!$A$5:$F$50,2,FALSE),"")</f>
        <v>Kia</v>
      </c>
      <c r="F169" s="24" t="s">
        <v>148</v>
      </c>
      <c r="G169" s="26" t="str">
        <f>IFERROR(VLOOKUP(F169,'05_Master KPI'!$B$5:$G$100,2,FALSE)&amp;" ("&amp;VLOOKUP(F169,'05_Master KPI'!$B$5:$G$100,3,FALSE)&amp;")","")</f>
        <v>Qualified Leads (lead)</v>
      </c>
      <c r="H169" s="26">
        <f>IFERROR(IF(B169&lt;&gt;'06_Target KPI'!$B$3,0,IF(VLOOKUP(F169,'05_Master KPI'!$B$5:$G$100,6,FALSE)="Kumulatif",INDEX('06_Target KPI'!$E$5:$P$100,MATCH(F169,'06_Target KPI'!$B$5:$B$100,0),MATCH(A169,'06_Target KPI'!$E$4:$P$4,0))*DAY(C169)/DAY(EOMONTH(C169,0)),INDEX('06_Target KPI'!$E$5:$P$100,MATCH(F169,'06_Target KPI'!$B$5:$B$100,0),MATCH(A169,'06_Target KPI'!$E$4:$P$4,0)))),0)</f>
        <v>100</v>
      </c>
      <c r="I169" s="24">
        <v>95</v>
      </c>
      <c r="J169" s="27">
        <f>IFERROR(MIN(IF(VLOOKUP(F169,'05_Master KPI'!$B$5:$G$100,5,FALSE)="Lower",H169/I169,I169/H169),1),0)</f>
        <v>0.95</v>
      </c>
      <c r="K169" s="26">
        <f>IFERROR(VLOOKUP(F169,'05_Master KPI'!$B$5:$G$100,4,FALSE),0)</f>
        <v>20</v>
      </c>
      <c r="L169" s="28">
        <f t="shared" si="2"/>
        <v>19</v>
      </c>
      <c r="M169" s="26" t="str">
        <f>IF(D169="","",IF(J169&gt;='13_Setting'!$H$7,"Tercapai",IF(J169&gt;='13_Setting'!$H$6,"On Track","Tertinggal")))</f>
        <v>On Track</v>
      </c>
      <c r="N169" s="24" t="s">
        <v>211</v>
      </c>
    </row>
    <row r="170" spans="1:14">
      <c r="A170" s="24" t="s">
        <v>197</v>
      </c>
      <c r="B170" s="24">
        <v>2026</v>
      </c>
      <c r="C170" s="25">
        <v>46234</v>
      </c>
      <c r="D170" s="24" t="s">
        <v>94</v>
      </c>
      <c r="E170" s="26" t="str">
        <f>IFERROR(VLOOKUP(D170,'04_Master Karyawan'!$A$5:$F$50,2,FALSE),"")</f>
        <v>Kia</v>
      </c>
      <c r="F170" s="24" t="s">
        <v>151</v>
      </c>
      <c r="G170" s="26" t="str">
        <f>IFERROR(VLOOKUP(F170,'05_Master KPI'!$B$5:$G$100,2,FALSE)&amp;" ("&amp;VLOOKUP(F170,'05_Master KPI'!$B$5:$G$100,3,FALSE)&amp;")","")</f>
        <v>Campaign Execution (%)</v>
      </c>
      <c r="H170" s="26">
        <f>IFERROR(IF(B170&lt;&gt;'06_Target KPI'!$B$3,0,IF(VLOOKUP(F170,'05_Master KPI'!$B$5:$G$100,6,FALSE)="Kumulatif",INDEX('06_Target KPI'!$E$5:$P$100,MATCH(F170,'06_Target KPI'!$B$5:$B$100,0),MATCH(A170,'06_Target KPI'!$E$4:$P$4,0))*DAY(C170)/DAY(EOMONTH(C170,0)),INDEX('06_Target KPI'!$E$5:$P$100,MATCH(F170,'06_Target KPI'!$B$5:$B$100,0),MATCH(A170,'06_Target KPI'!$E$4:$P$4,0)))),0)</f>
        <v>100</v>
      </c>
      <c r="I170" s="24">
        <v>94.8</v>
      </c>
      <c r="J170" s="27">
        <f>IFERROR(MIN(IF(VLOOKUP(F170,'05_Master KPI'!$B$5:$G$100,5,FALSE)="Lower",H170/I170,I170/H170),1),0)</f>
        <v>0.94799999999999995</v>
      </c>
      <c r="K170" s="26">
        <f>IFERROR(VLOOKUP(F170,'05_Master KPI'!$B$5:$G$100,4,FALSE),0)</f>
        <v>20</v>
      </c>
      <c r="L170" s="28">
        <f t="shared" si="2"/>
        <v>18.96</v>
      </c>
      <c r="M170" s="26" t="str">
        <f>IF(D170="","",IF(J170&gt;='13_Setting'!$H$7,"Tercapai",IF(J170&gt;='13_Setting'!$H$6,"On Track","Tertinggal")))</f>
        <v>On Track</v>
      </c>
      <c r="N170" s="24" t="s">
        <v>211</v>
      </c>
    </row>
    <row r="171" spans="1:14">
      <c r="A171" s="24" t="s">
        <v>197</v>
      </c>
      <c r="B171" s="24">
        <v>2026</v>
      </c>
      <c r="C171" s="25">
        <v>46234</v>
      </c>
      <c r="D171" s="24" t="s">
        <v>94</v>
      </c>
      <c r="E171" s="26" t="str">
        <f>IFERROR(VLOOKUP(D171,'04_Master Karyawan'!$A$5:$F$50,2,FALSE),"")</f>
        <v>Kia</v>
      </c>
      <c r="F171" s="24" t="s">
        <v>153</v>
      </c>
      <c r="G171" s="26" t="str">
        <f>IFERROR(VLOOKUP(F171,'05_Master KPI'!$B$5:$G$100,2,FALSE)&amp;" ("&amp;VLOOKUP(F171,'05_Master KPI'!$B$5:$G$100,3,FALSE)&amp;")","")</f>
        <v>Lead Conversion (%)</v>
      </c>
      <c r="H171" s="26">
        <f>IFERROR(IF(B171&lt;&gt;'06_Target KPI'!$B$3,0,IF(VLOOKUP(F171,'05_Master KPI'!$B$5:$G$100,6,FALSE)="Kumulatif",INDEX('06_Target KPI'!$E$5:$P$100,MATCH(F171,'06_Target KPI'!$B$5:$B$100,0),MATCH(A171,'06_Target KPI'!$E$4:$P$4,0))*DAY(C171)/DAY(EOMONTH(C171,0)),INDEX('06_Target KPI'!$E$5:$P$100,MATCH(F171,'06_Target KPI'!$B$5:$B$100,0),MATCH(A171,'06_Target KPI'!$E$4:$P$4,0)))),0)</f>
        <v>10</v>
      </c>
      <c r="I171" s="24">
        <v>9.5</v>
      </c>
      <c r="J171" s="27">
        <f>IFERROR(MIN(IF(VLOOKUP(F171,'05_Master KPI'!$B$5:$G$100,5,FALSE)="Lower",H171/I171,I171/H171),1),0)</f>
        <v>0.95</v>
      </c>
      <c r="K171" s="26">
        <f>IFERROR(VLOOKUP(F171,'05_Master KPI'!$B$5:$G$100,4,FALSE),0)</f>
        <v>20</v>
      </c>
      <c r="L171" s="28">
        <f t="shared" si="2"/>
        <v>19</v>
      </c>
      <c r="M171" s="26" t="str">
        <f>IF(D171="","",IF(J171&gt;='13_Setting'!$H$7,"Tercapai",IF(J171&gt;='13_Setting'!$H$6,"On Track","Tertinggal")))</f>
        <v>On Track</v>
      </c>
      <c r="N171" s="24" t="s">
        <v>211</v>
      </c>
    </row>
    <row r="172" spans="1:14">
      <c r="A172" s="24" t="s">
        <v>197</v>
      </c>
      <c r="B172" s="24">
        <v>2026</v>
      </c>
      <c r="C172" s="25">
        <v>46234</v>
      </c>
      <c r="D172" s="24" t="s">
        <v>94</v>
      </c>
      <c r="E172" s="26" t="str">
        <f>IFERROR(VLOOKUP(D172,'04_Master Karyawan'!$A$5:$F$50,2,FALSE),"")</f>
        <v>Kia</v>
      </c>
      <c r="F172" s="24" t="s">
        <v>155</v>
      </c>
      <c r="G172" s="26" t="str">
        <f>IFERROR(VLOOKUP(F172,'05_Master KPI'!$B$5:$G$100,2,FALSE)&amp;" ("&amp;VLOOKUP(F172,'05_Master KPI'!$B$5:$G$100,3,FALSE)&amp;")","")</f>
        <v>Reporting (%)</v>
      </c>
      <c r="H172" s="26">
        <f>IFERROR(IF(B172&lt;&gt;'06_Target KPI'!$B$3,0,IF(VLOOKUP(F172,'05_Master KPI'!$B$5:$G$100,6,FALSE)="Kumulatif",INDEX('06_Target KPI'!$E$5:$P$100,MATCH(F172,'06_Target KPI'!$B$5:$B$100,0),MATCH(A172,'06_Target KPI'!$E$4:$P$4,0))*DAY(C172)/DAY(EOMONTH(C172,0)),INDEX('06_Target KPI'!$E$5:$P$100,MATCH(F172,'06_Target KPI'!$B$5:$B$100,0),MATCH(A172,'06_Target KPI'!$E$4:$P$4,0)))),0)</f>
        <v>100</v>
      </c>
      <c r="I172" s="24">
        <v>94.8</v>
      </c>
      <c r="J172" s="27">
        <f>IFERROR(MIN(IF(VLOOKUP(F172,'05_Master KPI'!$B$5:$G$100,5,FALSE)="Lower",H172/I172,I172/H172),1),0)</f>
        <v>0.94799999999999995</v>
      </c>
      <c r="K172" s="26">
        <f>IFERROR(VLOOKUP(F172,'05_Master KPI'!$B$5:$G$100,4,FALSE),0)</f>
        <v>10</v>
      </c>
      <c r="L172" s="28">
        <f t="shared" si="2"/>
        <v>9.48</v>
      </c>
      <c r="M172" s="26" t="str">
        <f>IF(D172="","",IF(J172&gt;='13_Setting'!$H$7,"Tercapai",IF(J172&gt;='13_Setting'!$H$6,"On Track","Tertinggal")))</f>
        <v>On Track</v>
      </c>
      <c r="N172" s="24" t="s">
        <v>211</v>
      </c>
    </row>
    <row r="173" spans="1:14">
      <c r="A173" s="24" t="s">
        <v>3</v>
      </c>
      <c r="B173" s="24">
        <v>2026</v>
      </c>
      <c r="C173" s="25">
        <v>46239</v>
      </c>
      <c r="D173" s="24" t="s">
        <v>86</v>
      </c>
      <c r="E173" s="26" t="str">
        <f>IFERROR(VLOOKUP(D173,'04_Master Karyawan'!$A$5:$F$50,2,FALSE),"")</f>
        <v>Stephan</v>
      </c>
      <c r="F173" s="24" t="s">
        <v>143</v>
      </c>
      <c r="G173" s="26" t="str">
        <f>IFERROR(VLOOKUP(F173,'05_Master KPI'!$B$5:$G$100,2,FALSE)&amp;" ("&amp;VLOOKUP(F173,'05_Master KPI'!$B$5:$G$100,3,FALSE)&amp;")","")</f>
        <v>Content Plan (konten)</v>
      </c>
      <c r="H173" s="26">
        <f>IFERROR(IF(B173&lt;&gt;'06_Target KPI'!$B$3,0,IF(VLOOKUP(F173,'05_Master KPI'!$B$5:$G$100,6,FALSE)="Kumulatif",INDEX('06_Target KPI'!$E$5:$P$100,MATCH(F173,'06_Target KPI'!$B$5:$B$100,0),MATCH(A173,'06_Target KPI'!$E$4:$P$4,0))*DAY(C173)/DAY(EOMONTH(C173,0)),INDEX('06_Target KPI'!$E$5:$P$100,MATCH(F173,'06_Target KPI'!$B$5:$B$100,0),MATCH(A173,'06_Target KPI'!$E$4:$P$4,0)))),0)</f>
        <v>4.838709677419355</v>
      </c>
      <c r="I173" s="24">
        <v>4</v>
      </c>
      <c r="J173" s="27">
        <f>IFERROR(MIN(IF(VLOOKUP(F173,'05_Master KPI'!$B$5:$G$100,5,FALSE)="Lower",H173/I173,I173/H173),1),0)</f>
        <v>0.82666666666666666</v>
      </c>
      <c r="K173" s="26">
        <f>IFERROR(VLOOKUP(F173,'05_Master KPI'!$B$5:$G$100,4,FALSE),0)</f>
        <v>15</v>
      </c>
      <c r="L173" s="28">
        <f t="shared" si="2"/>
        <v>12.4</v>
      </c>
      <c r="M173" s="26" t="str">
        <f>IF(D173="","",IF(J173&gt;='13_Setting'!$H$7,"Tercapai",IF(J173&gt;='13_Setting'!$H$6,"On Track","Tertinggal")))</f>
        <v>Tertinggal</v>
      </c>
      <c r="N173" s="24" t="s">
        <v>212</v>
      </c>
    </row>
    <row r="174" spans="1:14">
      <c r="A174" s="24" t="s">
        <v>3</v>
      </c>
      <c r="B174" s="24">
        <v>2026</v>
      </c>
      <c r="C174" s="25">
        <v>46239</v>
      </c>
      <c r="D174" s="24" t="s">
        <v>86</v>
      </c>
      <c r="E174" s="26" t="str">
        <f>IFERROR(VLOOKUP(D174,'04_Master Karyawan'!$A$5:$F$50,2,FALSE),"")</f>
        <v>Stephan</v>
      </c>
      <c r="F174" s="24" t="s">
        <v>146</v>
      </c>
      <c r="G174" s="26" t="str">
        <f>IFERROR(VLOOKUP(F174,'05_Master KPI'!$B$5:$G$100,2,FALSE)&amp;" ("&amp;VLOOKUP(F174,'05_Master KPI'!$B$5:$G$100,3,FALSE)&amp;")","")</f>
        <v>Engagement Rate (%)</v>
      </c>
      <c r="H174" s="26">
        <f>IFERROR(IF(B174&lt;&gt;'06_Target KPI'!$B$3,0,IF(VLOOKUP(F174,'05_Master KPI'!$B$5:$G$100,6,FALSE)="Kumulatif",INDEX('06_Target KPI'!$E$5:$P$100,MATCH(F174,'06_Target KPI'!$B$5:$B$100,0),MATCH(A174,'06_Target KPI'!$E$4:$P$4,0))*DAY(C174)/DAY(EOMONTH(C174,0)),INDEX('06_Target KPI'!$E$5:$P$100,MATCH(F174,'06_Target KPI'!$B$5:$B$100,0),MATCH(A174,'06_Target KPI'!$E$4:$P$4,0)))),0)</f>
        <v>5</v>
      </c>
      <c r="I174" s="24">
        <v>4.2</v>
      </c>
      <c r="J174" s="27">
        <f>IFERROR(MIN(IF(VLOOKUP(F174,'05_Master KPI'!$B$5:$G$100,5,FALSE)="Lower",H174/I174,I174/H174),1),0)</f>
        <v>0.84000000000000008</v>
      </c>
      <c r="K174" s="26">
        <f>IFERROR(VLOOKUP(F174,'05_Master KPI'!$B$5:$G$100,4,FALSE),0)</f>
        <v>15</v>
      </c>
      <c r="L174" s="28">
        <f t="shared" si="2"/>
        <v>12.600000000000001</v>
      </c>
      <c r="M174" s="26" t="str">
        <f>IF(D174="","",IF(J174&gt;='13_Setting'!$H$7,"Tercapai",IF(J174&gt;='13_Setting'!$H$6,"On Track","Tertinggal")))</f>
        <v>Tertinggal</v>
      </c>
      <c r="N174" s="24" t="s">
        <v>212</v>
      </c>
    </row>
    <row r="175" spans="1:14">
      <c r="A175" s="24" t="s">
        <v>3</v>
      </c>
      <c r="B175" s="24">
        <v>2026</v>
      </c>
      <c r="C175" s="25">
        <v>46239</v>
      </c>
      <c r="D175" s="24" t="s">
        <v>86</v>
      </c>
      <c r="E175" s="26" t="str">
        <f>IFERROR(VLOOKUP(D175,'04_Master Karyawan'!$A$5:$F$50,2,FALSE),"")</f>
        <v>Stephan</v>
      </c>
      <c r="F175" s="24" t="s">
        <v>148</v>
      </c>
      <c r="G175" s="26" t="str">
        <f>IFERROR(VLOOKUP(F175,'05_Master KPI'!$B$5:$G$100,2,FALSE)&amp;" ("&amp;VLOOKUP(F175,'05_Master KPI'!$B$5:$G$100,3,FALSE)&amp;")","")</f>
        <v>Qualified Leads (lead)</v>
      </c>
      <c r="H175" s="26">
        <f>IFERROR(IF(B175&lt;&gt;'06_Target KPI'!$B$3,0,IF(VLOOKUP(F175,'05_Master KPI'!$B$5:$G$100,6,FALSE)="Kumulatif",INDEX('06_Target KPI'!$E$5:$P$100,MATCH(F175,'06_Target KPI'!$B$5:$B$100,0),MATCH(A175,'06_Target KPI'!$E$4:$P$4,0))*DAY(C175)/DAY(EOMONTH(C175,0)),INDEX('06_Target KPI'!$E$5:$P$100,MATCH(F175,'06_Target KPI'!$B$5:$B$100,0),MATCH(A175,'06_Target KPI'!$E$4:$P$4,0)))),0)</f>
        <v>16.129032258064516</v>
      </c>
      <c r="I175" s="24">
        <v>14</v>
      </c>
      <c r="J175" s="27">
        <f>IFERROR(MIN(IF(VLOOKUP(F175,'05_Master KPI'!$B$5:$G$100,5,FALSE)="Lower",H175/I175,I175/H175),1),0)</f>
        <v>0.86799999999999999</v>
      </c>
      <c r="K175" s="26">
        <f>IFERROR(VLOOKUP(F175,'05_Master KPI'!$B$5:$G$100,4,FALSE),0)</f>
        <v>20</v>
      </c>
      <c r="L175" s="28">
        <f t="shared" si="2"/>
        <v>17.36</v>
      </c>
      <c r="M175" s="26" t="str">
        <f>IF(D175="","",IF(J175&gt;='13_Setting'!$H$7,"Tercapai",IF(J175&gt;='13_Setting'!$H$6,"On Track","Tertinggal")))</f>
        <v>On Track</v>
      </c>
      <c r="N175" s="24" t="s">
        <v>212</v>
      </c>
    </row>
    <row r="176" spans="1:14">
      <c r="A176" s="24" t="s">
        <v>3</v>
      </c>
      <c r="B176" s="24">
        <v>2026</v>
      </c>
      <c r="C176" s="25">
        <v>46239</v>
      </c>
      <c r="D176" s="24" t="s">
        <v>86</v>
      </c>
      <c r="E176" s="26" t="str">
        <f>IFERROR(VLOOKUP(D176,'04_Master Karyawan'!$A$5:$F$50,2,FALSE),"")</f>
        <v>Stephan</v>
      </c>
      <c r="F176" s="24" t="s">
        <v>151</v>
      </c>
      <c r="G176" s="26" t="str">
        <f>IFERROR(VLOOKUP(F176,'05_Master KPI'!$B$5:$G$100,2,FALSE)&amp;" ("&amp;VLOOKUP(F176,'05_Master KPI'!$B$5:$G$100,3,FALSE)&amp;")","")</f>
        <v>Campaign Execution (%)</v>
      </c>
      <c r="H176" s="26">
        <f>IFERROR(IF(B176&lt;&gt;'06_Target KPI'!$B$3,0,IF(VLOOKUP(F176,'05_Master KPI'!$B$5:$G$100,6,FALSE)="Kumulatif",INDEX('06_Target KPI'!$E$5:$P$100,MATCH(F176,'06_Target KPI'!$B$5:$B$100,0),MATCH(A176,'06_Target KPI'!$E$4:$P$4,0))*DAY(C176)/DAY(EOMONTH(C176,0)),INDEX('06_Target KPI'!$E$5:$P$100,MATCH(F176,'06_Target KPI'!$B$5:$B$100,0),MATCH(A176,'06_Target KPI'!$E$4:$P$4,0)))),0)</f>
        <v>100</v>
      </c>
      <c r="I176" s="24">
        <v>84.3</v>
      </c>
      <c r="J176" s="27">
        <f>IFERROR(MIN(IF(VLOOKUP(F176,'05_Master KPI'!$B$5:$G$100,5,FALSE)="Lower",H176/I176,I176/H176),1),0)</f>
        <v>0.84299999999999997</v>
      </c>
      <c r="K176" s="26">
        <f>IFERROR(VLOOKUP(F176,'05_Master KPI'!$B$5:$G$100,4,FALSE),0)</f>
        <v>20</v>
      </c>
      <c r="L176" s="28">
        <f t="shared" si="2"/>
        <v>16.86</v>
      </c>
      <c r="M176" s="26" t="str">
        <f>IF(D176="","",IF(J176&gt;='13_Setting'!$H$7,"Tercapai",IF(J176&gt;='13_Setting'!$H$6,"On Track","Tertinggal")))</f>
        <v>Tertinggal</v>
      </c>
      <c r="N176" s="24" t="s">
        <v>212</v>
      </c>
    </row>
    <row r="177" spans="1:14">
      <c r="A177" s="24" t="s">
        <v>3</v>
      </c>
      <c r="B177" s="24">
        <v>2026</v>
      </c>
      <c r="C177" s="25">
        <v>46239</v>
      </c>
      <c r="D177" s="24" t="s">
        <v>86</v>
      </c>
      <c r="E177" s="26" t="str">
        <f>IFERROR(VLOOKUP(D177,'04_Master Karyawan'!$A$5:$F$50,2,FALSE),"")</f>
        <v>Stephan</v>
      </c>
      <c r="F177" s="24" t="s">
        <v>153</v>
      </c>
      <c r="G177" s="26" t="str">
        <f>IFERROR(VLOOKUP(F177,'05_Master KPI'!$B$5:$G$100,2,FALSE)&amp;" ("&amp;VLOOKUP(F177,'05_Master KPI'!$B$5:$G$100,3,FALSE)&amp;")","")</f>
        <v>Lead Conversion (%)</v>
      </c>
      <c r="H177" s="26">
        <f>IFERROR(IF(B177&lt;&gt;'06_Target KPI'!$B$3,0,IF(VLOOKUP(F177,'05_Master KPI'!$B$5:$G$100,6,FALSE)="Kumulatif",INDEX('06_Target KPI'!$E$5:$P$100,MATCH(F177,'06_Target KPI'!$B$5:$B$100,0),MATCH(A177,'06_Target KPI'!$E$4:$P$4,0))*DAY(C177)/DAY(EOMONTH(C177,0)),INDEX('06_Target KPI'!$E$5:$P$100,MATCH(F177,'06_Target KPI'!$B$5:$B$100,0),MATCH(A177,'06_Target KPI'!$E$4:$P$4,0)))),0)</f>
        <v>10</v>
      </c>
      <c r="I177" s="24">
        <v>8.4</v>
      </c>
      <c r="J177" s="27">
        <f>IFERROR(MIN(IF(VLOOKUP(F177,'05_Master KPI'!$B$5:$G$100,5,FALSE)="Lower",H177/I177,I177/H177),1),0)</f>
        <v>0.84000000000000008</v>
      </c>
      <c r="K177" s="26">
        <f>IFERROR(VLOOKUP(F177,'05_Master KPI'!$B$5:$G$100,4,FALSE),0)</f>
        <v>20</v>
      </c>
      <c r="L177" s="28">
        <f t="shared" si="2"/>
        <v>16.8</v>
      </c>
      <c r="M177" s="26" t="str">
        <f>IF(D177="","",IF(J177&gt;='13_Setting'!$H$7,"Tercapai",IF(J177&gt;='13_Setting'!$H$6,"On Track","Tertinggal")))</f>
        <v>Tertinggal</v>
      </c>
      <c r="N177" s="24" t="s">
        <v>212</v>
      </c>
    </row>
    <row r="178" spans="1:14">
      <c r="A178" s="24" t="s">
        <v>3</v>
      </c>
      <c r="B178" s="24">
        <v>2026</v>
      </c>
      <c r="C178" s="25">
        <v>46239</v>
      </c>
      <c r="D178" s="24" t="s">
        <v>86</v>
      </c>
      <c r="E178" s="26" t="str">
        <f>IFERROR(VLOOKUP(D178,'04_Master Karyawan'!$A$5:$F$50,2,FALSE),"")</f>
        <v>Stephan</v>
      </c>
      <c r="F178" s="24" t="s">
        <v>155</v>
      </c>
      <c r="G178" s="26" t="str">
        <f>IFERROR(VLOOKUP(F178,'05_Master KPI'!$B$5:$G$100,2,FALSE)&amp;" ("&amp;VLOOKUP(F178,'05_Master KPI'!$B$5:$G$100,3,FALSE)&amp;")","")</f>
        <v>Reporting (%)</v>
      </c>
      <c r="H178" s="26">
        <f>IFERROR(IF(B178&lt;&gt;'06_Target KPI'!$B$3,0,IF(VLOOKUP(F178,'05_Master KPI'!$B$5:$G$100,6,FALSE)="Kumulatif",INDEX('06_Target KPI'!$E$5:$P$100,MATCH(F178,'06_Target KPI'!$B$5:$B$100,0),MATCH(A178,'06_Target KPI'!$E$4:$P$4,0))*DAY(C178)/DAY(EOMONTH(C178,0)),INDEX('06_Target KPI'!$E$5:$P$100,MATCH(F178,'06_Target KPI'!$B$5:$B$100,0),MATCH(A178,'06_Target KPI'!$E$4:$P$4,0)))),0)</f>
        <v>100</v>
      </c>
      <c r="I178" s="24">
        <v>84.3</v>
      </c>
      <c r="J178" s="27">
        <f>IFERROR(MIN(IF(VLOOKUP(F178,'05_Master KPI'!$B$5:$G$100,5,FALSE)="Lower",H178/I178,I178/H178),1),0)</f>
        <v>0.84299999999999997</v>
      </c>
      <c r="K178" s="26">
        <f>IFERROR(VLOOKUP(F178,'05_Master KPI'!$B$5:$G$100,4,FALSE),0)</f>
        <v>10</v>
      </c>
      <c r="L178" s="28">
        <f t="shared" si="2"/>
        <v>8.43</v>
      </c>
      <c r="M178" s="26" t="str">
        <f>IF(D178="","",IF(J178&gt;='13_Setting'!$H$7,"Tercapai",IF(J178&gt;='13_Setting'!$H$6,"On Track","Tertinggal")))</f>
        <v>Tertinggal</v>
      </c>
      <c r="N178" s="24" t="s">
        <v>212</v>
      </c>
    </row>
    <row r="179" spans="1:14">
      <c r="A179" s="24" t="s">
        <v>3</v>
      </c>
      <c r="B179" s="24">
        <v>2026</v>
      </c>
      <c r="C179" s="25">
        <v>46239</v>
      </c>
      <c r="D179" s="24" t="s">
        <v>90</v>
      </c>
      <c r="E179" s="26" t="str">
        <f>IFERROR(VLOOKUP(D179,'04_Master Karyawan'!$A$5:$F$50,2,FALSE),"")</f>
        <v>Cantika</v>
      </c>
      <c r="F179" s="24" t="s">
        <v>143</v>
      </c>
      <c r="G179" s="26" t="str">
        <f>IFERROR(VLOOKUP(F179,'05_Master KPI'!$B$5:$G$100,2,FALSE)&amp;" ("&amp;VLOOKUP(F179,'05_Master KPI'!$B$5:$G$100,3,FALSE)&amp;")","")</f>
        <v>Content Plan (konten)</v>
      </c>
      <c r="H179" s="26">
        <f>IFERROR(IF(B179&lt;&gt;'06_Target KPI'!$B$3,0,IF(VLOOKUP(F179,'05_Master KPI'!$B$5:$G$100,6,FALSE)="Kumulatif",INDEX('06_Target KPI'!$E$5:$P$100,MATCH(F179,'06_Target KPI'!$B$5:$B$100,0),MATCH(A179,'06_Target KPI'!$E$4:$P$4,0))*DAY(C179)/DAY(EOMONTH(C179,0)),INDEX('06_Target KPI'!$E$5:$P$100,MATCH(F179,'06_Target KPI'!$B$5:$B$100,0),MATCH(A179,'06_Target KPI'!$E$4:$P$4,0)))),0)</f>
        <v>4.838709677419355</v>
      </c>
      <c r="I179" s="24">
        <v>4</v>
      </c>
      <c r="J179" s="27">
        <f>IFERROR(MIN(IF(VLOOKUP(F179,'05_Master KPI'!$B$5:$G$100,5,FALSE)="Lower",H179/I179,I179/H179),1),0)</f>
        <v>0.82666666666666666</v>
      </c>
      <c r="K179" s="26">
        <f>IFERROR(VLOOKUP(F179,'05_Master KPI'!$B$5:$G$100,4,FALSE),0)</f>
        <v>15</v>
      </c>
      <c r="L179" s="28">
        <f t="shared" si="2"/>
        <v>12.4</v>
      </c>
      <c r="M179" s="26" t="str">
        <f>IF(D179="","",IF(J179&gt;='13_Setting'!$H$7,"Tercapai",IF(J179&gt;='13_Setting'!$H$6,"On Track","Tertinggal")))</f>
        <v>Tertinggal</v>
      </c>
      <c r="N179" s="24" t="s">
        <v>212</v>
      </c>
    </row>
    <row r="180" spans="1:14">
      <c r="A180" s="24" t="s">
        <v>3</v>
      </c>
      <c r="B180" s="24">
        <v>2026</v>
      </c>
      <c r="C180" s="25">
        <v>46239</v>
      </c>
      <c r="D180" s="24" t="s">
        <v>90</v>
      </c>
      <c r="E180" s="26" t="str">
        <f>IFERROR(VLOOKUP(D180,'04_Master Karyawan'!$A$5:$F$50,2,FALSE),"")</f>
        <v>Cantika</v>
      </c>
      <c r="F180" s="24" t="s">
        <v>146</v>
      </c>
      <c r="G180" s="26" t="str">
        <f>IFERROR(VLOOKUP(F180,'05_Master KPI'!$B$5:$G$100,2,FALSE)&amp;" ("&amp;VLOOKUP(F180,'05_Master KPI'!$B$5:$G$100,3,FALSE)&amp;")","")</f>
        <v>Engagement Rate (%)</v>
      </c>
      <c r="H180" s="26">
        <f>IFERROR(IF(B180&lt;&gt;'06_Target KPI'!$B$3,0,IF(VLOOKUP(F180,'05_Master KPI'!$B$5:$G$100,6,FALSE)="Kumulatif",INDEX('06_Target KPI'!$E$5:$P$100,MATCH(F180,'06_Target KPI'!$B$5:$B$100,0),MATCH(A180,'06_Target KPI'!$E$4:$P$4,0))*DAY(C180)/DAY(EOMONTH(C180,0)),INDEX('06_Target KPI'!$E$5:$P$100,MATCH(F180,'06_Target KPI'!$B$5:$B$100,0),MATCH(A180,'06_Target KPI'!$E$4:$P$4,0)))),0)</f>
        <v>5</v>
      </c>
      <c r="I180" s="24">
        <v>4.3</v>
      </c>
      <c r="J180" s="27">
        <f>IFERROR(MIN(IF(VLOOKUP(F180,'05_Master KPI'!$B$5:$G$100,5,FALSE)="Lower",H180/I180,I180/H180),1),0)</f>
        <v>0.86</v>
      </c>
      <c r="K180" s="26">
        <f>IFERROR(VLOOKUP(F180,'05_Master KPI'!$B$5:$G$100,4,FALSE),0)</f>
        <v>15</v>
      </c>
      <c r="L180" s="28">
        <f t="shared" si="2"/>
        <v>12.9</v>
      </c>
      <c r="M180" s="26" t="str">
        <f>IF(D180="","",IF(J180&gt;='13_Setting'!$H$7,"Tercapai",IF(J180&gt;='13_Setting'!$H$6,"On Track","Tertinggal")))</f>
        <v>On Track</v>
      </c>
      <c r="N180" s="24" t="s">
        <v>212</v>
      </c>
    </row>
    <row r="181" spans="1:14">
      <c r="A181" s="24" t="s">
        <v>3</v>
      </c>
      <c r="B181" s="24">
        <v>2026</v>
      </c>
      <c r="C181" s="25">
        <v>46239</v>
      </c>
      <c r="D181" s="24" t="s">
        <v>90</v>
      </c>
      <c r="E181" s="26" t="str">
        <f>IFERROR(VLOOKUP(D181,'04_Master Karyawan'!$A$5:$F$50,2,FALSE),"")</f>
        <v>Cantika</v>
      </c>
      <c r="F181" s="24" t="s">
        <v>148</v>
      </c>
      <c r="G181" s="26" t="str">
        <f>IFERROR(VLOOKUP(F181,'05_Master KPI'!$B$5:$G$100,2,FALSE)&amp;" ("&amp;VLOOKUP(F181,'05_Master KPI'!$B$5:$G$100,3,FALSE)&amp;")","")</f>
        <v>Qualified Leads (lead)</v>
      </c>
      <c r="H181" s="26">
        <f>IFERROR(IF(B181&lt;&gt;'06_Target KPI'!$B$3,0,IF(VLOOKUP(F181,'05_Master KPI'!$B$5:$G$100,6,FALSE)="Kumulatif",INDEX('06_Target KPI'!$E$5:$P$100,MATCH(F181,'06_Target KPI'!$B$5:$B$100,0),MATCH(A181,'06_Target KPI'!$E$4:$P$4,0))*DAY(C181)/DAY(EOMONTH(C181,0)),INDEX('06_Target KPI'!$E$5:$P$100,MATCH(F181,'06_Target KPI'!$B$5:$B$100,0),MATCH(A181,'06_Target KPI'!$E$4:$P$4,0)))),0)</f>
        <v>16.129032258064516</v>
      </c>
      <c r="I181" s="24">
        <v>14</v>
      </c>
      <c r="J181" s="27">
        <f>IFERROR(MIN(IF(VLOOKUP(F181,'05_Master KPI'!$B$5:$G$100,5,FALSE)="Lower",H181/I181,I181/H181),1),0)</f>
        <v>0.86799999999999999</v>
      </c>
      <c r="K181" s="26">
        <f>IFERROR(VLOOKUP(F181,'05_Master KPI'!$B$5:$G$100,4,FALSE),0)</f>
        <v>20</v>
      </c>
      <c r="L181" s="28">
        <f t="shared" si="2"/>
        <v>17.36</v>
      </c>
      <c r="M181" s="26" t="str">
        <f>IF(D181="","",IF(J181&gt;='13_Setting'!$H$7,"Tercapai",IF(J181&gt;='13_Setting'!$H$6,"On Track","Tertinggal")))</f>
        <v>On Track</v>
      </c>
      <c r="N181" s="24" t="s">
        <v>212</v>
      </c>
    </row>
    <row r="182" spans="1:14">
      <c r="A182" s="24" t="s">
        <v>3</v>
      </c>
      <c r="B182" s="24">
        <v>2026</v>
      </c>
      <c r="C182" s="25">
        <v>46239</v>
      </c>
      <c r="D182" s="24" t="s">
        <v>90</v>
      </c>
      <c r="E182" s="26" t="str">
        <f>IFERROR(VLOOKUP(D182,'04_Master Karyawan'!$A$5:$F$50,2,FALSE),"")</f>
        <v>Cantika</v>
      </c>
      <c r="F182" s="24" t="s">
        <v>151</v>
      </c>
      <c r="G182" s="26" t="str">
        <f>IFERROR(VLOOKUP(F182,'05_Master KPI'!$B$5:$G$100,2,FALSE)&amp;" ("&amp;VLOOKUP(F182,'05_Master KPI'!$B$5:$G$100,3,FALSE)&amp;")","")</f>
        <v>Campaign Execution (%)</v>
      </c>
      <c r="H182" s="26">
        <f>IFERROR(IF(B182&lt;&gt;'06_Target KPI'!$B$3,0,IF(VLOOKUP(F182,'05_Master KPI'!$B$5:$G$100,6,FALSE)="Kumulatif",INDEX('06_Target KPI'!$E$5:$P$100,MATCH(F182,'06_Target KPI'!$B$5:$B$100,0),MATCH(A182,'06_Target KPI'!$E$4:$P$4,0))*DAY(C182)/DAY(EOMONTH(C182,0)),INDEX('06_Target KPI'!$E$5:$P$100,MATCH(F182,'06_Target KPI'!$B$5:$B$100,0),MATCH(A182,'06_Target KPI'!$E$4:$P$4,0)))),0)</f>
        <v>100</v>
      </c>
      <c r="I182" s="24">
        <v>86.8</v>
      </c>
      <c r="J182" s="27">
        <f>IFERROR(MIN(IF(VLOOKUP(F182,'05_Master KPI'!$B$5:$G$100,5,FALSE)="Lower",H182/I182,I182/H182),1),0)</f>
        <v>0.86799999999999999</v>
      </c>
      <c r="K182" s="26">
        <f>IFERROR(VLOOKUP(F182,'05_Master KPI'!$B$5:$G$100,4,FALSE),0)</f>
        <v>20</v>
      </c>
      <c r="L182" s="28">
        <f t="shared" si="2"/>
        <v>17.36</v>
      </c>
      <c r="M182" s="26" t="str">
        <f>IF(D182="","",IF(J182&gt;='13_Setting'!$H$7,"Tercapai",IF(J182&gt;='13_Setting'!$H$6,"On Track","Tertinggal")))</f>
        <v>On Track</v>
      </c>
      <c r="N182" s="24" t="s">
        <v>212</v>
      </c>
    </row>
    <row r="183" spans="1:14">
      <c r="A183" s="24" t="s">
        <v>3</v>
      </c>
      <c r="B183" s="24">
        <v>2026</v>
      </c>
      <c r="C183" s="25">
        <v>46239</v>
      </c>
      <c r="D183" s="24" t="s">
        <v>90</v>
      </c>
      <c r="E183" s="26" t="str">
        <f>IFERROR(VLOOKUP(D183,'04_Master Karyawan'!$A$5:$F$50,2,FALSE),"")</f>
        <v>Cantika</v>
      </c>
      <c r="F183" s="24" t="s">
        <v>153</v>
      </c>
      <c r="G183" s="26" t="str">
        <f>IFERROR(VLOOKUP(F183,'05_Master KPI'!$B$5:$G$100,2,FALSE)&amp;" ("&amp;VLOOKUP(F183,'05_Master KPI'!$B$5:$G$100,3,FALSE)&amp;")","")</f>
        <v>Lead Conversion (%)</v>
      </c>
      <c r="H183" s="26">
        <f>IFERROR(IF(B183&lt;&gt;'06_Target KPI'!$B$3,0,IF(VLOOKUP(F183,'05_Master KPI'!$B$5:$G$100,6,FALSE)="Kumulatif",INDEX('06_Target KPI'!$E$5:$P$100,MATCH(F183,'06_Target KPI'!$B$5:$B$100,0),MATCH(A183,'06_Target KPI'!$E$4:$P$4,0))*DAY(C183)/DAY(EOMONTH(C183,0)),INDEX('06_Target KPI'!$E$5:$P$100,MATCH(F183,'06_Target KPI'!$B$5:$B$100,0),MATCH(A183,'06_Target KPI'!$E$4:$P$4,0)))),0)</f>
        <v>10</v>
      </c>
      <c r="I183" s="24">
        <v>8.6999999999999993</v>
      </c>
      <c r="J183" s="27">
        <f>IFERROR(MIN(IF(VLOOKUP(F183,'05_Master KPI'!$B$5:$G$100,5,FALSE)="Lower",H183/I183,I183/H183),1),0)</f>
        <v>0.86999999999999988</v>
      </c>
      <c r="K183" s="26">
        <f>IFERROR(VLOOKUP(F183,'05_Master KPI'!$B$5:$G$100,4,FALSE),0)</f>
        <v>20</v>
      </c>
      <c r="L183" s="28">
        <f t="shared" si="2"/>
        <v>17.399999999999999</v>
      </c>
      <c r="M183" s="26" t="str">
        <f>IF(D183="","",IF(J183&gt;='13_Setting'!$H$7,"Tercapai",IF(J183&gt;='13_Setting'!$H$6,"On Track","Tertinggal")))</f>
        <v>On Track</v>
      </c>
      <c r="N183" s="24" t="s">
        <v>212</v>
      </c>
    </row>
    <row r="184" spans="1:14">
      <c r="A184" s="24" t="s">
        <v>3</v>
      </c>
      <c r="B184" s="24">
        <v>2026</v>
      </c>
      <c r="C184" s="25">
        <v>46239</v>
      </c>
      <c r="D184" s="24" t="s">
        <v>90</v>
      </c>
      <c r="E184" s="26" t="str">
        <f>IFERROR(VLOOKUP(D184,'04_Master Karyawan'!$A$5:$F$50,2,FALSE),"")</f>
        <v>Cantika</v>
      </c>
      <c r="F184" s="24" t="s">
        <v>155</v>
      </c>
      <c r="G184" s="26" t="str">
        <f>IFERROR(VLOOKUP(F184,'05_Master KPI'!$B$5:$G$100,2,FALSE)&amp;" ("&amp;VLOOKUP(F184,'05_Master KPI'!$B$5:$G$100,3,FALSE)&amp;")","")</f>
        <v>Reporting (%)</v>
      </c>
      <c r="H184" s="26">
        <f>IFERROR(IF(B184&lt;&gt;'06_Target KPI'!$B$3,0,IF(VLOOKUP(F184,'05_Master KPI'!$B$5:$G$100,6,FALSE)="Kumulatif",INDEX('06_Target KPI'!$E$5:$P$100,MATCH(F184,'06_Target KPI'!$B$5:$B$100,0),MATCH(A184,'06_Target KPI'!$E$4:$P$4,0))*DAY(C184)/DAY(EOMONTH(C184,0)),INDEX('06_Target KPI'!$E$5:$P$100,MATCH(F184,'06_Target KPI'!$B$5:$B$100,0),MATCH(A184,'06_Target KPI'!$E$4:$P$4,0)))),0)</f>
        <v>100</v>
      </c>
      <c r="I184" s="24">
        <v>86.8</v>
      </c>
      <c r="J184" s="27">
        <f>IFERROR(MIN(IF(VLOOKUP(F184,'05_Master KPI'!$B$5:$G$100,5,FALSE)="Lower",H184/I184,I184/H184),1),0)</f>
        <v>0.86799999999999999</v>
      </c>
      <c r="K184" s="26">
        <f>IFERROR(VLOOKUP(F184,'05_Master KPI'!$B$5:$G$100,4,FALSE),0)</f>
        <v>10</v>
      </c>
      <c r="L184" s="28">
        <f t="shared" si="2"/>
        <v>8.68</v>
      </c>
      <c r="M184" s="26" t="str">
        <f>IF(D184="","",IF(J184&gt;='13_Setting'!$H$7,"Tercapai",IF(J184&gt;='13_Setting'!$H$6,"On Track","Tertinggal")))</f>
        <v>On Track</v>
      </c>
      <c r="N184" s="24" t="s">
        <v>212</v>
      </c>
    </row>
    <row r="185" spans="1:14">
      <c r="A185" s="24" t="s">
        <v>3</v>
      </c>
      <c r="B185" s="24">
        <v>2026</v>
      </c>
      <c r="C185" s="25">
        <v>46239</v>
      </c>
      <c r="D185" s="24" t="s">
        <v>92</v>
      </c>
      <c r="E185" s="26" t="str">
        <f>IFERROR(VLOOKUP(D185,'04_Master Karyawan'!$A$5:$F$50,2,FALSE),"")</f>
        <v>Jessie</v>
      </c>
      <c r="F185" s="24" t="s">
        <v>143</v>
      </c>
      <c r="G185" s="26" t="str">
        <f>IFERROR(VLOOKUP(F185,'05_Master KPI'!$B$5:$G$100,2,FALSE)&amp;" ("&amp;VLOOKUP(F185,'05_Master KPI'!$B$5:$G$100,3,FALSE)&amp;")","")</f>
        <v>Content Plan (konten)</v>
      </c>
      <c r="H185" s="26">
        <f>IFERROR(IF(B185&lt;&gt;'06_Target KPI'!$B$3,0,IF(VLOOKUP(F185,'05_Master KPI'!$B$5:$G$100,6,FALSE)="Kumulatif",INDEX('06_Target KPI'!$E$5:$P$100,MATCH(F185,'06_Target KPI'!$B$5:$B$100,0),MATCH(A185,'06_Target KPI'!$E$4:$P$4,0))*DAY(C185)/DAY(EOMONTH(C185,0)),INDEX('06_Target KPI'!$E$5:$P$100,MATCH(F185,'06_Target KPI'!$B$5:$B$100,0),MATCH(A185,'06_Target KPI'!$E$4:$P$4,0)))),0)</f>
        <v>4.838709677419355</v>
      </c>
      <c r="I185" s="24">
        <v>4</v>
      </c>
      <c r="J185" s="27">
        <f>IFERROR(MIN(IF(VLOOKUP(F185,'05_Master KPI'!$B$5:$G$100,5,FALSE)="Lower",H185/I185,I185/H185),1),0)</f>
        <v>0.82666666666666666</v>
      </c>
      <c r="K185" s="26">
        <f>IFERROR(VLOOKUP(F185,'05_Master KPI'!$B$5:$G$100,4,FALSE),0)</f>
        <v>15</v>
      </c>
      <c r="L185" s="28">
        <f t="shared" si="2"/>
        <v>12.4</v>
      </c>
      <c r="M185" s="26" t="str">
        <f>IF(D185="","",IF(J185&gt;='13_Setting'!$H$7,"Tercapai",IF(J185&gt;='13_Setting'!$H$6,"On Track","Tertinggal")))</f>
        <v>Tertinggal</v>
      </c>
      <c r="N185" s="24" t="s">
        <v>212</v>
      </c>
    </row>
    <row r="186" spans="1:14">
      <c r="A186" s="24" t="s">
        <v>3</v>
      </c>
      <c r="B186" s="24">
        <v>2026</v>
      </c>
      <c r="C186" s="25">
        <v>46239</v>
      </c>
      <c r="D186" s="24" t="s">
        <v>92</v>
      </c>
      <c r="E186" s="26" t="str">
        <f>IFERROR(VLOOKUP(D186,'04_Master Karyawan'!$A$5:$F$50,2,FALSE),"")</f>
        <v>Jessie</v>
      </c>
      <c r="F186" s="24" t="s">
        <v>146</v>
      </c>
      <c r="G186" s="26" t="str">
        <f>IFERROR(VLOOKUP(F186,'05_Master KPI'!$B$5:$G$100,2,FALSE)&amp;" ("&amp;VLOOKUP(F186,'05_Master KPI'!$B$5:$G$100,3,FALSE)&amp;")","")</f>
        <v>Engagement Rate (%)</v>
      </c>
      <c r="H186" s="26">
        <f>IFERROR(IF(B186&lt;&gt;'06_Target KPI'!$B$3,0,IF(VLOOKUP(F186,'05_Master KPI'!$B$5:$G$100,6,FALSE)="Kumulatif",INDEX('06_Target KPI'!$E$5:$P$100,MATCH(F186,'06_Target KPI'!$B$5:$B$100,0),MATCH(A186,'06_Target KPI'!$E$4:$P$4,0))*DAY(C186)/DAY(EOMONTH(C186,0)),INDEX('06_Target KPI'!$E$5:$P$100,MATCH(F186,'06_Target KPI'!$B$5:$B$100,0),MATCH(A186,'06_Target KPI'!$E$4:$P$4,0)))),0)</f>
        <v>5</v>
      </c>
      <c r="I186" s="24">
        <v>4.5</v>
      </c>
      <c r="J186" s="27">
        <f>IFERROR(MIN(IF(VLOOKUP(F186,'05_Master KPI'!$B$5:$G$100,5,FALSE)="Lower",H186/I186,I186/H186),1),0)</f>
        <v>0.9</v>
      </c>
      <c r="K186" s="26">
        <f>IFERROR(VLOOKUP(F186,'05_Master KPI'!$B$5:$G$100,4,FALSE),0)</f>
        <v>15</v>
      </c>
      <c r="L186" s="28">
        <f t="shared" si="2"/>
        <v>13.5</v>
      </c>
      <c r="M186" s="26" t="str">
        <f>IF(D186="","",IF(J186&gt;='13_Setting'!$H$7,"Tercapai",IF(J186&gt;='13_Setting'!$H$6,"On Track","Tertinggal")))</f>
        <v>On Track</v>
      </c>
      <c r="N186" s="24" t="s">
        <v>212</v>
      </c>
    </row>
    <row r="187" spans="1:14">
      <c r="A187" s="24" t="s">
        <v>3</v>
      </c>
      <c r="B187" s="24">
        <v>2026</v>
      </c>
      <c r="C187" s="25">
        <v>46239</v>
      </c>
      <c r="D187" s="24" t="s">
        <v>92</v>
      </c>
      <c r="E187" s="26" t="str">
        <f>IFERROR(VLOOKUP(D187,'04_Master Karyawan'!$A$5:$F$50,2,FALSE),"")</f>
        <v>Jessie</v>
      </c>
      <c r="F187" s="24" t="s">
        <v>148</v>
      </c>
      <c r="G187" s="26" t="str">
        <f>IFERROR(VLOOKUP(F187,'05_Master KPI'!$B$5:$G$100,2,FALSE)&amp;" ("&amp;VLOOKUP(F187,'05_Master KPI'!$B$5:$G$100,3,FALSE)&amp;")","")</f>
        <v>Qualified Leads (lead)</v>
      </c>
      <c r="H187" s="26">
        <f>IFERROR(IF(B187&lt;&gt;'06_Target KPI'!$B$3,0,IF(VLOOKUP(F187,'05_Master KPI'!$B$5:$G$100,6,FALSE)="Kumulatif",INDEX('06_Target KPI'!$E$5:$P$100,MATCH(F187,'06_Target KPI'!$B$5:$B$100,0),MATCH(A187,'06_Target KPI'!$E$4:$P$4,0))*DAY(C187)/DAY(EOMONTH(C187,0)),INDEX('06_Target KPI'!$E$5:$P$100,MATCH(F187,'06_Target KPI'!$B$5:$B$100,0),MATCH(A187,'06_Target KPI'!$E$4:$P$4,0)))),0)</f>
        <v>16.129032258064516</v>
      </c>
      <c r="I187" s="24">
        <v>14</v>
      </c>
      <c r="J187" s="27">
        <f>IFERROR(MIN(IF(VLOOKUP(F187,'05_Master KPI'!$B$5:$G$100,5,FALSE)="Lower",H187/I187,I187/H187),1),0)</f>
        <v>0.86799999999999999</v>
      </c>
      <c r="K187" s="26">
        <f>IFERROR(VLOOKUP(F187,'05_Master KPI'!$B$5:$G$100,4,FALSE),0)</f>
        <v>20</v>
      </c>
      <c r="L187" s="28">
        <f t="shared" si="2"/>
        <v>17.36</v>
      </c>
      <c r="M187" s="26" t="str">
        <f>IF(D187="","",IF(J187&gt;='13_Setting'!$H$7,"Tercapai",IF(J187&gt;='13_Setting'!$H$6,"On Track","Tertinggal")))</f>
        <v>On Track</v>
      </c>
      <c r="N187" s="24" t="s">
        <v>212</v>
      </c>
    </row>
    <row r="188" spans="1:14">
      <c r="A188" s="24" t="s">
        <v>3</v>
      </c>
      <c r="B188" s="24">
        <v>2026</v>
      </c>
      <c r="C188" s="25">
        <v>46239</v>
      </c>
      <c r="D188" s="24" t="s">
        <v>92</v>
      </c>
      <c r="E188" s="26" t="str">
        <f>IFERROR(VLOOKUP(D188,'04_Master Karyawan'!$A$5:$F$50,2,FALSE),"")</f>
        <v>Jessie</v>
      </c>
      <c r="F188" s="24" t="s">
        <v>151</v>
      </c>
      <c r="G188" s="26" t="str">
        <f>IFERROR(VLOOKUP(F188,'05_Master KPI'!$B$5:$G$100,2,FALSE)&amp;" ("&amp;VLOOKUP(F188,'05_Master KPI'!$B$5:$G$100,3,FALSE)&amp;")","")</f>
        <v>Campaign Execution (%)</v>
      </c>
      <c r="H188" s="26">
        <f>IFERROR(IF(B188&lt;&gt;'06_Target KPI'!$B$3,0,IF(VLOOKUP(F188,'05_Master KPI'!$B$5:$G$100,6,FALSE)="Kumulatif",INDEX('06_Target KPI'!$E$5:$P$100,MATCH(F188,'06_Target KPI'!$B$5:$B$100,0),MATCH(A188,'06_Target KPI'!$E$4:$P$4,0))*DAY(C188)/DAY(EOMONTH(C188,0)),INDEX('06_Target KPI'!$E$5:$P$100,MATCH(F188,'06_Target KPI'!$B$5:$B$100,0),MATCH(A188,'06_Target KPI'!$E$4:$P$4,0)))),0)</f>
        <v>100</v>
      </c>
      <c r="I188" s="24">
        <v>89.3</v>
      </c>
      <c r="J188" s="27">
        <f>IFERROR(MIN(IF(VLOOKUP(F188,'05_Master KPI'!$B$5:$G$100,5,FALSE)="Lower",H188/I188,I188/H188),1),0)</f>
        <v>0.89300000000000002</v>
      </c>
      <c r="K188" s="26">
        <f>IFERROR(VLOOKUP(F188,'05_Master KPI'!$B$5:$G$100,4,FALSE),0)</f>
        <v>20</v>
      </c>
      <c r="L188" s="28">
        <f t="shared" si="2"/>
        <v>17.86</v>
      </c>
      <c r="M188" s="26" t="str">
        <f>IF(D188="","",IF(J188&gt;='13_Setting'!$H$7,"Tercapai",IF(J188&gt;='13_Setting'!$H$6,"On Track","Tertinggal")))</f>
        <v>On Track</v>
      </c>
      <c r="N188" s="24" t="s">
        <v>212</v>
      </c>
    </row>
    <row r="189" spans="1:14">
      <c r="A189" s="24" t="s">
        <v>3</v>
      </c>
      <c r="B189" s="24">
        <v>2026</v>
      </c>
      <c r="C189" s="25">
        <v>46239</v>
      </c>
      <c r="D189" s="24" t="s">
        <v>92</v>
      </c>
      <c r="E189" s="26" t="str">
        <f>IFERROR(VLOOKUP(D189,'04_Master Karyawan'!$A$5:$F$50,2,FALSE),"")</f>
        <v>Jessie</v>
      </c>
      <c r="F189" s="24" t="s">
        <v>153</v>
      </c>
      <c r="G189" s="26" t="str">
        <f>IFERROR(VLOOKUP(F189,'05_Master KPI'!$B$5:$G$100,2,FALSE)&amp;" ("&amp;VLOOKUP(F189,'05_Master KPI'!$B$5:$G$100,3,FALSE)&amp;")","")</f>
        <v>Lead Conversion (%)</v>
      </c>
      <c r="H189" s="26">
        <f>IFERROR(IF(B189&lt;&gt;'06_Target KPI'!$B$3,0,IF(VLOOKUP(F189,'05_Master KPI'!$B$5:$G$100,6,FALSE)="Kumulatif",INDEX('06_Target KPI'!$E$5:$P$100,MATCH(F189,'06_Target KPI'!$B$5:$B$100,0),MATCH(A189,'06_Target KPI'!$E$4:$P$4,0))*DAY(C189)/DAY(EOMONTH(C189,0)),INDEX('06_Target KPI'!$E$5:$P$100,MATCH(F189,'06_Target KPI'!$B$5:$B$100,0),MATCH(A189,'06_Target KPI'!$E$4:$P$4,0)))),0)</f>
        <v>10</v>
      </c>
      <c r="I189" s="24">
        <v>8.9</v>
      </c>
      <c r="J189" s="27">
        <f>IFERROR(MIN(IF(VLOOKUP(F189,'05_Master KPI'!$B$5:$G$100,5,FALSE)="Lower",H189/I189,I189/H189),1),0)</f>
        <v>0.89</v>
      </c>
      <c r="K189" s="26">
        <f>IFERROR(VLOOKUP(F189,'05_Master KPI'!$B$5:$G$100,4,FALSE),0)</f>
        <v>20</v>
      </c>
      <c r="L189" s="28">
        <f t="shared" si="2"/>
        <v>17.8</v>
      </c>
      <c r="M189" s="26" t="str">
        <f>IF(D189="","",IF(J189&gt;='13_Setting'!$H$7,"Tercapai",IF(J189&gt;='13_Setting'!$H$6,"On Track","Tertinggal")))</f>
        <v>On Track</v>
      </c>
      <c r="N189" s="24" t="s">
        <v>212</v>
      </c>
    </row>
    <row r="190" spans="1:14">
      <c r="A190" s="24" t="s">
        <v>3</v>
      </c>
      <c r="B190" s="24">
        <v>2026</v>
      </c>
      <c r="C190" s="25">
        <v>46239</v>
      </c>
      <c r="D190" s="24" t="s">
        <v>92</v>
      </c>
      <c r="E190" s="26" t="str">
        <f>IFERROR(VLOOKUP(D190,'04_Master Karyawan'!$A$5:$F$50,2,FALSE),"")</f>
        <v>Jessie</v>
      </c>
      <c r="F190" s="24" t="s">
        <v>155</v>
      </c>
      <c r="G190" s="26" t="str">
        <f>IFERROR(VLOOKUP(F190,'05_Master KPI'!$B$5:$G$100,2,FALSE)&amp;" ("&amp;VLOOKUP(F190,'05_Master KPI'!$B$5:$G$100,3,FALSE)&amp;")","")</f>
        <v>Reporting (%)</v>
      </c>
      <c r="H190" s="26">
        <f>IFERROR(IF(B190&lt;&gt;'06_Target KPI'!$B$3,0,IF(VLOOKUP(F190,'05_Master KPI'!$B$5:$G$100,6,FALSE)="Kumulatif",INDEX('06_Target KPI'!$E$5:$P$100,MATCH(F190,'06_Target KPI'!$B$5:$B$100,0),MATCH(A190,'06_Target KPI'!$E$4:$P$4,0))*DAY(C190)/DAY(EOMONTH(C190,0)),INDEX('06_Target KPI'!$E$5:$P$100,MATCH(F190,'06_Target KPI'!$B$5:$B$100,0),MATCH(A190,'06_Target KPI'!$E$4:$P$4,0)))),0)</f>
        <v>100</v>
      </c>
      <c r="I190" s="24">
        <v>89.3</v>
      </c>
      <c r="J190" s="27">
        <f>IFERROR(MIN(IF(VLOOKUP(F190,'05_Master KPI'!$B$5:$G$100,5,FALSE)="Lower",H190/I190,I190/H190),1),0)</f>
        <v>0.89300000000000002</v>
      </c>
      <c r="K190" s="26">
        <f>IFERROR(VLOOKUP(F190,'05_Master KPI'!$B$5:$G$100,4,FALSE),0)</f>
        <v>10</v>
      </c>
      <c r="L190" s="28">
        <f t="shared" si="2"/>
        <v>8.93</v>
      </c>
      <c r="M190" s="26" t="str">
        <f>IF(D190="","",IF(J190&gt;='13_Setting'!$H$7,"Tercapai",IF(J190&gt;='13_Setting'!$H$6,"On Track","Tertinggal")))</f>
        <v>On Track</v>
      </c>
      <c r="N190" s="24" t="s">
        <v>212</v>
      </c>
    </row>
    <row r="191" spans="1:14">
      <c r="A191" s="24" t="s">
        <v>3</v>
      </c>
      <c r="B191" s="24">
        <v>2026</v>
      </c>
      <c r="C191" s="25">
        <v>46239</v>
      </c>
      <c r="D191" s="24" t="s">
        <v>94</v>
      </c>
      <c r="E191" s="26" t="str">
        <f>IFERROR(VLOOKUP(D191,'04_Master Karyawan'!$A$5:$F$50,2,FALSE),"")</f>
        <v>Kia</v>
      </c>
      <c r="F191" s="24" t="s">
        <v>143</v>
      </c>
      <c r="G191" s="26" t="str">
        <f>IFERROR(VLOOKUP(F191,'05_Master KPI'!$B$5:$G$100,2,FALSE)&amp;" ("&amp;VLOOKUP(F191,'05_Master KPI'!$B$5:$G$100,3,FALSE)&amp;")","")</f>
        <v>Content Plan (konten)</v>
      </c>
      <c r="H191" s="26">
        <f>IFERROR(IF(B191&lt;&gt;'06_Target KPI'!$B$3,0,IF(VLOOKUP(F191,'05_Master KPI'!$B$5:$G$100,6,FALSE)="Kumulatif",INDEX('06_Target KPI'!$E$5:$P$100,MATCH(F191,'06_Target KPI'!$B$5:$B$100,0),MATCH(A191,'06_Target KPI'!$E$4:$P$4,0))*DAY(C191)/DAY(EOMONTH(C191,0)),INDEX('06_Target KPI'!$E$5:$P$100,MATCH(F191,'06_Target KPI'!$B$5:$B$100,0),MATCH(A191,'06_Target KPI'!$E$4:$P$4,0)))),0)</f>
        <v>4.838709677419355</v>
      </c>
      <c r="I191" s="24">
        <v>4</v>
      </c>
      <c r="J191" s="27">
        <f>IFERROR(MIN(IF(VLOOKUP(F191,'05_Master KPI'!$B$5:$G$100,5,FALSE)="Lower",H191/I191,I191/H191),1),0)</f>
        <v>0.82666666666666666</v>
      </c>
      <c r="K191" s="26">
        <f>IFERROR(VLOOKUP(F191,'05_Master KPI'!$B$5:$G$100,4,FALSE),0)</f>
        <v>15</v>
      </c>
      <c r="L191" s="28">
        <f t="shared" si="2"/>
        <v>12.4</v>
      </c>
      <c r="M191" s="26" t="str">
        <f>IF(D191="","",IF(J191&gt;='13_Setting'!$H$7,"Tercapai",IF(J191&gt;='13_Setting'!$H$6,"On Track","Tertinggal")))</f>
        <v>Tertinggal</v>
      </c>
      <c r="N191" s="24" t="s">
        <v>212</v>
      </c>
    </row>
    <row r="192" spans="1:14">
      <c r="A192" s="24" t="s">
        <v>3</v>
      </c>
      <c r="B192" s="24">
        <v>2026</v>
      </c>
      <c r="C192" s="25">
        <v>46239</v>
      </c>
      <c r="D192" s="24" t="s">
        <v>94</v>
      </c>
      <c r="E192" s="26" t="str">
        <f>IFERROR(VLOOKUP(D192,'04_Master Karyawan'!$A$5:$F$50,2,FALSE),"")</f>
        <v>Kia</v>
      </c>
      <c r="F192" s="24" t="s">
        <v>146</v>
      </c>
      <c r="G192" s="26" t="str">
        <f>IFERROR(VLOOKUP(F192,'05_Master KPI'!$B$5:$G$100,2,FALSE)&amp;" ("&amp;VLOOKUP(F192,'05_Master KPI'!$B$5:$G$100,3,FALSE)&amp;")","")</f>
        <v>Engagement Rate (%)</v>
      </c>
      <c r="H192" s="26">
        <f>IFERROR(IF(B192&lt;&gt;'06_Target KPI'!$B$3,0,IF(VLOOKUP(F192,'05_Master KPI'!$B$5:$G$100,6,FALSE)="Kumulatif",INDEX('06_Target KPI'!$E$5:$P$100,MATCH(F192,'06_Target KPI'!$B$5:$B$100,0),MATCH(A192,'06_Target KPI'!$E$4:$P$4,0))*DAY(C192)/DAY(EOMONTH(C192,0)),INDEX('06_Target KPI'!$E$5:$P$100,MATCH(F192,'06_Target KPI'!$B$5:$B$100,0),MATCH(A192,'06_Target KPI'!$E$4:$P$4,0)))),0)</f>
        <v>5</v>
      </c>
      <c r="I192" s="24">
        <v>4.5999999999999996</v>
      </c>
      <c r="J192" s="27">
        <f>IFERROR(MIN(IF(VLOOKUP(F192,'05_Master KPI'!$B$5:$G$100,5,FALSE)="Lower",H192/I192,I192/H192),1),0)</f>
        <v>0.91999999999999993</v>
      </c>
      <c r="K192" s="26">
        <f>IFERROR(VLOOKUP(F192,'05_Master KPI'!$B$5:$G$100,4,FALSE),0)</f>
        <v>15</v>
      </c>
      <c r="L192" s="28">
        <f t="shared" si="2"/>
        <v>13.799999999999999</v>
      </c>
      <c r="M192" s="26" t="str">
        <f>IF(D192="","",IF(J192&gt;='13_Setting'!$H$7,"Tercapai",IF(J192&gt;='13_Setting'!$H$6,"On Track","Tertinggal")))</f>
        <v>On Track</v>
      </c>
      <c r="N192" s="24" t="s">
        <v>212</v>
      </c>
    </row>
    <row r="193" spans="1:14">
      <c r="A193" s="24" t="s">
        <v>3</v>
      </c>
      <c r="B193" s="24">
        <v>2026</v>
      </c>
      <c r="C193" s="25">
        <v>46239</v>
      </c>
      <c r="D193" s="24" t="s">
        <v>94</v>
      </c>
      <c r="E193" s="26" t="str">
        <f>IFERROR(VLOOKUP(D193,'04_Master Karyawan'!$A$5:$F$50,2,FALSE),"")</f>
        <v>Kia</v>
      </c>
      <c r="F193" s="24" t="s">
        <v>148</v>
      </c>
      <c r="G193" s="26" t="str">
        <f>IFERROR(VLOOKUP(F193,'05_Master KPI'!$B$5:$G$100,2,FALSE)&amp;" ("&amp;VLOOKUP(F193,'05_Master KPI'!$B$5:$G$100,3,FALSE)&amp;")","")</f>
        <v>Qualified Leads (lead)</v>
      </c>
      <c r="H193" s="26">
        <f>IFERROR(IF(B193&lt;&gt;'06_Target KPI'!$B$3,0,IF(VLOOKUP(F193,'05_Master KPI'!$B$5:$G$100,6,FALSE)="Kumulatif",INDEX('06_Target KPI'!$E$5:$P$100,MATCH(F193,'06_Target KPI'!$B$5:$B$100,0),MATCH(A193,'06_Target KPI'!$E$4:$P$4,0))*DAY(C193)/DAY(EOMONTH(C193,0)),INDEX('06_Target KPI'!$E$5:$P$100,MATCH(F193,'06_Target KPI'!$B$5:$B$100,0),MATCH(A193,'06_Target KPI'!$E$4:$P$4,0)))),0)</f>
        <v>16.129032258064516</v>
      </c>
      <c r="I193" s="24">
        <v>15</v>
      </c>
      <c r="J193" s="27">
        <f>IFERROR(MIN(IF(VLOOKUP(F193,'05_Master KPI'!$B$5:$G$100,5,FALSE)="Lower",H193/I193,I193/H193),1),0)</f>
        <v>0.93</v>
      </c>
      <c r="K193" s="26">
        <f>IFERROR(VLOOKUP(F193,'05_Master KPI'!$B$5:$G$100,4,FALSE),0)</f>
        <v>20</v>
      </c>
      <c r="L193" s="28">
        <f t="shared" si="2"/>
        <v>18.600000000000001</v>
      </c>
      <c r="M193" s="26" t="str">
        <f>IF(D193="","",IF(J193&gt;='13_Setting'!$H$7,"Tercapai",IF(J193&gt;='13_Setting'!$H$6,"On Track","Tertinggal")))</f>
        <v>On Track</v>
      </c>
      <c r="N193" s="24" t="s">
        <v>212</v>
      </c>
    </row>
    <row r="194" spans="1:14">
      <c r="A194" s="24" t="s">
        <v>3</v>
      </c>
      <c r="B194" s="24">
        <v>2026</v>
      </c>
      <c r="C194" s="25">
        <v>46239</v>
      </c>
      <c r="D194" s="24" t="s">
        <v>94</v>
      </c>
      <c r="E194" s="26" t="str">
        <f>IFERROR(VLOOKUP(D194,'04_Master Karyawan'!$A$5:$F$50,2,FALSE),"")</f>
        <v>Kia</v>
      </c>
      <c r="F194" s="24" t="s">
        <v>151</v>
      </c>
      <c r="G194" s="26" t="str">
        <f>IFERROR(VLOOKUP(F194,'05_Master KPI'!$B$5:$G$100,2,FALSE)&amp;" ("&amp;VLOOKUP(F194,'05_Master KPI'!$B$5:$G$100,3,FALSE)&amp;")","")</f>
        <v>Campaign Execution (%)</v>
      </c>
      <c r="H194" s="26">
        <f>IFERROR(IF(B194&lt;&gt;'06_Target KPI'!$B$3,0,IF(VLOOKUP(F194,'05_Master KPI'!$B$5:$G$100,6,FALSE)="Kumulatif",INDEX('06_Target KPI'!$E$5:$P$100,MATCH(F194,'06_Target KPI'!$B$5:$B$100,0),MATCH(A194,'06_Target KPI'!$E$4:$P$4,0))*DAY(C194)/DAY(EOMONTH(C194,0)),INDEX('06_Target KPI'!$E$5:$P$100,MATCH(F194,'06_Target KPI'!$B$5:$B$100,0),MATCH(A194,'06_Target KPI'!$E$4:$P$4,0)))),0)</f>
        <v>100</v>
      </c>
      <c r="I194" s="24">
        <v>91.8</v>
      </c>
      <c r="J194" s="27">
        <f>IFERROR(MIN(IF(VLOOKUP(F194,'05_Master KPI'!$B$5:$G$100,5,FALSE)="Lower",H194/I194,I194/H194),1),0)</f>
        <v>0.91799999999999993</v>
      </c>
      <c r="K194" s="26">
        <f>IFERROR(VLOOKUP(F194,'05_Master KPI'!$B$5:$G$100,4,FALSE),0)</f>
        <v>20</v>
      </c>
      <c r="L194" s="28">
        <f t="shared" si="2"/>
        <v>18.36</v>
      </c>
      <c r="M194" s="26" t="str">
        <f>IF(D194="","",IF(J194&gt;='13_Setting'!$H$7,"Tercapai",IF(J194&gt;='13_Setting'!$H$6,"On Track","Tertinggal")))</f>
        <v>On Track</v>
      </c>
      <c r="N194" s="24" t="s">
        <v>212</v>
      </c>
    </row>
    <row r="195" spans="1:14">
      <c r="A195" s="24" t="s">
        <v>3</v>
      </c>
      <c r="B195" s="24">
        <v>2026</v>
      </c>
      <c r="C195" s="25">
        <v>46239</v>
      </c>
      <c r="D195" s="24" t="s">
        <v>94</v>
      </c>
      <c r="E195" s="26" t="str">
        <f>IFERROR(VLOOKUP(D195,'04_Master Karyawan'!$A$5:$F$50,2,FALSE),"")</f>
        <v>Kia</v>
      </c>
      <c r="F195" s="24" t="s">
        <v>153</v>
      </c>
      <c r="G195" s="26" t="str">
        <f>IFERROR(VLOOKUP(F195,'05_Master KPI'!$B$5:$G$100,2,FALSE)&amp;" ("&amp;VLOOKUP(F195,'05_Master KPI'!$B$5:$G$100,3,FALSE)&amp;")","")</f>
        <v>Lead Conversion (%)</v>
      </c>
      <c r="H195" s="26">
        <f>IFERROR(IF(B195&lt;&gt;'06_Target KPI'!$B$3,0,IF(VLOOKUP(F195,'05_Master KPI'!$B$5:$G$100,6,FALSE)="Kumulatif",INDEX('06_Target KPI'!$E$5:$P$100,MATCH(F195,'06_Target KPI'!$B$5:$B$100,0),MATCH(A195,'06_Target KPI'!$E$4:$P$4,0))*DAY(C195)/DAY(EOMONTH(C195,0)),INDEX('06_Target KPI'!$E$5:$P$100,MATCH(F195,'06_Target KPI'!$B$5:$B$100,0),MATCH(A195,'06_Target KPI'!$E$4:$P$4,0)))),0)</f>
        <v>10</v>
      </c>
      <c r="I195" s="24">
        <v>9.1999999999999993</v>
      </c>
      <c r="J195" s="27">
        <f>IFERROR(MIN(IF(VLOOKUP(F195,'05_Master KPI'!$B$5:$G$100,5,FALSE)="Lower",H195/I195,I195/H195),1),0)</f>
        <v>0.91999999999999993</v>
      </c>
      <c r="K195" s="26">
        <f>IFERROR(VLOOKUP(F195,'05_Master KPI'!$B$5:$G$100,4,FALSE),0)</f>
        <v>20</v>
      </c>
      <c r="L195" s="28">
        <f t="shared" si="2"/>
        <v>18.399999999999999</v>
      </c>
      <c r="M195" s="26" t="str">
        <f>IF(D195="","",IF(J195&gt;='13_Setting'!$H$7,"Tercapai",IF(J195&gt;='13_Setting'!$H$6,"On Track","Tertinggal")))</f>
        <v>On Track</v>
      </c>
      <c r="N195" s="24" t="s">
        <v>212</v>
      </c>
    </row>
    <row r="196" spans="1:14">
      <c r="A196" s="24" t="s">
        <v>3</v>
      </c>
      <c r="B196" s="24">
        <v>2026</v>
      </c>
      <c r="C196" s="25">
        <v>46239</v>
      </c>
      <c r="D196" s="24" t="s">
        <v>94</v>
      </c>
      <c r="E196" s="26" t="str">
        <f>IFERROR(VLOOKUP(D196,'04_Master Karyawan'!$A$5:$F$50,2,FALSE),"")</f>
        <v>Kia</v>
      </c>
      <c r="F196" s="24" t="s">
        <v>155</v>
      </c>
      <c r="G196" s="26" t="str">
        <f>IFERROR(VLOOKUP(F196,'05_Master KPI'!$B$5:$G$100,2,FALSE)&amp;" ("&amp;VLOOKUP(F196,'05_Master KPI'!$B$5:$G$100,3,FALSE)&amp;")","")</f>
        <v>Reporting (%)</v>
      </c>
      <c r="H196" s="26">
        <f>IFERROR(IF(B196&lt;&gt;'06_Target KPI'!$B$3,0,IF(VLOOKUP(F196,'05_Master KPI'!$B$5:$G$100,6,FALSE)="Kumulatif",INDEX('06_Target KPI'!$E$5:$P$100,MATCH(F196,'06_Target KPI'!$B$5:$B$100,0),MATCH(A196,'06_Target KPI'!$E$4:$P$4,0))*DAY(C196)/DAY(EOMONTH(C196,0)),INDEX('06_Target KPI'!$E$5:$P$100,MATCH(F196,'06_Target KPI'!$B$5:$B$100,0),MATCH(A196,'06_Target KPI'!$E$4:$P$4,0)))),0)</f>
        <v>100</v>
      </c>
      <c r="I196" s="24">
        <v>91.8</v>
      </c>
      <c r="J196" s="27">
        <f>IFERROR(MIN(IF(VLOOKUP(F196,'05_Master KPI'!$B$5:$G$100,5,FALSE)="Lower",H196/I196,I196/H196),1),0)</f>
        <v>0.91799999999999993</v>
      </c>
      <c r="K196" s="26">
        <f>IFERROR(VLOOKUP(F196,'05_Master KPI'!$B$5:$G$100,4,FALSE),0)</f>
        <v>10</v>
      </c>
      <c r="L196" s="28">
        <f t="shared" si="2"/>
        <v>9.18</v>
      </c>
      <c r="M196" s="26" t="str">
        <f>IF(D196="","",IF(J196&gt;='13_Setting'!$H$7,"Tercapai",IF(J196&gt;='13_Setting'!$H$6,"On Track","Tertinggal")))</f>
        <v>On Track</v>
      </c>
      <c r="N196" s="24" t="s">
        <v>212</v>
      </c>
    </row>
    <row r="197" spans="1:14">
      <c r="A197" s="24"/>
      <c r="B197" s="24"/>
      <c r="C197" s="25"/>
      <c r="D197" s="24"/>
      <c r="E197" s="26" t="str">
        <f>IFERROR(VLOOKUP(D197,'04_Master Karyawan'!$A$5:$F$50,2,FALSE),"")</f>
        <v/>
      </c>
      <c r="F197" s="24"/>
      <c r="G197" s="26" t="str">
        <f>IFERROR(VLOOKUP(F197,'05_Master KPI'!$B$5:$G$100,2,FALSE)&amp;" ("&amp;VLOOKUP(F197,'05_Master KPI'!$B$5:$G$100,3,FALSE)&amp;")","")</f>
        <v/>
      </c>
      <c r="H197" s="26">
        <f>IFERROR(IF(B197&lt;&gt;'06_Target KPI'!$B$3,0,IF(VLOOKUP(F197,'05_Master KPI'!$B$5:$G$100,6,FALSE)="Kumulatif",INDEX('06_Target KPI'!$E$5:$P$100,MATCH(F197,'06_Target KPI'!$B$5:$B$100,0),MATCH(A197,'06_Target KPI'!$E$4:$P$4,0))*DAY(C197)/DAY(EOMONTH(C197,0)),INDEX('06_Target KPI'!$E$5:$P$100,MATCH(F197,'06_Target KPI'!$B$5:$B$100,0),MATCH(A197,'06_Target KPI'!$E$4:$P$4,0)))),0)</f>
        <v>0</v>
      </c>
      <c r="I197" s="24"/>
      <c r="J197" s="27">
        <f>IFERROR(MIN(IF(VLOOKUP(F197,'05_Master KPI'!$B$5:$G$100,5,FALSE)="Lower",H197/I197,I197/H197),1),0)</f>
        <v>0</v>
      </c>
      <c r="K197" s="26">
        <f>IFERROR(VLOOKUP(F197,'05_Master KPI'!$B$5:$G$100,4,FALSE),0)</f>
        <v>0</v>
      </c>
      <c r="L197" s="28">
        <f t="shared" ref="L197:L260" si="3">J197*K197</f>
        <v>0</v>
      </c>
      <c r="M197" s="26" t="str">
        <f>IF(D197="","",IF(J197&gt;='13_Setting'!$H$7,"Tercapai",IF(J197&gt;='13_Setting'!$H$6,"On Track","Tertinggal")))</f>
        <v/>
      </c>
      <c r="N197" s="24"/>
    </row>
    <row r="198" spans="1:14">
      <c r="A198" s="24"/>
      <c r="B198" s="24"/>
      <c r="C198" s="25"/>
      <c r="D198" s="24"/>
      <c r="E198" s="26" t="str">
        <f>IFERROR(VLOOKUP(D198,'04_Master Karyawan'!$A$5:$F$50,2,FALSE),"")</f>
        <v/>
      </c>
      <c r="F198" s="24"/>
      <c r="G198" s="26" t="str">
        <f>IFERROR(VLOOKUP(F198,'05_Master KPI'!$B$5:$G$100,2,FALSE)&amp;" ("&amp;VLOOKUP(F198,'05_Master KPI'!$B$5:$G$100,3,FALSE)&amp;")","")</f>
        <v/>
      </c>
      <c r="H198" s="26">
        <f>IFERROR(IF(B198&lt;&gt;'06_Target KPI'!$B$3,0,IF(VLOOKUP(F198,'05_Master KPI'!$B$5:$G$100,6,FALSE)="Kumulatif",INDEX('06_Target KPI'!$E$5:$P$100,MATCH(F198,'06_Target KPI'!$B$5:$B$100,0),MATCH(A198,'06_Target KPI'!$E$4:$P$4,0))*DAY(C198)/DAY(EOMONTH(C198,0)),INDEX('06_Target KPI'!$E$5:$P$100,MATCH(F198,'06_Target KPI'!$B$5:$B$100,0),MATCH(A198,'06_Target KPI'!$E$4:$P$4,0)))),0)</f>
        <v>0</v>
      </c>
      <c r="I198" s="24"/>
      <c r="J198" s="27">
        <f>IFERROR(MIN(IF(VLOOKUP(F198,'05_Master KPI'!$B$5:$G$100,5,FALSE)="Lower",H198/I198,I198/H198),1),0)</f>
        <v>0</v>
      </c>
      <c r="K198" s="26">
        <f>IFERROR(VLOOKUP(F198,'05_Master KPI'!$B$5:$G$100,4,FALSE),0)</f>
        <v>0</v>
      </c>
      <c r="L198" s="28">
        <f t="shared" si="3"/>
        <v>0</v>
      </c>
      <c r="M198" s="26" t="str">
        <f>IF(D198="","",IF(J198&gt;='13_Setting'!$H$7,"Tercapai",IF(J198&gt;='13_Setting'!$H$6,"On Track","Tertinggal")))</f>
        <v/>
      </c>
      <c r="N198" s="24"/>
    </row>
    <row r="199" spans="1:14">
      <c r="A199" s="24"/>
      <c r="B199" s="24"/>
      <c r="C199" s="25"/>
      <c r="D199" s="24"/>
      <c r="E199" s="26" t="str">
        <f>IFERROR(VLOOKUP(D199,'04_Master Karyawan'!$A$5:$F$50,2,FALSE),"")</f>
        <v/>
      </c>
      <c r="F199" s="24"/>
      <c r="G199" s="26" t="str">
        <f>IFERROR(VLOOKUP(F199,'05_Master KPI'!$B$5:$G$100,2,FALSE)&amp;" ("&amp;VLOOKUP(F199,'05_Master KPI'!$B$5:$G$100,3,FALSE)&amp;")","")</f>
        <v/>
      </c>
      <c r="H199" s="26">
        <f>IFERROR(IF(B199&lt;&gt;'06_Target KPI'!$B$3,0,IF(VLOOKUP(F199,'05_Master KPI'!$B$5:$G$100,6,FALSE)="Kumulatif",INDEX('06_Target KPI'!$E$5:$P$100,MATCH(F199,'06_Target KPI'!$B$5:$B$100,0),MATCH(A199,'06_Target KPI'!$E$4:$P$4,0))*DAY(C199)/DAY(EOMONTH(C199,0)),INDEX('06_Target KPI'!$E$5:$P$100,MATCH(F199,'06_Target KPI'!$B$5:$B$100,0),MATCH(A199,'06_Target KPI'!$E$4:$P$4,0)))),0)</f>
        <v>0</v>
      </c>
      <c r="I199" s="24"/>
      <c r="J199" s="27">
        <f>IFERROR(MIN(IF(VLOOKUP(F199,'05_Master KPI'!$B$5:$G$100,5,FALSE)="Lower",H199/I199,I199/H199),1),0)</f>
        <v>0</v>
      </c>
      <c r="K199" s="26">
        <f>IFERROR(VLOOKUP(F199,'05_Master KPI'!$B$5:$G$100,4,FALSE),0)</f>
        <v>0</v>
      </c>
      <c r="L199" s="28">
        <f t="shared" si="3"/>
        <v>0</v>
      </c>
      <c r="M199" s="26" t="str">
        <f>IF(D199="","",IF(J199&gt;='13_Setting'!$H$7,"Tercapai",IF(J199&gt;='13_Setting'!$H$6,"On Track","Tertinggal")))</f>
        <v/>
      </c>
      <c r="N199" s="24"/>
    </row>
    <row r="200" spans="1:14">
      <c r="A200" s="24"/>
      <c r="B200" s="24"/>
      <c r="C200" s="25"/>
      <c r="D200" s="24"/>
      <c r="E200" s="26" t="str">
        <f>IFERROR(VLOOKUP(D200,'04_Master Karyawan'!$A$5:$F$50,2,FALSE),"")</f>
        <v/>
      </c>
      <c r="F200" s="24"/>
      <c r="G200" s="26" t="str">
        <f>IFERROR(VLOOKUP(F200,'05_Master KPI'!$B$5:$G$100,2,FALSE)&amp;" ("&amp;VLOOKUP(F200,'05_Master KPI'!$B$5:$G$100,3,FALSE)&amp;")","")</f>
        <v/>
      </c>
      <c r="H200" s="26">
        <f>IFERROR(IF(B200&lt;&gt;'06_Target KPI'!$B$3,0,IF(VLOOKUP(F200,'05_Master KPI'!$B$5:$G$100,6,FALSE)="Kumulatif",INDEX('06_Target KPI'!$E$5:$P$100,MATCH(F200,'06_Target KPI'!$B$5:$B$100,0),MATCH(A200,'06_Target KPI'!$E$4:$P$4,0))*DAY(C200)/DAY(EOMONTH(C200,0)),INDEX('06_Target KPI'!$E$5:$P$100,MATCH(F200,'06_Target KPI'!$B$5:$B$100,0),MATCH(A200,'06_Target KPI'!$E$4:$P$4,0)))),0)</f>
        <v>0</v>
      </c>
      <c r="I200" s="24"/>
      <c r="J200" s="27">
        <f>IFERROR(MIN(IF(VLOOKUP(F200,'05_Master KPI'!$B$5:$G$100,5,FALSE)="Lower",H200/I200,I200/H200),1),0)</f>
        <v>0</v>
      </c>
      <c r="K200" s="26">
        <f>IFERROR(VLOOKUP(F200,'05_Master KPI'!$B$5:$G$100,4,FALSE),0)</f>
        <v>0</v>
      </c>
      <c r="L200" s="28">
        <f t="shared" si="3"/>
        <v>0</v>
      </c>
      <c r="M200" s="26" t="str">
        <f>IF(D200="","",IF(J200&gt;='13_Setting'!$H$7,"Tercapai",IF(J200&gt;='13_Setting'!$H$6,"On Track","Tertinggal")))</f>
        <v/>
      </c>
      <c r="N200" s="24"/>
    </row>
    <row r="201" spans="1:14">
      <c r="A201" s="24"/>
      <c r="B201" s="24"/>
      <c r="C201" s="25"/>
      <c r="D201" s="24"/>
      <c r="E201" s="26" t="str">
        <f>IFERROR(VLOOKUP(D201,'04_Master Karyawan'!$A$5:$F$50,2,FALSE),"")</f>
        <v/>
      </c>
      <c r="F201" s="24"/>
      <c r="G201" s="26" t="str">
        <f>IFERROR(VLOOKUP(F201,'05_Master KPI'!$B$5:$G$100,2,FALSE)&amp;" ("&amp;VLOOKUP(F201,'05_Master KPI'!$B$5:$G$100,3,FALSE)&amp;")","")</f>
        <v/>
      </c>
      <c r="H201" s="26">
        <f>IFERROR(IF(B201&lt;&gt;'06_Target KPI'!$B$3,0,IF(VLOOKUP(F201,'05_Master KPI'!$B$5:$G$100,6,FALSE)="Kumulatif",INDEX('06_Target KPI'!$E$5:$P$100,MATCH(F201,'06_Target KPI'!$B$5:$B$100,0),MATCH(A201,'06_Target KPI'!$E$4:$P$4,0))*DAY(C201)/DAY(EOMONTH(C201,0)),INDEX('06_Target KPI'!$E$5:$P$100,MATCH(F201,'06_Target KPI'!$B$5:$B$100,0),MATCH(A201,'06_Target KPI'!$E$4:$P$4,0)))),0)</f>
        <v>0</v>
      </c>
      <c r="I201" s="24"/>
      <c r="J201" s="27">
        <f>IFERROR(MIN(IF(VLOOKUP(F201,'05_Master KPI'!$B$5:$G$100,5,FALSE)="Lower",H201/I201,I201/H201),1),0)</f>
        <v>0</v>
      </c>
      <c r="K201" s="26">
        <f>IFERROR(VLOOKUP(F201,'05_Master KPI'!$B$5:$G$100,4,FALSE),0)</f>
        <v>0</v>
      </c>
      <c r="L201" s="28">
        <f t="shared" si="3"/>
        <v>0</v>
      </c>
      <c r="M201" s="26" t="str">
        <f>IF(D201="","",IF(J201&gt;='13_Setting'!$H$7,"Tercapai",IF(J201&gt;='13_Setting'!$H$6,"On Track","Tertinggal")))</f>
        <v/>
      </c>
      <c r="N201" s="24"/>
    </row>
    <row r="202" spans="1:14">
      <c r="A202" s="24"/>
      <c r="B202" s="24"/>
      <c r="C202" s="25"/>
      <c r="D202" s="24"/>
      <c r="E202" s="26" t="str">
        <f>IFERROR(VLOOKUP(D202,'04_Master Karyawan'!$A$5:$F$50,2,FALSE),"")</f>
        <v/>
      </c>
      <c r="F202" s="24"/>
      <c r="G202" s="26" t="str">
        <f>IFERROR(VLOOKUP(F202,'05_Master KPI'!$B$5:$G$100,2,FALSE)&amp;" ("&amp;VLOOKUP(F202,'05_Master KPI'!$B$5:$G$100,3,FALSE)&amp;")","")</f>
        <v/>
      </c>
      <c r="H202" s="26">
        <f>IFERROR(IF(B202&lt;&gt;'06_Target KPI'!$B$3,0,IF(VLOOKUP(F202,'05_Master KPI'!$B$5:$G$100,6,FALSE)="Kumulatif",INDEX('06_Target KPI'!$E$5:$P$100,MATCH(F202,'06_Target KPI'!$B$5:$B$100,0),MATCH(A202,'06_Target KPI'!$E$4:$P$4,0))*DAY(C202)/DAY(EOMONTH(C202,0)),INDEX('06_Target KPI'!$E$5:$P$100,MATCH(F202,'06_Target KPI'!$B$5:$B$100,0),MATCH(A202,'06_Target KPI'!$E$4:$P$4,0)))),0)</f>
        <v>0</v>
      </c>
      <c r="I202" s="24"/>
      <c r="J202" s="27">
        <f>IFERROR(MIN(IF(VLOOKUP(F202,'05_Master KPI'!$B$5:$G$100,5,FALSE)="Lower",H202/I202,I202/H202),1),0)</f>
        <v>0</v>
      </c>
      <c r="K202" s="26">
        <f>IFERROR(VLOOKUP(F202,'05_Master KPI'!$B$5:$G$100,4,FALSE),0)</f>
        <v>0</v>
      </c>
      <c r="L202" s="28">
        <f t="shared" si="3"/>
        <v>0</v>
      </c>
      <c r="M202" s="26" t="str">
        <f>IF(D202="","",IF(J202&gt;='13_Setting'!$H$7,"Tercapai",IF(J202&gt;='13_Setting'!$H$6,"On Track","Tertinggal")))</f>
        <v/>
      </c>
      <c r="N202" s="24"/>
    </row>
    <row r="203" spans="1:14">
      <c r="A203" s="24"/>
      <c r="B203" s="24"/>
      <c r="C203" s="25"/>
      <c r="D203" s="24"/>
      <c r="E203" s="26" t="str">
        <f>IFERROR(VLOOKUP(D203,'04_Master Karyawan'!$A$5:$F$50,2,FALSE),"")</f>
        <v/>
      </c>
      <c r="F203" s="24"/>
      <c r="G203" s="26" t="str">
        <f>IFERROR(VLOOKUP(F203,'05_Master KPI'!$B$5:$G$100,2,FALSE)&amp;" ("&amp;VLOOKUP(F203,'05_Master KPI'!$B$5:$G$100,3,FALSE)&amp;")","")</f>
        <v/>
      </c>
      <c r="H203" s="26">
        <f>IFERROR(IF(B203&lt;&gt;'06_Target KPI'!$B$3,0,IF(VLOOKUP(F203,'05_Master KPI'!$B$5:$G$100,6,FALSE)="Kumulatif",INDEX('06_Target KPI'!$E$5:$P$100,MATCH(F203,'06_Target KPI'!$B$5:$B$100,0),MATCH(A203,'06_Target KPI'!$E$4:$P$4,0))*DAY(C203)/DAY(EOMONTH(C203,0)),INDEX('06_Target KPI'!$E$5:$P$100,MATCH(F203,'06_Target KPI'!$B$5:$B$100,0),MATCH(A203,'06_Target KPI'!$E$4:$P$4,0)))),0)</f>
        <v>0</v>
      </c>
      <c r="I203" s="24"/>
      <c r="J203" s="27">
        <f>IFERROR(MIN(IF(VLOOKUP(F203,'05_Master KPI'!$B$5:$G$100,5,FALSE)="Lower",H203/I203,I203/H203),1),0)</f>
        <v>0</v>
      </c>
      <c r="K203" s="26">
        <f>IFERROR(VLOOKUP(F203,'05_Master KPI'!$B$5:$G$100,4,FALSE),0)</f>
        <v>0</v>
      </c>
      <c r="L203" s="28">
        <f t="shared" si="3"/>
        <v>0</v>
      </c>
      <c r="M203" s="26" t="str">
        <f>IF(D203="","",IF(J203&gt;='13_Setting'!$H$7,"Tercapai",IF(J203&gt;='13_Setting'!$H$6,"On Track","Tertinggal")))</f>
        <v/>
      </c>
      <c r="N203" s="24"/>
    </row>
    <row r="204" spans="1:14">
      <c r="A204" s="24"/>
      <c r="B204" s="24"/>
      <c r="C204" s="25"/>
      <c r="D204" s="24"/>
      <c r="E204" s="26" t="str">
        <f>IFERROR(VLOOKUP(D204,'04_Master Karyawan'!$A$5:$F$50,2,FALSE),"")</f>
        <v/>
      </c>
      <c r="F204" s="24"/>
      <c r="G204" s="26" t="str">
        <f>IFERROR(VLOOKUP(F204,'05_Master KPI'!$B$5:$G$100,2,FALSE)&amp;" ("&amp;VLOOKUP(F204,'05_Master KPI'!$B$5:$G$100,3,FALSE)&amp;")","")</f>
        <v/>
      </c>
      <c r="H204" s="26">
        <f>IFERROR(IF(B204&lt;&gt;'06_Target KPI'!$B$3,0,IF(VLOOKUP(F204,'05_Master KPI'!$B$5:$G$100,6,FALSE)="Kumulatif",INDEX('06_Target KPI'!$E$5:$P$100,MATCH(F204,'06_Target KPI'!$B$5:$B$100,0),MATCH(A204,'06_Target KPI'!$E$4:$P$4,0))*DAY(C204)/DAY(EOMONTH(C204,0)),INDEX('06_Target KPI'!$E$5:$P$100,MATCH(F204,'06_Target KPI'!$B$5:$B$100,0),MATCH(A204,'06_Target KPI'!$E$4:$P$4,0)))),0)</f>
        <v>0</v>
      </c>
      <c r="I204" s="24"/>
      <c r="J204" s="27">
        <f>IFERROR(MIN(IF(VLOOKUP(F204,'05_Master KPI'!$B$5:$G$100,5,FALSE)="Lower",H204/I204,I204/H204),1),0)</f>
        <v>0</v>
      </c>
      <c r="K204" s="26">
        <f>IFERROR(VLOOKUP(F204,'05_Master KPI'!$B$5:$G$100,4,FALSE),0)</f>
        <v>0</v>
      </c>
      <c r="L204" s="28">
        <f t="shared" si="3"/>
        <v>0</v>
      </c>
      <c r="M204" s="26" t="str">
        <f>IF(D204="","",IF(J204&gt;='13_Setting'!$H$7,"Tercapai",IF(J204&gt;='13_Setting'!$H$6,"On Track","Tertinggal")))</f>
        <v/>
      </c>
      <c r="N204" s="24"/>
    </row>
    <row r="205" spans="1:14">
      <c r="A205" s="24"/>
      <c r="B205" s="24"/>
      <c r="C205" s="25"/>
      <c r="D205" s="24"/>
      <c r="E205" s="26" t="str">
        <f>IFERROR(VLOOKUP(D205,'04_Master Karyawan'!$A$5:$F$50,2,FALSE),"")</f>
        <v/>
      </c>
      <c r="F205" s="24"/>
      <c r="G205" s="26" t="str">
        <f>IFERROR(VLOOKUP(F205,'05_Master KPI'!$B$5:$G$100,2,FALSE)&amp;" ("&amp;VLOOKUP(F205,'05_Master KPI'!$B$5:$G$100,3,FALSE)&amp;")","")</f>
        <v/>
      </c>
      <c r="H205" s="26">
        <f>IFERROR(IF(B205&lt;&gt;'06_Target KPI'!$B$3,0,IF(VLOOKUP(F205,'05_Master KPI'!$B$5:$G$100,6,FALSE)="Kumulatif",INDEX('06_Target KPI'!$E$5:$P$100,MATCH(F205,'06_Target KPI'!$B$5:$B$100,0),MATCH(A205,'06_Target KPI'!$E$4:$P$4,0))*DAY(C205)/DAY(EOMONTH(C205,0)),INDEX('06_Target KPI'!$E$5:$P$100,MATCH(F205,'06_Target KPI'!$B$5:$B$100,0),MATCH(A205,'06_Target KPI'!$E$4:$P$4,0)))),0)</f>
        <v>0</v>
      </c>
      <c r="I205" s="24"/>
      <c r="J205" s="27">
        <f>IFERROR(MIN(IF(VLOOKUP(F205,'05_Master KPI'!$B$5:$G$100,5,FALSE)="Lower",H205/I205,I205/H205),1),0)</f>
        <v>0</v>
      </c>
      <c r="K205" s="26">
        <f>IFERROR(VLOOKUP(F205,'05_Master KPI'!$B$5:$G$100,4,FALSE),0)</f>
        <v>0</v>
      </c>
      <c r="L205" s="28">
        <f t="shared" si="3"/>
        <v>0</v>
      </c>
      <c r="M205" s="26" t="str">
        <f>IF(D205="","",IF(J205&gt;='13_Setting'!$H$7,"Tercapai",IF(J205&gt;='13_Setting'!$H$6,"On Track","Tertinggal")))</f>
        <v/>
      </c>
      <c r="N205" s="24"/>
    </row>
    <row r="206" spans="1:14">
      <c r="A206" s="24"/>
      <c r="B206" s="24"/>
      <c r="C206" s="25"/>
      <c r="D206" s="24"/>
      <c r="E206" s="26" t="str">
        <f>IFERROR(VLOOKUP(D206,'04_Master Karyawan'!$A$5:$F$50,2,FALSE),"")</f>
        <v/>
      </c>
      <c r="F206" s="24"/>
      <c r="G206" s="26" t="str">
        <f>IFERROR(VLOOKUP(F206,'05_Master KPI'!$B$5:$G$100,2,FALSE)&amp;" ("&amp;VLOOKUP(F206,'05_Master KPI'!$B$5:$G$100,3,FALSE)&amp;")","")</f>
        <v/>
      </c>
      <c r="H206" s="26">
        <f>IFERROR(IF(B206&lt;&gt;'06_Target KPI'!$B$3,0,IF(VLOOKUP(F206,'05_Master KPI'!$B$5:$G$100,6,FALSE)="Kumulatif",INDEX('06_Target KPI'!$E$5:$P$100,MATCH(F206,'06_Target KPI'!$B$5:$B$100,0),MATCH(A206,'06_Target KPI'!$E$4:$P$4,0))*DAY(C206)/DAY(EOMONTH(C206,0)),INDEX('06_Target KPI'!$E$5:$P$100,MATCH(F206,'06_Target KPI'!$B$5:$B$100,0),MATCH(A206,'06_Target KPI'!$E$4:$P$4,0)))),0)</f>
        <v>0</v>
      </c>
      <c r="I206" s="24"/>
      <c r="J206" s="27">
        <f>IFERROR(MIN(IF(VLOOKUP(F206,'05_Master KPI'!$B$5:$G$100,5,FALSE)="Lower",H206/I206,I206/H206),1),0)</f>
        <v>0</v>
      </c>
      <c r="K206" s="26">
        <f>IFERROR(VLOOKUP(F206,'05_Master KPI'!$B$5:$G$100,4,FALSE),0)</f>
        <v>0</v>
      </c>
      <c r="L206" s="28">
        <f t="shared" si="3"/>
        <v>0</v>
      </c>
      <c r="M206" s="26" t="str">
        <f>IF(D206="","",IF(J206&gt;='13_Setting'!$H$7,"Tercapai",IF(J206&gt;='13_Setting'!$H$6,"On Track","Tertinggal")))</f>
        <v/>
      </c>
      <c r="N206" s="24"/>
    </row>
    <row r="207" spans="1:14">
      <c r="A207" s="24"/>
      <c r="B207" s="24"/>
      <c r="C207" s="25"/>
      <c r="D207" s="24"/>
      <c r="E207" s="26" t="str">
        <f>IFERROR(VLOOKUP(D207,'04_Master Karyawan'!$A$5:$F$50,2,FALSE),"")</f>
        <v/>
      </c>
      <c r="F207" s="24"/>
      <c r="G207" s="26" t="str">
        <f>IFERROR(VLOOKUP(F207,'05_Master KPI'!$B$5:$G$100,2,FALSE)&amp;" ("&amp;VLOOKUP(F207,'05_Master KPI'!$B$5:$G$100,3,FALSE)&amp;")","")</f>
        <v/>
      </c>
      <c r="H207" s="26">
        <f>IFERROR(IF(B207&lt;&gt;'06_Target KPI'!$B$3,0,IF(VLOOKUP(F207,'05_Master KPI'!$B$5:$G$100,6,FALSE)="Kumulatif",INDEX('06_Target KPI'!$E$5:$P$100,MATCH(F207,'06_Target KPI'!$B$5:$B$100,0),MATCH(A207,'06_Target KPI'!$E$4:$P$4,0))*DAY(C207)/DAY(EOMONTH(C207,0)),INDEX('06_Target KPI'!$E$5:$P$100,MATCH(F207,'06_Target KPI'!$B$5:$B$100,0),MATCH(A207,'06_Target KPI'!$E$4:$P$4,0)))),0)</f>
        <v>0</v>
      </c>
      <c r="I207" s="24"/>
      <c r="J207" s="27">
        <f>IFERROR(MIN(IF(VLOOKUP(F207,'05_Master KPI'!$B$5:$G$100,5,FALSE)="Lower",H207/I207,I207/H207),1),0)</f>
        <v>0</v>
      </c>
      <c r="K207" s="26">
        <f>IFERROR(VLOOKUP(F207,'05_Master KPI'!$B$5:$G$100,4,FALSE),0)</f>
        <v>0</v>
      </c>
      <c r="L207" s="28">
        <f t="shared" si="3"/>
        <v>0</v>
      </c>
      <c r="M207" s="26" t="str">
        <f>IF(D207="","",IF(J207&gt;='13_Setting'!$H$7,"Tercapai",IF(J207&gt;='13_Setting'!$H$6,"On Track","Tertinggal")))</f>
        <v/>
      </c>
      <c r="N207" s="24"/>
    </row>
    <row r="208" spans="1:14">
      <c r="A208" s="24"/>
      <c r="B208" s="24"/>
      <c r="C208" s="25"/>
      <c r="D208" s="24"/>
      <c r="E208" s="26" t="str">
        <f>IFERROR(VLOOKUP(D208,'04_Master Karyawan'!$A$5:$F$50,2,FALSE),"")</f>
        <v/>
      </c>
      <c r="F208" s="24"/>
      <c r="G208" s="26" t="str">
        <f>IFERROR(VLOOKUP(F208,'05_Master KPI'!$B$5:$G$100,2,FALSE)&amp;" ("&amp;VLOOKUP(F208,'05_Master KPI'!$B$5:$G$100,3,FALSE)&amp;")","")</f>
        <v/>
      </c>
      <c r="H208" s="26">
        <f>IFERROR(IF(B208&lt;&gt;'06_Target KPI'!$B$3,0,IF(VLOOKUP(F208,'05_Master KPI'!$B$5:$G$100,6,FALSE)="Kumulatif",INDEX('06_Target KPI'!$E$5:$P$100,MATCH(F208,'06_Target KPI'!$B$5:$B$100,0),MATCH(A208,'06_Target KPI'!$E$4:$P$4,0))*DAY(C208)/DAY(EOMONTH(C208,0)),INDEX('06_Target KPI'!$E$5:$P$100,MATCH(F208,'06_Target KPI'!$B$5:$B$100,0),MATCH(A208,'06_Target KPI'!$E$4:$P$4,0)))),0)</f>
        <v>0</v>
      </c>
      <c r="I208" s="24"/>
      <c r="J208" s="27">
        <f>IFERROR(MIN(IF(VLOOKUP(F208,'05_Master KPI'!$B$5:$G$100,5,FALSE)="Lower",H208/I208,I208/H208),1),0)</f>
        <v>0</v>
      </c>
      <c r="K208" s="26">
        <f>IFERROR(VLOOKUP(F208,'05_Master KPI'!$B$5:$G$100,4,FALSE),0)</f>
        <v>0</v>
      </c>
      <c r="L208" s="28">
        <f t="shared" si="3"/>
        <v>0</v>
      </c>
      <c r="M208" s="26" t="str">
        <f>IF(D208="","",IF(J208&gt;='13_Setting'!$H$7,"Tercapai",IF(J208&gt;='13_Setting'!$H$6,"On Track","Tertinggal")))</f>
        <v/>
      </c>
      <c r="N208" s="24"/>
    </row>
    <row r="209" spans="1:14">
      <c r="A209" s="24"/>
      <c r="B209" s="24"/>
      <c r="C209" s="25"/>
      <c r="D209" s="24"/>
      <c r="E209" s="26" t="str">
        <f>IFERROR(VLOOKUP(D209,'04_Master Karyawan'!$A$5:$F$50,2,FALSE),"")</f>
        <v/>
      </c>
      <c r="F209" s="24"/>
      <c r="G209" s="26" t="str">
        <f>IFERROR(VLOOKUP(F209,'05_Master KPI'!$B$5:$G$100,2,FALSE)&amp;" ("&amp;VLOOKUP(F209,'05_Master KPI'!$B$5:$G$100,3,FALSE)&amp;")","")</f>
        <v/>
      </c>
      <c r="H209" s="26">
        <f>IFERROR(IF(B209&lt;&gt;'06_Target KPI'!$B$3,0,IF(VLOOKUP(F209,'05_Master KPI'!$B$5:$G$100,6,FALSE)="Kumulatif",INDEX('06_Target KPI'!$E$5:$P$100,MATCH(F209,'06_Target KPI'!$B$5:$B$100,0),MATCH(A209,'06_Target KPI'!$E$4:$P$4,0))*DAY(C209)/DAY(EOMONTH(C209,0)),INDEX('06_Target KPI'!$E$5:$P$100,MATCH(F209,'06_Target KPI'!$B$5:$B$100,0),MATCH(A209,'06_Target KPI'!$E$4:$P$4,0)))),0)</f>
        <v>0</v>
      </c>
      <c r="I209" s="24"/>
      <c r="J209" s="27">
        <f>IFERROR(MIN(IF(VLOOKUP(F209,'05_Master KPI'!$B$5:$G$100,5,FALSE)="Lower",H209/I209,I209/H209),1),0)</f>
        <v>0</v>
      </c>
      <c r="K209" s="26">
        <f>IFERROR(VLOOKUP(F209,'05_Master KPI'!$B$5:$G$100,4,FALSE),0)</f>
        <v>0</v>
      </c>
      <c r="L209" s="28">
        <f t="shared" si="3"/>
        <v>0</v>
      </c>
      <c r="M209" s="26" t="str">
        <f>IF(D209="","",IF(J209&gt;='13_Setting'!$H$7,"Tercapai",IF(J209&gt;='13_Setting'!$H$6,"On Track","Tertinggal")))</f>
        <v/>
      </c>
      <c r="N209" s="24"/>
    </row>
    <row r="210" spans="1:14">
      <c r="A210" s="24"/>
      <c r="B210" s="24"/>
      <c r="C210" s="25"/>
      <c r="D210" s="24"/>
      <c r="E210" s="26" t="str">
        <f>IFERROR(VLOOKUP(D210,'04_Master Karyawan'!$A$5:$F$50,2,FALSE),"")</f>
        <v/>
      </c>
      <c r="F210" s="24"/>
      <c r="G210" s="26" t="str">
        <f>IFERROR(VLOOKUP(F210,'05_Master KPI'!$B$5:$G$100,2,FALSE)&amp;" ("&amp;VLOOKUP(F210,'05_Master KPI'!$B$5:$G$100,3,FALSE)&amp;")","")</f>
        <v/>
      </c>
      <c r="H210" s="26">
        <f>IFERROR(IF(B210&lt;&gt;'06_Target KPI'!$B$3,0,IF(VLOOKUP(F210,'05_Master KPI'!$B$5:$G$100,6,FALSE)="Kumulatif",INDEX('06_Target KPI'!$E$5:$P$100,MATCH(F210,'06_Target KPI'!$B$5:$B$100,0),MATCH(A210,'06_Target KPI'!$E$4:$P$4,0))*DAY(C210)/DAY(EOMONTH(C210,0)),INDEX('06_Target KPI'!$E$5:$P$100,MATCH(F210,'06_Target KPI'!$B$5:$B$100,0),MATCH(A210,'06_Target KPI'!$E$4:$P$4,0)))),0)</f>
        <v>0</v>
      </c>
      <c r="I210" s="24"/>
      <c r="J210" s="27">
        <f>IFERROR(MIN(IF(VLOOKUP(F210,'05_Master KPI'!$B$5:$G$100,5,FALSE)="Lower",H210/I210,I210/H210),1),0)</f>
        <v>0</v>
      </c>
      <c r="K210" s="26">
        <f>IFERROR(VLOOKUP(F210,'05_Master KPI'!$B$5:$G$100,4,FALSE),0)</f>
        <v>0</v>
      </c>
      <c r="L210" s="28">
        <f t="shared" si="3"/>
        <v>0</v>
      </c>
      <c r="M210" s="26" t="str">
        <f>IF(D210="","",IF(J210&gt;='13_Setting'!$H$7,"Tercapai",IF(J210&gt;='13_Setting'!$H$6,"On Track","Tertinggal")))</f>
        <v/>
      </c>
      <c r="N210" s="24"/>
    </row>
    <row r="211" spans="1:14">
      <c r="A211" s="24"/>
      <c r="B211" s="24"/>
      <c r="C211" s="25"/>
      <c r="D211" s="24"/>
      <c r="E211" s="26" t="str">
        <f>IFERROR(VLOOKUP(D211,'04_Master Karyawan'!$A$5:$F$50,2,FALSE),"")</f>
        <v/>
      </c>
      <c r="F211" s="24"/>
      <c r="G211" s="26" t="str">
        <f>IFERROR(VLOOKUP(F211,'05_Master KPI'!$B$5:$G$100,2,FALSE)&amp;" ("&amp;VLOOKUP(F211,'05_Master KPI'!$B$5:$G$100,3,FALSE)&amp;")","")</f>
        <v/>
      </c>
      <c r="H211" s="26">
        <f>IFERROR(IF(B211&lt;&gt;'06_Target KPI'!$B$3,0,IF(VLOOKUP(F211,'05_Master KPI'!$B$5:$G$100,6,FALSE)="Kumulatif",INDEX('06_Target KPI'!$E$5:$P$100,MATCH(F211,'06_Target KPI'!$B$5:$B$100,0),MATCH(A211,'06_Target KPI'!$E$4:$P$4,0))*DAY(C211)/DAY(EOMONTH(C211,0)),INDEX('06_Target KPI'!$E$5:$P$100,MATCH(F211,'06_Target KPI'!$B$5:$B$100,0),MATCH(A211,'06_Target KPI'!$E$4:$P$4,0)))),0)</f>
        <v>0</v>
      </c>
      <c r="I211" s="24"/>
      <c r="J211" s="27">
        <f>IFERROR(MIN(IF(VLOOKUP(F211,'05_Master KPI'!$B$5:$G$100,5,FALSE)="Lower",H211/I211,I211/H211),1),0)</f>
        <v>0</v>
      </c>
      <c r="K211" s="26">
        <f>IFERROR(VLOOKUP(F211,'05_Master KPI'!$B$5:$G$100,4,FALSE),0)</f>
        <v>0</v>
      </c>
      <c r="L211" s="28">
        <f t="shared" si="3"/>
        <v>0</v>
      </c>
      <c r="M211" s="26" t="str">
        <f>IF(D211="","",IF(J211&gt;='13_Setting'!$H$7,"Tercapai",IF(J211&gt;='13_Setting'!$H$6,"On Track","Tertinggal")))</f>
        <v/>
      </c>
      <c r="N211" s="24"/>
    </row>
    <row r="212" spans="1:14">
      <c r="A212" s="24"/>
      <c r="B212" s="24"/>
      <c r="C212" s="25"/>
      <c r="D212" s="24"/>
      <c r="E212" s="26" t="str">
        <f>IFERROR(VLOOKUP(D212,'04_Master Karyawan'!$A$5:$F$50,2,FALSE),"")</f>
        <v/>
      </c>
      <c r="F212" s="24"/>
      <c r="G212" s="26" t="str">
        <f>IFERROR(VLOOKUP(F212,'05_Master KPI'!$B$5:$G$100,2,FALSE)&amp;" ("&amp;VLOOKUP(F212,'05_Master KPI'!$B$5:$G$100,3,FALSE)&amp;")","")</f>
        <v/>
      </c>
      <c r="H212" s="26">
        <f>IFERROR(IF(B212&lt;&gt;'06_Target KPI'!$B$3,0,IF(VLOOKUP(F212,'05_Master KPI'!$B$5:$G$100,6,FALSE)="Kumulatif",INDEX('06_Target KPI'!$E$5:$P$100,MATCH(F212,'06_Target KPI'!$B$5:$B$100,0),MATCH(A212,'06_Target KPI'!$E$4:$P$4,0))*DAY(C212)/DAY(EOMONTH(C212,0)),INDEX('06_Target KPI'!$E$5:$P$100,MATCH(F212,'06_Target KPI'!$B$5:$B$100,0),MATCH(A212,'06_Target KPI'!$E$4:$P$4,0)))),0)</f>
        <v>0</v>
      </c>
      <c r="I212" s="24"/>
      <c r="J212" s="27">
        <f>IFERROR(MIN(IF(VLOOKUP(F212,'05_Master KPI'!$B$5:$G$100,5,FALSE)="Lower",H212/I212,I212/H212),1),0)</f>
        <v>0</v>
      </c>
      <c r="K212" s="26">
        <f>IFERROR(VLOOKUP(F212,'05_Master KPI'!$B$5:$G$100,4,FALSE),0)</f>
        <v>0</v>
      </c>
      <c r="L212" s="28">
        <f t="shared" si="3"/>
        <v>0</v>
      </c>
      <c r="M212" s="26" t="str">
        <f>IF(D212="","",IF(J212&gt;='13_Setting'!$H$7,"Tercapai",IF(J212&gt;='13_Setting'!$H$6,"On Track","Tertinggal")))</f>
        <v/>
      </c>
      <c r="N212" s="24"/>
    </row>
    <row r="213" spans="1:14">
      <c r="A213" s="24"/>
      <c r="B213" s="24"/>
      <c r="C213" s="25"/>
      <c r="D213" s="24"/>
      <c r="E213" s="26" t="str">
        <f>IFERROR(VLOOKUP(D213,'04_Master Karyawan'!$A$5:$F$50,2,FALSE),"")</f>
        <v/>
      </c>
      <c r="F213" s="24"/>
      <c r="G213" s="26" t="str">
        <f>IFERROR(VLOOKUP(F213,'05_Master KPI'!$B$5:$G$100,2,FALSE)&amp;" ("&amp;VLOOKUP(F213,'05_Master KPI'!$B$5:$G$100,3,FALSE)&amp;")","")</f>
        <v/>
      </c>
      <c r="H213" s="26">
        <f>IFERROR(IF(B213&lt;&gt;'06_Target KPI'!$B$3,0,IF(VLOOKUP(F213,'05_Master KPI'!$B$5:$G$100,6,FALSE)="Kumulatif",INDEX('06_Target KPI'!$E$5:$P$100,MATCH(F213,'06_Target KPI'!$B$5:$B$100,0),MATCH(A213,'06_Target KPI'!$E$4:$P$4,0))*DAY(C213)/DAY(EOMONTH(C213,0)),INDEX('06_Target KPI'!$E$5:$P$100,MATCH(F213,'06_Target KPI'!$B$5:$B$100,0),MATCH(A213,'06_Target KPI'!$E$4:$P$4,0)))),0)</f>
        <v>0</v>
      </c>
      <c r="I213" s="24"/>
      <c r="J213" s="27">
        <f>IFERROR(MIN(IF(VLOOKUP(F213,'05_Master KPI'!$B$5:$G$100,5,FALSE)="Lower",H213/I213,I213/H213),1),0)</f>
        <v>0</v>
      </c>
      <c r="K213" s="26">
        <f>IFERROR(VLOOKUP(F213,'05_Master KPI'!$B$5:$G$100,4,FALSE),0)</f>
        <v>0</v>
      </c>
      <c r="L213" s="28">
        <f t="shared" si="3"/>
        <v>0</v>
      </c>
      <c r="M213" s="26" t="str">
        <f>IF(D213="","",IF(J213&gt;='13_Setting'!$H$7,"Tercapai",IF(J213&gt;='13_Setting'!$H$6,"On Track","Tertinggal")))</f>
        <v/>
      </c>
      <c r="N213" s="24"/>
    </row>
    <row r="214" spans="1:14">
      <c r="A214" s="24"/>
      <c r="B214" s="24"/>
      <c r="C214" s="25"/>
      <c r="D214" s="24"/>
      <c r="E214" s="26" t="str">
        <f>IFERROR(VLOOKUP(D214,'04_Master Karyawan'!$A$5:$F$50,2,FALSE),"")</f>
        <v/>
      </c>
      <c r="F214" s="24"/>
      <c r="G214" s="26" t="str">
        <f>IFERROR(VLOOKUP(F214,'05_Master KPI'!$B$5:$G$100,2,FALSE)&amp;" ("&amp;VLOOKUP(F214,'05_Master KPI'!$B$5:$G$100,3,FALSE)&amp;")","")</f>
        <v/>
      </c>
      <c r="H214" s="26">
        <f>IFERROR(IF(B214&lt;&gt;'06_Target KPI'!$B$3,0,IF(VLOOKUP(F214,'05_Master KPI'!$B$5:$G$100,6,FALSE)="Kumulatif",INDEX('06_Target KPI'!$E$5:$P$100,MATCH(F214,'06_Target KPI'!$B$5:$B$100,0),MATCH(A214,'06_Target KPI'!$E$4:$P$4,0))*DAY(C214)/DAY(EOMONTH(C214,0)),INDEX('06_Target KPI'!$E$5:$P$100,MATCH(F214,'06_Target KPI'!$B$5:$B$100,0),MATCH(A214,'06_Target KPI'!$E$4:$P$4,0)))),0)</f>
        <v>0</v>
      </c>
      <c r="I214" s="24"/>
      <c r="J214" s="27">
        <f>IFERROR(MIN(IF(VLOOKUP(F214,'05_Master KPI'!$B$5:$G$100,5,FALSE)="Lower",H214/I214,I214/H214),1),0)</f>
        <v>0</v>
      </c>
      <c r="K214" s="26">
        <f>IFERROR(VLOOKUP(F214,'05_Master KPI'!$B$5:$G$100,4,FALSE),0)</f>
        <v>0</v>
      </c>
      <c r="L214" s="28">
        <f t="shared" si="3"/>
        <v>0</v>
      </c>
      <c r="M214" s="26" t="str">
        <f>IF(D214="","",IF(J214&gt;='13_Setting'!$H$7,"Tercapai",IF(J214&gt;='13_Setting'!$H$6,"On Track","Tertinggal")))</f>
        <v/>
      </c>
      <c r="N214" s="24"/>
    </row>
    <row r="215" spans="1:14">
      <c r="A215" s="24"/>
      <c r="B215" s="24"/>
      <c r="C215" s="25"/>
      <c r="D215" s="24"/>
      <c r="E215" s="26" t="str">
        <f>IFERROR(VLOOKUP(D215,'04_Master Karyawan'!$A$5:$F$50,2,FALSE),"")</f>
        <v/>
      </c>
      <c r="F215" s="24"/>
      <c r="G215" s="26" t="str">
        <f>IFERROR(VLOOKUP(F215,'05_Master KPI'!$B$5:$G$100,2,FALSE)&amp;" ("&amp;VLOOKUP(F215,'05_Master KPI'!$B$5:$G$100,3,FALSE)&amp;")","")</f>
        <v/>
      </c>
      <c r="H215" s="26">
        <f>IFERROR(IF(B215&lt;&gt;'06_Target KPI'!$B$3,0,IF(VLOOKUP(F215,'05_Master KPI'!$B$5:$G$100,6,FALSE)="Kumulatif",INDEX('06_Target KPI'!$E$5:$P$100,MATCH(F215,'06_Target KPI'!$B$5:$B$100,0),MATCH(A215,'06_Target KPI'!$E$4:$P$4,0))*DAY(C215)/DAY(EOMONTH(C215,0)),INDEX('06_Target KPI'!$E$5:$P$100,MATCH(F215,'06_Target KPI'!$B$5:$B$100,0),MATCH(A215,'06_Target KPI'!$E$4:$P$4,0)))),0)</f>
        <v>0</v>
      </c>
      <c r="I215" s="24"/>
      <c r="J215" s="27">
        <f>IFERROR(MIN(IF(VLOOKUP(F215,'05_Master KPI'!$B$5:$G$100,5,FALSE)="Lower",H215/I215,I215/H215),1),0)</f>
        <v>0</v>
      </c>
      <c r="K215" s="26">
        <f>IFERROR(VLOOKUP(F215,'05_Master KPI'!$B$5:$G$100,4,FALSE),0)</f>
        <v>0</v>
      </c>
      <c r="L215" s="28">
        <f t="shared" si="3"/>
        <v>0</v>
      </c>
      <c r="M215" s="26" t="str">
        <f>IF(D215="","",IF(J215&gt;='13_Setting'!$H$7,"Tercapai",IF(J215&gt;='13_Setting'!$H$6,"On Track","Tertinggal")))</f>
        <v/>
      </c>
      <c r="N215" s="24"/>
    </row>
    <row r="216" spans="1:14">
      <c r="A216" s="24"/>
      <c r="B216" s="24"/>
      <c r="C216" s="25"/>
      <c r="D216" s="24"/>
      <c r="E216" s="26" t="str">
        <f>IFERROR(VLOOKUP(D216,'04_Master Karyawan'!$A$5:$F$50,2,FALSE),"")</f>
        <v/>
      </c>
      <c r="F216" s="24"/>
      <c r="G216" s="26" t="str">
        <f>IFERROR(VLOOKUP(F216,'05_Master KPI'!$B$5:$G$100,2,FALSE)&amp;" ("&amp;VLOOKUP(F216,'05_Master KPI'!$B$5:$G$100,3,FALSE)&amp;")","")</f>
        <v/>
      </c>
      <c r="H216" s="26">
        <f>IFERROR(IF(B216&lt;&gt;'06_Target KPI'!$B$3,0,IF(VLOOKUP(F216,'05_Master KPI'!$B$5:$G$100,6,FALSE)="Kumulatif",INDEX('06_Target KPI'!$E$5:$P$100,MATCH(F216,'06_Target KPI'!$B$5:$B$100,0),MATCH(A216,'06_Target KPI'!$E$4:$P$4,0))*DAY(C216)/DAY(EOMONTH(C216,0)),INDEX('06_Target KPI'!$E$5:$P$100,MATCH(F216,'06_Target KPI'!$B$5:$B$100,0),MATCH(A216,'06_Target KPI'!$E$4:$P$4,0)))),0)</f>
        <v>0</v>
      </c>
      <c r="I216" s="24"/>
      <c r="J216" s="27">
        <f>IFERROR(MIN(IF(VLOOKUP(F216,'05_Master KPI'!$B$5:$G$100,5,FALSE)="Lower",H216/I216,I216/H216),1),0)</f>
        <v>0</v>
      </c>
      <c r="K216" s="26">
        <f>IFERROR(VLOOKUP(F216,'05_Master KPI'!$B$5:$G$100,4,FALSE),0)</f>
        <v>0</v>
      </c>
      <c r="L216" s="28">
        <f t="shared" si="3"/>
        <v>0</v>
      </c>
      <c r="M216" s="26" t="str">
        <f>IF(D216="","",IF(J216&gt;='13_Setting'!$H$7,"Tercapai",IF(J216&gt;='13_Setting'!$H$6,"On Track","Tertinggal")))</f>
        <v/>
      </c>
      <c r="N216" s="24"/>
    </row>
    <row r="217" spans="1:14">
      <c r="A217" s="24"/>
      <c r="B217" s="24"/>
      <c r="C217" s="25"/>
      <c r="D217" s="24"/>
      <c r="E217" s="26" t="str">
        <f>IFERROR(VLOOKUP(D217,'04_Master Karyawan'!$A$5:$F$50,2,FALSE),"")</f>
        <v/>
      </c>
      <c r="F217" s="24"/>
      <c r="G217" s="26" t="str">
        <f>IFERROR(VLOOKUP(F217,'05_Master KPI'!$B$5:$G$100,2,FALSE)&amp;" ("&amp;VLOOKUP(F217,'05_Master KPI'!$B$5:$G$100,3,FALSE)&amp;")","")</f>
        <v/>
      </c>
      <c r="H217" s="26">
        <f>IFERROR(IF(B217&lt;&gt;'06_Target KPI'!$B$3,0,IF(VLOOKUP(F217,'05_Master KPI'!$B$5:$G$100,6,FALSE)="Kumulatif",INDEX('06_Target KPI'!$E$5:$P$100,MATCH(F217,'06_Target KPI'!$B$5:$B$100,0),MATCH(A217,'06_Target KPI'!$E$4:$P$4,0))*DAY(C217)/DAY(EOMONTH(C217,0)),INDEX('06_Target KPI'!$E$5:$P$100,MATCH(F217,'06_Target KPI'!$B$5:$B$100,0),MATCH(A217,'06_Target KPI'!$E$4:$P$4,0)))),0)</f>
        <v>0</v>
      </c>
      <c r="I217" s="24"/>
      <c r="J217" s="27">
        <f>IFERROR(MIN(IF(VLOOKUP(F217,'05_Master KPI'!$B$5:$G$100,5,FALSE)="Lower",H217/I217,I217/H217),1),0)</f>
        <v>0</v>
      </c>
      <c r="K217" s="26">
        <f>IFERROR(VLOOKUP(F217,'05_Master KPI'!$B$5:$G$100,4,FALSE),0)</f>
        <v>0</v>
      </c>
      <c r="L217" s="28">
        <f t="shared" si="3"/>
        <v>0</v>
      </c>
      <c r="M217" s="26" t="str">
        <f>IF(D217="","",IF(J217&gt;='13_Setting'!$H$7,"Tercapai",IF(J217&gt;='13_Setting'!$H$6,"On Track","Tertinggal")))</f>
        <v/>
      </c>
      <c r="N217" s="24"/>
    </row>
    <row r="218" spans="1:14">
      <c r="A218" s="24"/>
      <c r="B218" s="24"/>
      <c r="C218" s="25"/>
      <c r="D218" s="24"/>
      <c r="E218" s="26" t="str">
        <f>IFERROR(VLOOKUP(D218,'04_Master Karyawan'!$A$5:$F$50,2,FALSE),"")</f>
        <v/>
      </c>
      <c r="F218" s="24"/>
      <c r="G218" s="26" t="str">
        <f>IFERROR(VLOOKUP(F218,'05_Master KPI'!$B$5:$G$100,2,FALSE)&amp;" ("&amp;VLOOKUP(F218,'05_Master KPI'!$B$5:$G$100,3,FALSE)&amp;")","")</f>
        <v/>
      </c>
      <c r="H218" s="26">
        <f>IFERROR(IF(B218&lt;&gt;'06_Target KPI'!$B$3,0,IF(VLOOKUP(F218,'05_Master KPI'!$B$5:$G$100,6,FALSE)="Kumulatif",INDEX('06_Target KPI'!$E$5:$P$100,MATCH(F218,'06_Target KPI'!$B$5:$B$100,0),MATCH(A218,'06_Target KPI'!$E$4:$P$4,0))*DAY(C218)/DAY(EOMONTH(C218,0)),INDEX('06_Target KPI'!$E$5:$P$100,MATCH(F218,'06_Target KPI'!$B$5:$B$100,0),MATCH(A218,'06_Target KPI'!$E$4:$P$4,0)))),0)</f>
        <v>0</v>
      </c>
      <c r="I218" s="24"/>
      <c r="J218" s="27">
        <f>IFERROR(MIN(IF(VLOOKUP(F218,'05_Master KPI'!$B$5:$G$100,5,FALSE)="Lower",H218/I218,I218/H218),1),0)</f>
        <v>0</v>
      </c>
      <c r="K218" s="26">
        <f>IFERROR(VLOOKUP(F218,'05_Master KPI'!$B$5:$G$100,4,FALSE),0)</f>
        <v>0</v>
      </c>
      <c r="L218" s="28">
        <f t="shared" si="3"/>
        <v>0</v>
      </c>
      <c r="M218" s="26" t="str">
        <f>IF(D218="","",IF(J218&gt;='13_Setting'!$H$7,"Tercapai",IF(J218&gt;='13_Setting'!$H$6,"On Track","Tertinggal")))</f>
        <v/>
      </c>
      <c r="N218" s="24"/>
    </row>
    <row r="219" spans="1:14">
      <c r="A219" s="24"/>
      <c r="B219" s="24"/>
      <c r="C219" s="25"/>
      <c r="D219" s="24"/>
      <c r="E219" s="26" t="str">
        <f>IFERROR(VLOOKUP(D219,'04_Master Karyawan'!$A$5:$F$50,2,FALSE),"")</f>
        <v/>
      </c>
      <c r="F219" s="24"/>
      <c r="G219" s="26" t="str">
        <f>IFERROR(VLOOKUP(F219,'05_Master KPI'!$B$5:$G$100,2,FALSE)&amp;" ("&amp;VLOOKUP(F219,'05_Master KPI'!$B$5:$G$100,3,FALSE)&amp;")","")</f>
        <v/>
      </c>
      <c r="H219" s="26">
        <f>IFERROR(IF(B219&lt;&gt;'06_Target KPI'!$B$3,0,IF(VLOOKUP(F219,'05_Master KPI'!$B$5:$G$100,6,FALSE)="Kumulatif",INDEX('06_Target KPI'!$E$5:$P$100,MATCH(F219,'06_Target KPI'!$B$5:$B$100,0),MATCH(A219,'06_Target KPI'!$E$4:$P$4,0))*DAY(C219)/DAY(EOMONTH(C219,0)),INDEX('06_Target KPI'!$E$5:$P$100,MATCH(F219,'06_Target KPI'!$B$5:$B$100,0),MATCH(A219,'06_Target KPI'!$E$4:$P$4,0)))),0)</f>
        <v>0</v>
      </c>
      <c r="I219" s="24"/>
      <c r="J219" s="27">
        <f>IFERROR(MIN(IF(VLOOKUP(F219,'05_Master KPI'!$B$5:$G$100,5,FALSE)="Lower",H219/I219,I219/H219),1),0)</f>
        <v>0</v>
      </c>
      <c r="K219" s="26">
        <f>IFERROR(VLOOKUP(F219,'05_Master KPI'!$B$5:$G$100,4,FALSE),0)</f>
        <v>0</v>
      </c>
      <c r="L219" s="28">
        <f t="shared" si="3"/>
        <v>0</v>
      </c>
      <c r="M219" s="26" t="str">
        <f>IF(D219="","",IF(J219&gt;='13_Setting'!$H$7,"Tercapai",IF(J219&gt;='13_Setting'!$H$6,"On Track","Tertinggal")))</f>
        <v/>
      </c>
      <c r="N219" s="24"/>
    </row>
    <row r="220" spans="1:14">
      <c r="A220" s="24"/>
      <c r="B220" s="24"/>
      <c r="C220" s="25"/>
      <c r="D220" s="24"/>
      <c r="E220" s="26" t="str">
        <f>IFERROR(VLOOKUP(D220,'04_Master Karyawan'!$A$5:$F$50,2,FALSE),"")</f>
        <v/>
      </c>
      <c r="F220" s="24"/>
      <c r="G220" s="26" t="str">
        <f>IFERROR(VLOOKUP(F220,'05_Master KPI'!$B$5:$G$100,2,FALSE)&amp;" ("&amp;VLOOKUP(F220,'05_Master KPI'!$B$5:$G$100,3,FALSE)&amp;")","")</f>
        <v/>
      </c>
      <c r="H220" s="26">
        <f>IFERROR(IF(B220&lt;&gt;'06_Target KPI'!$B$3,0,IF(VLOOKUP(F220,'05_Master KPI'!$B$5:$G$100,6,FALSE)="Kumulatif",INDEX('06_Target KPI'!$E$5:$P$100,MATCH(F220,'06_Target KPI'!$B$5:$B$100,0),MATCH(A220,'06_Target KPI'!$E$4:$P$4,0))*DAY(C220)/DAY(EOMONTH(C220,0)),INDEX('06_Target KPI'!$E$5:$P$100,MATCH(F220,'06_Target KPI'!$B$5:$B$100,0),MATCH(A220,'06_Target KPI'!$E$4:$P$4,0)))),0)</f>
        <v>0</v>
      </c>
      <c r="I220" s="24"/>
      <c r="J220" s="27">
        <f>IFERROR(MIN(IF(VLOOKUP(F220,'05_Master KPI'!$B$5:$G$100,5,FALSE)="Lower",H220/I220,I220/H220),1),0)</f>
        <v>0</v>
      </c>
      <c r="K220" s="26">
        <f>IFERROR(VLOOKUP(F220,'05_Master KPI'!$B$5:$G$100,4,FALSE),0)</f>
        <v>0</v>
      </c>
      <c r="L220" s="28">
        <f t="shared" si="3"/>
        <v>0</v>
      </c>
      <c r="M220" s="26" t="str">
        <f>IF(D220="","",IF(J220&gt;='13_Setting'!$H$7,"Tercapai",IF(J220&gt;='13_Setting'!$H$6,"On Track","Tertinggal")))</f>
        <v/>
      </c>
      <c r="N220" s="24"/>
    </row>
    <row r="221" spans="1:14">
      <c r="A221" s="24"/>
      <c r="B221" s="24"/>
      <c r="C221" s="25"/>
      <c r="D221" s="24"/>
      <c r="E221" s="26" t="str">
        <f>IFERROR(VLOOKUP(D221,'04_Master Karyawan'!$A$5:$F$50,2,FALSE),"")</f>
        <v/>
      </c>
      <c r="F221" s="24"/>
      <c r="G221" s="26" t="str">
        <f>IFERROR(VLOOKUP(F221,'05_Master KPI'!$B$5:$G$100,2,FALSE)&amp;" ("&amp;VLOOKUP(F221,'05_Master KPI'!$B$5:$G$100,3,FALSE)&amp;")","")</f>
        <v/>
      </c>
      <c r="H221" s="26">
        <f>IFERROR(IF(B221&lt;&gt;'06_Target KPI'!$B$3,0,IF(VLOOKUP(F221,'05_Master KPI'!$B$5:$G$100,6,FALSE)="Kumulatif",INDEX('06_Target KPI'!$E$5:$P$100,MATCH(F221,'06_Target KPI'!$B$5:$B$100,0),MATCH(A221,'06_Target KPI'!$E$4:$P$4,0))*DAY(C221)/DAY(EOMONTH(C221,0)),INDEX('06_Target KPI'!$E$5:$P$100,MATCH(F221,'06_Target KPI'!$B$5:$B$100,0),MATCH(A221,'06_Target KPI'!$E$4:$P$4,0)))),0)</f>
        <v>0</v>
      </c>
      <c r="I221" s="24"/>
      <c r="J221" s="27">
        <f>IFERROR(MIN(IF(VLOOKUP(F221,'05_Master KPI'!$B$5:$G$100,5,FALSE)="Lower",H221/I221,I221/H221),1),0)</f>
        <v>0</v>
      </c>
      <c r="K221" s="26">
        <f>IFERROR(VLOOKUP(F221,'05_Master KPI'!$B$5:$G$100,4,FALSE),0)</f>
        <v>0</v>
      </c>
      <c r="L221" s="28">
        <f t="shared" si="3"/>
        <v>0</v>
      </c>
      <c r="M221" s="26" t="str">
        <f>IF(D221="","",IF(J221&gt;='13_Setting'!$H$7,"Tercapai",IF(J221&gt;='13_Setting'!$H$6,"On Track","Tertinggal")))</f>
        <v/>
      </c>
      <c r="N221" s="24"/>
    </row>
    <row r="222" spans="1:14">
      <c r="A222" s="24"/>
      <c r="B222" s="24"/>
      <c r="C222" s="25"/>
      <c r="D222" s="24"/>
      <c r="E222" s="26" t="str">
        <f>IFERROR(VLOOKUP(D222,'04_Master Karyawan'!$A$5:$F$50,2,FALSE),"")</f>
        <v/>
      </c>
      <c r="F222" s="24"/>
      <c r="G222" s="26" t="str">
        <f>IFERROR(VLOOKUP(F222,'05_Master KPI'!$B$5:$G$100,2,FALSE)&amp;" ("&amp;VLOOKUP(F222,'05_Master KPI'!$B$5:$G$100,3,FALSE)&amp;")","")</f>
        <v/>
      </c>
      <c r="H222" s="26">
        <f>IFERROR(IF(B222&lt;&gt;'06_Target KPI'!$B$3,0,IF(VLOOKUP(F222,'05_Master KPI'!$B$5:$G$100,6,FALSE)="Kumulatif",INDEX('06_Target KPI'!$E$5:$P$100,MATCH(F222,'06_Target KPI'!$B$5:$B$100,0),MATCH(A222,'06_Target KPI'!$E$4:$P$4,0))*DAY(C222)/DAY(EOMONTH(C222,0)),INDEX('06_Target KPI'!$E$5:$P$100,MATCH(F222,'06_Target KPI'!$B$5:$B$100,0),MATCH(A222,'06_Target KPI'!$E$4:$P$4,0)))),0)</f>
        <v>0</v>
      </c>
      <c r="I222" s="24"/>
      <c r="J222" s="27">
        <f>IFERROR(MIN(IF(VLOOKUP(F222,'05_Master KPI'!$B$5:$G$100,5,FALSE)="Lower",H222/I222,I222/H222),1),0)</f>
        <v>0</v>
      </c>
      <c r="K222" s="26">
        <f>IFERROR(VLOOKUP(F222,'05_Master KPI'!$B$5:$G$100,4,FALSE),0)</f>
        <v>0</v>
      </c>
      <c r="L222" s="28">
        <f t="shared" si="3"/>
        <v>0</v>
      </c>
      <c r="M222" s="26" t="str">
        <f>IF(D222="","",IF(J222&gt;='13_Setting'!$H$7,"Tercapai",IF(J222&gt;='13_Setting'!$H$6,"On Track","Tertinggal")))</f>
        <v/>
      </c>
      <c r="N222" s="24"/>
    </row>
    <row r="223" spans="1:14">
      <c r="A223" s="24"/>
      <c r="B223" s="24"/>
      <c r="C223" s="25"/>
      <c r="D223" s="24"/>
      <c r="E223" s="26" t="str">
        <f>IFERROR(VLOOKUP(D223,'04_Master Karyawan'!$A$5:$F$50,2,FALSE),"")</f>
        <v/>
      </c>
      <c r="F223" s="24"/>
      <c r="G223" s="26" t="str">
        <f>IFERROR(VLOOKUP(F223,'05_Master KPI'!$B$5:$G$100,2,FALSE)&amp;" ("&amp;VLOOKUP(F223,'05_Master KPI'!$B$5:$G$100,3,FALSE)&amp;")","")</f>
        <v/>
      </c>
      <c r="H223" s="26">
        <f>IFERROR(IF(B223&lt;&gt;'06_Target KPI'!$B$3,0,IF(VLOOKUP(F223,'05_Master KPI'!$B$5:$G$100,6,FALSE)="Kumulatif",INDEX('06_Target KPI'!$E$5:$P$100,MATCH(F223,'06_Target KPI'!$B$5:$B$100,0),MATCH(A223,'06_Target KPI'!$E$4:$P$4,0))*DAY(C223)/DAY(EOMONTH(C223,0)),INDEX('06_Target KPI'!$E$5:$P$100,MATCH(F223,'06_Target KPI'!$B$5:$B$100,0),MATCH(A223,'06_Target KPI'!$E$4:$P$4,0)))),0)</f>
        <v>0</v>
      </c>
      <c r="I223" s="24"/>
      <c r="J223" s="27">
        <f>IFERROR(MIN(IF(VLOOKUP(F223,'05_Master KPI'!$B$5:$G$100,5,FALSE)="Lower",H223/I223,I223/H223),1),0)</f>
        <v>0</v>
      </c>
      <c r="K223" s="26">
        <f>IFERROR(VLOOKUP(F223,'05_Master KPI'!$B$5:$G$100,4,FALSE),0)</f>
        <v>0</v>
      </c>
      <c r="L223" s="28">
        <f t="shared" si="3"/>
        <v>0</v>
      </c>
      <c r="M223" s="26" t="str">
        <f>IF(D223="","",IF(J223&gt;='13_Setting'!$H$7,"Tercapai",IF(J223&gt;='13_Setting'!$H$6,"On Track","Tertinggal")))</f>
        <v/>
      </c>
      <c r="N223" s="24"/>
    </row>
    <row r="224" spans="1:14">
      <c r="A224" s="24"/>
      <c r="B224" s="24"/>
      <c r="C224" s="25"/>
      <c r="D224" s="24"/>
      <c r="E224" s="26" t="str">
        <f>IFERROR(VLOOKUP(D224,'04_Master Karyawan'!$A$5:$F$50,2,FALSE),"")</f>
        <v/>
      </c>
      <c r="F224" s="24"/>
      <c r="G224" s="26" t="str">
        <f>IFERROR(VLOOKUP(F224,'05_Master KPI'!$B$5:$G$100,2,FALSE)&amp;" ("&amp;VLOOKUP(F224,'05_Master KPI'!$B$5:$G$100,3,FALSE)&amp;")","")</f>
        <v/>
      </c>
      <c r="H224" s="26">
        <f>IFERROR(IF(B224&lt;&gt;'06_Target KPI'!$B$3,0,IF(VLOOKUP(F224,'05_Master KPI'!$B$5:$G$100,6,FALSE)="Kumulatif",INDEX('06_Target KPI'!$E$5:$P$100,MATCH(F224,'06_Target KPI'!$B$5:$B$100,0),MATCH(A224,'06_Target KPI'!$E$4:$P$4,0))*DAY(C224)/DAY(EOMONTH(C224,0)),INDEX('06_Target KPI'!$E$5:$P$100,MATCH(F224,'06_Target KPI'!$B$5:$B$100,0),MATCH(A224,'06_Target KPI'!$E$4:$P$4,0)))),0)</f>
        <v>0</v>
      </c>
      <c r="I224" s="24"/>
      <c r="J224" s="27">
        <f>IFERROR(MIN(IF(VLOOKUP(F224,'05_Master KPI'!$B$5:$G$100,5,FALSE)="Lower",H224/I224,I224/H224),1),0)</f>
        <v>0</v>
      </c>
      <c r="K224" s="26">
        <f>IFERROR(VLOOKUP(F224,'05_Master KPI'!$B$5:$G$100,4,FALSE),0)</f>
        <v>0</v>
      </c>
      <c r="L224" s="28">
        <f t="shared" si="3"/>
        <v>0</v>
      </c>
      <c r="M224" s="26" t="str">
        <f>IF(D224="","",IF(J224&gt;='13_Setting'!$H$7,"Tercapai",IF(J224&gt;='13_Setting'!$H$6,"On Track","Tertinggal")))</f>
        <v/>
      </c>
      <c r="N224" s="24"/>
    </row>
    <row r="225" spans="1:14">
      <c r="A225" s="24"/>
      <c r="B225" s="24"/>
      <c r="C225" s="25"/>
      <c r="D225" s="24"/>
      <c r="E225" s="26" t="str">
        <f>IFERROR(VLOOKUP(D225,'04_Master Karyawan'!$A$5:$F$50,2,FALSE),"")</f>
        <v/>
      </c>
      <c r="F225" s="24"/>
      <c r="G225" s="26" t="str">
        <f>IFERROR(VLOOKUP(F225,'05_Master KPI'!$B$5:$G$100,2,FALSE)&amp;" ("&amp;VLOOKUP(F225,'05_Master KPI'!$B$5:$G$100,3,FALSE)&amp;")","")</f>
        <v/>
      </c>
      <c r="H225" s="26">
        <f>IFERROR(IF(B225&lt;&gt;'06_Target KPI'!$B$3,0,IF(VLOOKUP(F225,'05_Master KPI'!$B$5:$G$100,6,FALSE)="Kumulatif",INDEX('06_Target KPI'!$E$5:$P$100,MATCH(F225,'06_Target KPI'!$B$5:$B$100,0),MATCH(A225,'06_Target KPI'!$E$4:$P$4,0))*DAY(C225)/DAY(EOMONTH(C225,0)),INDEX('06_Target KPI'!$E$5:$P$100,MATCH(F225,'06_Target KPI'!$B$5:$B$100,0),MATCH(A225,'06_Target KPI'!$E$4:$P$4,0)))),0)</f>
        <v>0</v>
      </c>
      <c r="I225" s="24"/>
      <c r="J225" s="27">
        <f>IFERROR(MIN(IF(VLOOKUP(F225,'05_Master KPI'!$B$5:$G$100,5,FALSE)="Lower",H225/I225,I225/H225),1),0)</f>
        <v>0</v>
      </c>
      <c r="K225" s="26">
        <f>IFERROR(VLOOKUP(F225,'05_Master KPI'!$B$5:$G$100,4,FALSE),0)</f>
        <v>0</v>
      </c>
      <c r="L225" s="28">
        <f t="shared" si="3"/>
        <v>0</v>
      </c>
      <c r="M225" s="26" t="str">
        <f>IF(D225="","",IF(J225&gt;='13_Setting'!$H$7,"Tercapai",IF(J225&gt;='13_Setting'!$H$6,"On Track","Tertinggal")))</f>
        <v/>
      </c>
      <c r="N225" s="24"/>
    </row>
    <row r="226" spans="1:14">
      <c r="A226" s="24"/>
      <c r="B226" s="24"/>
      <c r="C226" s="25"/>
      <c r="D226" s="24"/>
      <c r="E226" s="26" t="str">
        <f>IFERROR(VLOOKUP(D226,'04_Master Karyawan'!$A$5:$F$50,2,FALSE),"")</f>
        <v/>
      </c>
      <c r="F226" s="24"/>
      <c r="G226" s="26" t="str">
        <f>IFERROR(VLOOKUP(F226,'05_Master KPI'!$B$5:$G$100,2,FALSE)&amp;" ("&amp;VLOOKUP(F226,'05_Master KPI'!$B$5:$G$100,3,FALSE)&amp;")","")</f>
        <v/>
      </c>
      <c r="H226" s="26">
        <f>IFERROR(IF(B226&lt;&gt;'06_Target KPI'!$B$3,0,IF(VLOOKUP(F226,'05_Master KPI'!$B$5:$G$100,6,FALSE)="Kumulatif",INDEX('06_Target KPI'!$E$5:$P$100,MATCH(F226,'06_Target KPI'!$B$5:$B$100,0),MATCH(A226,'06_Target KPI'!$E$4:$P$4,0))*DAY(C226)/DAY(EOMONTH(C226,0)),INDEX('06_Target KPI'!$E$5:$P$100,MATCH(F226,'06_Target KPI'!$B$5:$B$100,0),MATCH(A226,'06_Target KPI'!$E$4:$P$4,0)))),0)</f>
        <v>0</v>
      </c>
      <c r="I226" s="24"/>
      <c r="J226" s="27">
        <f>IFERROR(MIN(IF(VLOOKUP(F226,'05_Master KPI'!$B$5:$G$100,5,FALSE)="Lower",H226/I226,I226/H226),1),0)</f>
        <v>0</v>
      </c>
      <c r="K226" s="26">
        <f>IFERROR(VLOOKUP(F226,'05_Master KPI'!$B$5:$G$100,4,FALSE),0)</f>
        <v>0</v>
      </c>
      <c r="L226" s="28">
        <f t="shared" si="3"/>
        <v>0</v>
      </c>
      <c r="M226" s="26" t="str">
        <f>IF(D226="","",IF(J226&gt;='13_Setting'!$H$7,"Tercapai",IF(J226&gt;='13_Setting'!$H$6,"On Track","Tertinggal")))</f>
        <v/>
      </c>
      <c r="N226" s="24"/>
    </row>
    <row r="227" spans="1:14">
      <c r="A227" s="24"/>
      <c r="B227" s="24"/>
      <c r="C227" s="25"/>
      <c r="D227" s="24"/>
      <c r="E227" s="26" t="str">
        <f>IFERROR(VLOOKUP(D227,'04_Master Karyawan'!$A$5:$F$50,2,FALSE),"")</f>
        <v/>
      </c>
      <c r="F227" s="24"/>
      <c r="G227" s="26" t="str">
        <f>IFERROR(VLOOKUP(F227,'05_Master KPI'!$B$5:$G$100,2,FALSE)&amp;" ("&amp;VLOOKUP(F227,'05_Master KPI'!$B$5:$G$100,3,FALSE)&amp;")","")</f>
        <v/>
      </c>
      <c r="H227" s="26">
        <f>IFERROR(IF(B227&lt;&gt;'06_Target KPI'!$B$3,0,IF(VLOOKUP(F227,'05_Master KPI'!$B$5:$G$100,6,FALSE)="Kumulatif",INDEX('06_Target KPI'!$E$5:$P$100,MATCH(F227,'06_Target KPI'!$B$5:$B$100,0),MATCH(A227,'06_Target KPI'!$E$4:$P$4,0))*DAY(C227)/DAY(EOMONTH(C227,0)),INDEX('06_Target KPI'!$E$5:$P$100,MATCH(F227,'06_Target KPI'!$B$5:$B$100,0),MATCH(A227,'06_Target KPI'!$E$4:$P$4,0)))),0)</f>
        <v>0</v>
      </c>
      <c r="I227" s="24"/>
      <c r="J227" s="27">
        <f>IFERROR(MIN(IF(VLOOKUP(F227,'05_Master KPI'!$B$5:$G$100,5,FALSE)="Lower",H227/I227,I227/H227),1),0)</f>
        <v>0</v>
      </c>
      <c r="K227" s="26">
        <f>IFERROR(VLOOKUP(F227,'05_Master KPI'!$B$5:$G$100,4,FALSE),0)</f>
        <v>0</v>
      </c>
      <c r="L227" s="28">
        <f t="shared" si="3"/>
        <v>0</v>
      </c>
      <c r="M227" s="26" t="str">
        <f>IF(D227="","",IF(J227&gt;='13_Setting'!$H$7,"Tercapai",IF(J227&gt;='13_Setting'!$H$6,"On Track","Tertinggal")))</f>
        <v/>
      </c>
      <c r="N227" s="24"/>
    </row>
    <row r="228" spans="1:14">
      <c r="A228" s="24"/>
      <c r="B228" s="24"/>
      <c r="C228" s="25"/>
      <c r="D228" s="24"/>
      <c r="E228" s="26" t="str">
        <f>IFERROR(VLOOKUP(D228,'04_Master Karyawan'!$A$5:$F$50,2,FALSE),"")</f>
        <v/>
      </c>
      <c r="F228" s="24"/>
      <c r="G228" s="26" t="str">
        <f>IFERROR(VLOOKUP(F228,'05_Master KPI'!$B$5:$G$100,2,FALSE)&amp;" ("&amp;VLOOKUP(F228,'05_Master KPI'!$B$5:$G$100,3,FALSE)&amp;")","")</f>
        <v/>
      </c>
      <c r="H228" s="26">
        <f>IFERROR(IF(B228&lt;&gt;'06_Target KPI'!$B$3,0,IF(VLOOKUP(F228,'05_Master KPI'!$B$5:$G$100,6,FALSE)="Kumulatif",INDEX('06_Target KPI'!$E$5:$P$100,MATCH(F228,'06_Target KPI'!$B$5:$B$100,0),MATCH(A228,'06_Target KPI'!$E$4:$P$4,0))*DAY(C228)/DAY(EOMONTH(C228,0)),INDEX('06_Target KPI'!$E$5:$P$100,MATCH(F228,'06_Target KPI'!$B$5:$B$100,0),MATCH(A228,'06_Target KPI'!$E$4:$P$4,0)))),0)</f>
        <v>0</v>
      </c>
      <c r="I228" s="24"/>
      <c r="J228" s="27">
        <f>IFERROR(MIN(IF(VLOOKUP(F228,'05_Master KPI'!$B$5:$G$100,5,FALSE)="Lower",H228/I228,I228/H228),1),0)</f>
        <v>0</v>
      </c>
      <c r="K228" s="26">
        <f>IFERROR(VLOOKUP(F228,'05_Master KPI'!$B$5:$G$100,4,FALSE),0)</f>
        <v>0</v>
      </c>
      <c r="L228" s="28">
        <f t="shared" si="3"/>
        <v>0</v>
      </c>
      <c r="M228" s="26" t="str">
        <f>IF(D228="","",IF(J228&gt;='13_Setting'!$H$7,"Tercapai",IF(J228&gt;='13_Setting'!$H$6,"On Track","Tertinggal")))</f>
        <v/>
      </c>
      <c r="N228" s="24"/>
    </row>
    <row r="229" spans="1:14">
      <c r="A229" s="24"/>
      <c r="B229" s="24"/>
      <c r="C229" s="25"/>
      <c r="D229" s="24"/>
      <c r="E229" s="26" t="str">
        <f>IFERROR(VLOOKUP(D229,'04_Master Karyawan'!$A$5:$F$50,2,FALSE),"")</f>
        <v/>
      </c>
      <c r="F229" s="24"/>
      <c r="G229" s="26" t="str">
        <f>IFERROR(VLOOKUP(F229,'05_Master KPI'!$B$5:$G$100,2,FALSE)&amp;" ("&amp;VLOOKUP(F229,'05_Master KPI'!$B$5:$G$100,3,FALSE)&amp;")","")</f>
        <v/>
      </c>
      <c r="H229" s="26">
        <f>IFERROR(IF(B229&lt;&gt;'06_Target KPI'!$B$3,0,IF(VLOOKUP(F229,'05_Master KPI'!$B$5:$G$100,6,FALSE)="Kumulatif",INDEX('06_Target KPI'!$E$5:$P$100,MATCH(F229,'06_Target KPI'!$B$5:$B$100,0),MATCH(A229,'06_Target KPI'!$E$4:$P$4,0))*DAY(C229)/DAY(EOMONTH(C229,0)),INDEX('06_Target KPI'!$E$5:$P$100,MATCH(F229,'06_Target KPI'!$B$5:$B$100,0),MATCH(A229,'06_Target KPI'!$E$4:$P$4,0)))),0)</f>
        <v>0</v>
      </c>
      <c r="I229" s="24"/>
      <c r="J229" s="27">
        <f>IFERROR(MIN(IF(VLOOKUP(F229,'05_Master KPI'!$B$5:$G$100,5,FALSE)="Lower",H229/I229,I229/H229),1),0)</f>
        <v>0</v>
      </c>
      <c r="K229" s="26">
        <f>IFERROR(VLOOKUP(F229,'05_Master KPI'!$B$5:$G$100,4,FALSE),0)</f>
        <v>0</v>
      </c>
      <c r="L229" s="28">
        <f t="shared" si="3"/>
        <v>0</v>
      </c>
      <c r="M229" s="26" t="str">
        <f>IF(D229="","",IF(J229&gt;='13_Setting'!$H$7,"Tercapai",IF(J229&gt;='13_Setting'!$H$6,"On Track","Tertinggal")))</f>
        <v/>
      </c>
      <c r="N229" s="24"/>
    </row>
    <row r="230" spans="1:14">
      <c r="A230" s="24"/>
      <c r="B230" s="24"/>
      <c r="C230" s="25"/>
      <c r="D230" s="24"/>
      <c r="E230" s="26" t="str">
        <f>IFERROR(VLOOKUP(D230,'04_Master Karyawan'!$A$5:$F$50,2,FALSE),"")</f>
        <v/>
      </c>
      <c r="F230" s="24"/>
      <c r="G230" s="26" t="str">
        <f>IFERROR(VLOOKUP(F230,'05_Master KPI'!$B$5:$G$100,2,FALSE)&amp;" ("&amp;VLOOKUP(F230,'05_Master KPI'!$B$5:$G$100,3,FALSE)&amp;")","")</f>
        <v/>
      </c>
      <c r="H230" s="26">
        <f>IFERROR(IF(B230&lt;&gt;'06_Target KPI'!$B$3,0,IF(VLOOKUP(F230,'05_Master KPI'!$B$5:$G$100,6,FALSE)="Kumulatif",INDEX('06_Target KPI'!$E$5:$P$100,MATCH(F230,'06_Target KPI'!$B$5:$B$100,0),MATCH(A230,'06_Target KPI'!$E$4:$P$4,0))*DAY(C230)/DAY(EOMONTH(C230,0)),INDEX('06_Target KPI'!$E$5:$P$100,MATCH(F230,'06_Target KPI'!$B$5:$B$100,0),MATCH(A230,'06_Target KPI'!$E$4:$P$4,0)))),0)</f>
        <v>0</v>
      </c>
      <c r="I230" s="24"/>
      <c r="J230" s="27">
        <f>IFERROR(MIN(IF(VLOOKUP(F230,'05_Master KPI'!$B$5:$G$100,5,FALSE)="Lower",H230/I230,I230/H230),1),0)</f>
        <v>0</v>
      </c>
      <c r="K230" s="26">
        <f>IFERROR(VLOOKUP(F230,'05_Master KPI'!$B$5:$G$100,4,FALSE),0)</f>
        <v>0</v>
      </c>
      <c r="L230" s="28">
        <f t="shared" si="3"/>
        <v>0</v>
      </c>
      <c r="M230" s="26" t="str">
        <f>IF(D230="","",IF(J230&gt;='13_Setting'!$H$7,"Tercapai",IF(J230&gt;='13_Setting'!$H$6,"On Track","Tertinggal")))</f>
        <v/>
      </c>
      <c r="N230" s="24"/>
    </row>
    <row r="231" spans="1:14">
      <c r="A231" s="24"/>
      <c r="B231" s="24"/>
      <c r="C231" s="25"/>
      <c r="D231" s="24"/>
      <c r="E231" s="26" t="str">
        <f>IFERROR(VLOOKUP(D231,'04_Master Karyawan'!$A$5:$F$50,2,FALSE),"")</f>
        <v/>
      </c>
      <c r="F231" s="24"/>
      <c r="G231" s="26" t="str">
        <f>IFERROR(VLOOKUP(F231,'05_Master KPI'!$B$5:$G$100,2,FALSE)&amp;" ("&amp;VLOOKUP(F231,'05_Master KPI'!$B$5:$G$100,3,FALSE)&amp;")","")</f>
        <v/>
      </c>
      <c r="H231" s="26">
        <f>IFERROR(IF(B231&lt;&gt;'06_Target KPI'!$B$3,0,IF(VLOOKUP(F231,'05_Master KPI'!$B$5:$G$100,6,FALSE)="Kumulatif",INDEX('06_Target KPI'!$E$5:$P$100,MATCH(F231,'06_Target KPI'!$B$5:$B$100,0),MATCH(A231,'06_Target KPI'!$E$4:$P$4,0))*DAY(C231)/DAY(EOMONTH(C231,0)),INDEX('06_Target KPI'!$E$5:$P$100,MATCH(F231,'06_Target KPI'!$B$5:$B$100,0),MATCH(A231,'06_Target KPI'!$E$4:$P$4,0)))),0)</f>
        <v>0</v>
      </c>
      <c r="I231" s="24"/>
      <c r="J231" s="27">
        <f>IFERROR(MIN(IF(VLOOKUP(F231,'05_Master KPI'!$B$5:$G$100,5,FALSE)="Lower",H231/I231,I231/H231),1),0)</f>
        <v>0</v>
      </c>
      <c r="K231" s="26">
        <f>IFERROR(VLOOKUP(F231,'05_Master KPI'!$B$5:$G$100,4,FALSE),0)</f>
        <v>0</v>
      </c>
      <c r="L231" s="28">
        <f t="shared" si="3"/>
        <v>0</v>
      </c>
      <c r="M231" s="26" t="str">
        <f>IF(D231="","",IF(J231&gt;='13_Setting'!$H$7,"Tercapai",IF(J231&gt;='13_Setting'!$H$6,"On Track","Tertinggal")))</f>
        <v/>
      </c>
      <c r="N231" s="24"/>
    </row>
    <row r="232" spans="1:14">
      <c r="A232" s="24"/>
      <c r="B232" s="24"/>
      <c r="C232" s="25"/>
      <c r="D232" s="24"/>
      <c r="E232" s="26" t="str">
        <f>IFERROR(VLOOKUP(D232,'04_Master Karyawan'!$A$5:$F$50,2,FALSE),"")</f>
        <v/>
      </c>
      <c r="F232" s="24"/>
      <c r="G232" s="26" t="str">
        <f>IFERROR(VLOOKUP(F232,'05_Master KPI'!$B$5:$G$100,2,FALSE)&amp;" ("&amp;VLOOKUP(F232,'05_Master KPI'!$B$5:$G$100,3,FALSE)&amp;")","")</f>
        <v/>
      </c>
      <c r="H232" s="26">
        <f>IFERROR(IF(B232&lt;&gt;'06_Target KPI'!$B$3,0,IF(VLOOKUP(F232,'05_Master KPI'!$B$5:$G$100,6,FALSE)="Kumulatif",INDEX('06_Target KPI'!$E$5:$P$100,MATCH(F232,'06_Target KPI'!$B$5:$B$100,0),MATCH(A232,'06_Target KPI'!$E$4:$P$4,0))*DAY(C232)/DAY(EOMONTH(C232,0)),INDEX('06_Target KPI'!$E$5:$P$100,MATCH(F232,'06_Target KPI'!$B$5:$B$100,0),MATCH(A232,'06_Target KPI'!$E$4:$P$4,0)))),0)</f>
        <v>0</v>
      </c>
      <c r="I232" s="24"/>
      <c r="J232" s="27">
        <f>IFERROR(MIN(IF(VLOOKUP(F232,'05_Master KPI'!$B$5:$G$100,5,FALSE)="Lower",H232/I232,I232/H232),1),0)</f>
        <v>0</v>
      </c>
      <c r="K232" s="26">
        <f>IFERROR(VLOOKUP(F232,'05_Master KPI'!$B$5:$G$100,4,FALSE),0)</f>
        <v>0</v>
      </c>
      <c r="L232" s="28">
        <f t="shared" si="3"/>
        <v>0</v>
      </c>
      <c r="M232" s="26" t="str">
        <f>IF(D232="","",IF(J232&gt;='13_Setting'!$H$7,"Tercapai",IF(J232&gt;='13_Setting'!$H$6,"On Track","Tertinggal")))</f>
        <v/>
      </c>
      <c r="N232" s="24"/>
    </row>
    <row r="233" spans="1:14">
      <c r="A233" s="24"/>
      <c r="B233" s="24"/>
      <c r="C233" s="25"/>
      <c r="D233" s="24"/>
      <c r="E233" s="26" t="str">
        <f>IFERROR(VLOOKUP(D233,'04_Master Karyawan'!$A$5:$F$50,2,FALSE),"")</f>
        <v/>
      </c>
      <c r="F233" s="24"/>
      <c r="G233" s="26" t="str">
        <f>IFERROR(VLOOKUP(F233,'05_Master KPI'!$B$5:$G$100,2,FALSE)&amp;" ("&amp;VLOOKUP(F233,'05_Master KPI'!$B$5:$G$100,3,FALSE)&amp;")","")</f>
        <v/>
      </c>
      <c r="H233" s="26">
        <f>IFERROR(IF(B233&lt;&gt;'06_Target KPI'!$B$3,0,IF(VLOOKUP(F233,'05_Master KPI'!$B$5:$G$100,6,FALSE)="Kumulatif",INDEX('06_Target KPI'!$E$5:$P$100,MATCH(F233,'06_Target KPI'!$B$5:$B$100,0),MATCH(A233,'06_Target KPI'!$E$4:$P$4,0))*DAY(C233)/DAY(EOMONTH(C233,0)),INDEX('06_Target KPI'!$E$5:$P$100,MATCH(F233,'06_Target KPI'!$B$5:$B$100,0),MATCH(A233,'06_Target KPI'!$E$4:$P$4,0)))),0)</f>
        <v>0</v>
      </c>
      <c r="I233" s="24"/>
      <c r="J233" s="27">
        <f>IFERROR(MIN(IF(VLOOKUP(F233,'05_Master KPI'!$B$5:$G$100,5,FALSE)="Lower",H233/I233,I233/H233),1),0)</f>
        <v>0</v>
      </c>
      <c r="K233" s="26">
        <f>IFERROR(VLOOKUP(F233,'05_Master KPI'!$B$5:$G$100,4,FALSE),0)</f>
        <v>0</v>
      </c>
      <c r="L233" s="28">
        <f t="shared" si="3"/>
        <v>0</v>
      </c>
      <c r="M233" s="26" t="str">
        <f>IF(D233="","",IF(J233&gt;='13_Setting'!$H$7,"Tercapai",IF(J233&gt;='13_Setting'!$H$6,"On Track","Tertinggal")))</f>
        <v/>
      </c>
      <c r="N233" s="24"/>
    </row>
    <row r="234" spans="1:14">
      <c r="A234" s="24"/>
      <c r="B234" s="24"/>
      <c r="C234" s="25"/>
      <c r="D234" s="24"/>
      <c r="E234" s="26" t="str">
        <f>IFERROR(VLOOKUP(D234,'04_Master Karyawan'!$A$5:$F$50,2,FALSE),"")</f>
        <v/>
      </c>
      <c r="F234" s="24"/>
      <c r="G234" s="26" t="str">
        <f>IFERROR(VLOOKUP(F234,'05_Master KPI'!$B$5:$G$100,2,FALSE)&amp;" ("&amp;VLOOKUP(F234,'05_Master KPI'!$B$5:$G$100,3,FALSE)&amp;")","")</f>
        <v/>
      </c>
      <c r="H234" s="26">
        <f>IFERROR(IF(B234&lt;&gt;'06_Target KPI'!$B$3,0,IF(VLOOKUP(F234,'05_Master KPI'!$B$5:$G$100,6,FALSE)="Kumulatif",INDEX('06_Target KPI'!$E$5:$P$100,MATCH(F234,'06_Target KPI'!$B$5:$B$100,0),MATCH(A234,'06_Target KPI'!$E$4:$P$4,0))*DAY(C234)/DAY(EOMONTH(C234,0)),INDEX('06_Target KPI'!$E$5:$P$100,MATCH(F234,'06_Target KPI'!$B$5:$B$100,0),MATCH(A234,'06_Target KPI'!$E$4:$P$4,0)))),0)</f>
        <v>0</v>
      </c>
      <c r="I234" s="24"/>
      <c r="J234" s="27">
        <f>IFERROR(MIN(IF(VLOOKUP(F234,'05_Master KPI'!$B$5:$G$100,5,FALSE)="Lower",H234/I234,I234/H234),1),0)</f>
        <v>0</v>
      </c>
      <c r="K234" s="26">
        <f>IFERROR(VLOOKUP(F234,'05_Master KPI'!$B$5:$G$100,4,FALSE),0)</f>
        <v>0</v>
      </c>
      <c r="L234" s="28">
        <f t="shared" si="3"/>
        <v>0</v>
      </c>
      <c r="M234" s="26" t="str">
        <f>IF(D234="","",IF(J234&gt;='13_Setting'!$H$7,"Tercapai",IF(J234&gt;='13_Setting'!$H$6,"On Track","Tertinggal")))</f>
        <v/>
      </c>
      <c r="N234" s="24"/>
    </row>
    <row r="235" spans="1:14">
      <c r="A235" s="24"/>
      <c r="B235" s="24"/>
      <c r="C235" s="25"/>
      <c r="D235" s="24"/>
      <c r="E235" s="26" t="str">
        <f>IFERROR(VLOOKUP(D235,'04_Master Karyawan'!$A$5:$F$50,2,FALSE),"")</f>
        <v/>
      </c>
      <c r="F235" s="24"/>
      <c r="G235" s="26" t="str">
        <f>IFERROR(VLOOKUP(F235,'05_Master KPI'!$B$5:$G$100,2,FALSE)&amp;" ("&amp;VLOOKUP(F235,'05_Master KPI'!$B$5:$G$100,3,FALSE)&amp;")","")</f>
        <v/>
      </c>
      <c r="H235" s="26">
        <f>IFERROR(IF(B235&lt;&gt;'06_Target KPI'!$B$3,0,IF(VLOOKUP(F235,'05_Master KPI'!$B$5:$G$100,6,FALSE)="Kumulatif",INDEX('06_Target KPI'!$E$5:$P$100,MATCH(F235,'06_Target KPI'!$B$5:$B$100,0),MATCH(A235,'06_Target KPI'!$E$4:$P$4,0))*DAY(C235)/DAY(EOMONTH(C235,0)),INDEX('06_Target KPI'!$E$5:$P$100,MATCH(F235,'06_Target KPI'!$B$5:$B$100,0),MATCH(A235,'06_Target KPI'!$E$4:$P$4,0)))),0)</f>
        <v>0</v>
      </c>
      <c r="I235" s="24"/>
      <c r="J235" s="27">
        <f>IFERROR(MIN(IF(VLOOKUP(F235,'05_Master KPI'!$B$5:$G$100,5,FALSE)="Lower",H235/I235,I235/H235),1),0)</f>
        <v>0</v>
      </c>
      <c r="K235" s="26">
        <f>IFERROR(VLOOKUP(F235,'05_Master KPI'!$B$5:$G$100,4,FALSE),0)</f>
        <v>0</v>
      </c>
      <c r="L235" s="28">
        <f t="shared" si="3"/>
        <v>0</v>
      </c>
      <c r="M235" s="26" t="str">
        <f>IF(D235="","",IF(J235&gt;='13_Setting'!$H$7,"Tercapai",IF(J235&gt;='13_Setting'!$H$6,"On Track","Tertinggal")))</f>
        <v/>
      </c>
      <c r="N235" s="24"/>
    </row>
    <row r="236" spans="1:14">
      <c r="A236" s="24"/>
      <c r="B236" s="24"/>
      <c r="C236" s="25"/>
      <c r="D236" s="24"/>
      <c r="E236" s="26" t="str">
        <f>IFERROR(VLOOKUP(D236,'04_Master Karyawan'!$A$5:$F$50,2,FALSE),"")</f>
        <v/>
      </c>
      <c r="F236" s="24"/>
      <c r="G236" s="26" t="str">
        <f>IFERROR(VLOOKUP(F236,'05_Master KPI'!$B$5:$G$100,2,FALSE)&amp;" ("&amp;VLOOKUP(F236,'05_Master KPI'!$B$5:$G$100,3,FALSE)&amp;")","")</f>
        <v/>
      </c>
      <c r="H236" s="26">
        <f>IFERROR(IF(B236&lt;&gt;'06_Target KPI'!$B$3,0,IF(VLOOKUP(F236,'05_Master KPI'!$B$5:$G$100,6,FALSE)="Kumulatif",INDEX('06_Target KPI'!$E$5:$P$100,MATCH(F236,'06_Target KPI'!$B$5:$B$100,0),MATCH(A236,'06_Target KPI'!$E$4:$P$4,0))*DAY(C236)/DAY(EOMONTH(C236,0)),INDEX('06_Target KPI'!$E$5:$P$100,MATCH(F236,'06_Target KPI'!$B$5:$B$100,0),MATCH(A236,'06_Target KPI'!$E$4:$P$4,0)))),0)</f>
        <v>0</v>
      </c>
      <c r="I236" s="24"/>
      <c r="J236" s="27">
        <f>IFERROR(MIN(IF(VLOOKUP(F236,'05_Master KPI'!$B$5:$G$100,5,FALSE)="Lower",H236/I236,I236/H236),1),0)</f>
        <v>0</v>
      </c>
      <c r="K236" s="26">
        <f>IFERROR(VLOOKUP(F236,'05_Master KPI'!$B$5:$G$100,4,FALSE),0)</f>
        <v>0</v>
      </c>
      <c r="L236" s="28">
        <f t="shared" si="3"/>
        <v>0</v>
      </c>
      <c r="M236" s="26" t="str">
        <f>IF(D236="","",IF(J236&gt;='13_Setting'!$H$7,"Tercapai",IF(J236&gt;='13_Setting'!$H$6,"On Track","Tertinggal")))</f>
        <v/>
      </c>
      <c r="N236" s="24"/>
    </row>
    <row r="237" spans="1:14">
      <c r="A237" s="24"/>
      <c r="B237" s="24"/>
      <c r="C237" s="25"/>
      <c r="D237" s="24"/>
      <c r="E237" s="26" t="str">
        <f>IFERROR(VLOOKUP(D237,'04_Master Karyawan'!$A$5:$F$50,2,FALSE),"")</f>
        <v/>
      </c>
      <c r="F237" s="24"/>
      <c r="G237" s="26" t="str">
        <f>IFERROR(VLOOKUP(F237,'05_Master KPI'!$B$5:$G$100,2,FALSE)&amp;" ("&amp;VLOOKUP(F237,'05_Master KPI'!$B$5:$G$100,3,FALSE)&amp;")","")</f>
        <v/>
      </c>
      <c r="H237" s="26">
        <f>IFERROR(IF(B237&lt;&gt;'06_Target KPI'!$B$3,0,IF(VLOOKUP(F237,'05_Master KPI'!$B$5:$G$100,6,FALSE)="Kumulatif",INDEX('06_Target KPI'!$E$5:$P$100,MATCH(F237,'06_Target KPI'!$B$5:$B$100,0),MATCH(A237,'06_Target KPI'!$E$4:$P$4,0))*DAY(C237)/DAY(EOMONTH(C237,0)),INDEX('06_Target KPI'!$E$5:$P$100,MATCH(F237,'06_Target KPI'!$B$5:$B$100,0),MATCH(A237,'06_Target KPI'!$E$4:$P$4,0)))),0)</f>
        <v>0</v>
      </c>
      <c r="I237" s="24"/>
      <c r="J237" s="27">
        <f>IFERROR(MIN(IF(VLOOKUP(F237,'05_Master KPI'!$B$5:$G$100,5,FALSE)="Lower",H237/I237,I237/H237),1),0)</f>
        <v>0</v>
      </c>
      <c r="K237" s="26">
        <f>IFERROR(VLOOKUP(F237,'05_Master KPI'!$B$5:$G$100,4,FALSE),0)</f>
        <v>0</v>
      </c>
      <c r="L237" s="28">
        <f t="shared" si="3"/>
        <v>0</v>
      </c>
      <c r="M237" s="26" t="str">
        <f>IF(D237="","",IF(J237&gt;='13_Setting'!$H$7,"Tercapai",IF(J237&gt;='13_Setting'!$H$6,"On Track","Tertinggal")))</f>
        <v/>
      </c>
      <c r="N237" s="24"/>
    </row>
    <row r="238" spans="1:14">
      <c r="A238" s="24"/>
      <c r="B238" s="24"/>
      <c r="C238" s="25"/>
      <c r="D238" s="24"/>
      <c r="E238" s="26" t="str">
        <f>IFERROR(VLOOKUP(D238,'04_Master Karyawan'!$A$5:$F$50,2,FALSE),"")</f>
        <v/>
      </c>
      <c r="F238" s="24"/>
      <c r="G238" s="26" t="str">
        <f>IFERROR(VLOOKUP(F238,'05_Master KPI'!$B$5:$G$100,2,FALSE)&amp;" ("&amp;VLOOKUP(F238,'05_Master KPI'!$B$5:$G$100,3,FALSE)&amp;")","")</f>
        <v/>
      </c>
      <c r="H238" s="26">
        <f>IFERROR(IF(B238&lt;&gt;'06_Target KPI'!$B$3,0,IF(VLOOKUP(F238,'05_Master KPI'!$B$5:$G$100,6,FALSE)="Kumulatif",INDEX('06_Target KPI'!$E$5:$P$100,MATCH(F238,'06_Target KPI'!$B$5:$B$100,0),MATCH(A238,'06_Target KPI'!$E$4:$P$4,0))*DAY(C238)/DAY(EOMONTH(C238,0)),INDEX('06_Target KPI'!$E$5:$P$100,MATCH(F238,'06_Target KPI'!$B$5:$B$100,0),MATCH(A238,'06_Target KPI'!$E$4:$P$4,0)))),0)</f>
        <v>0</v>
      </c>
      <c r="I238" s="24"/>
      <c r="J238" s="27">
        <f>IFERROR(MIN(IF(VLOOKUP(F238,'05_Master KPI'!$B$5:$G$100,5,FALSE)="Lower",H238/I238,I238/H238),1),0)</f>
        <v>0</v>
      </c>
      <c r="K238" s="26">
        <f>IFERROR(VLOOKUP(F238,'05_Master KPI'!$B$5:$G$100,4,FALSE),0)</f>
        <v>0</v>
      </c>
      <c r="L238" s="28">
        <f t="shared" si="3"/>
        <v>0</v>
      </c>
      <c r="M238" s="26" t="str">
        <f>IF(D238="","",IF(J238&gt;='13_Setting'!$H$7,"Tercapai",IF(J238&gt;='13_Setting'!$H$6,"On Track","Tertinggal")))</f>
        <v/>
      </c>
      <c r="N238" s="24"/>
    </row>
    <row r="239" spans="1:14">
      <c r="A239" s="24"/>
      <c r="B239" s="24"/>
      <c r="C239" s="25"/>
      <c r="D239" s="24"/>
      <c r="E239" s="26" t="str">
        <f>IFERROR(VLOOKUP(D239,'04_Master Karyawan'!$A$5:$F$50,2,FALSE),"")</f>
        <v/>
      </c>
      <c r="F239" s="24"/>
      <c r="G239" s="26" t="str">
        <f>IFERROR(VLOOKUP(F239,'05_Master KPI'!$B$5:$G$100,2,FALSE)&amp;" ("&amp;VLOOKUP(F239,'05_Master KPI'!$B$5:$G$100,3,FALSE)&amp;")","")</f>
        <v/>
      </c>
      <c r="H239" s="26">
        <f>IFERROR(IF(B239&lt;&gt;'06_Target KPI'!$B$3,0,IF(VLOOKUP(F239,'05_Master KPI'!$B$5:$G$100,6,FALSE)="Kumulatif",INDEX('06_Target KPI'!$E$5:$P$100,MATCH(F239,'06_Target KPI'!$B$5:$B$100,0),MATCH(A239,'06_Target KPI'!$E$4:$P$4,0))*DAY(C239)/DAY(EOMONTH(C239,0)),INDEX('06_Target KPI'!$E$5:$P$100,MATCH(F239,'06_Target KPI'!$B$5:$B$100,0),MATCH(A239,'06_Target KPI'!$E$4:$P$4,0)))),0)</f>
        <v>0</v>
      </c>
      <c r="I239" s="24"/>
      <c r="J239" s="27">
        <f>IFERROR(MIN(IF(VLOOKUP(F239,'05_Master KPI'!$B$5:$G$100,5,FALSE)="Lower",H239/I239,I239/H239),1),0)</f>
        <v>0</v>
      </c>
      <c r="K239" s="26">
        <f>IFERROR(VLOOKUP(F239,'05_Master KPI'!$B$5:$G$100,4,FALSE),0)</f>
        <v>0</v>
      </c>
      <c r="L239" s="28">
        <f t="shared" si="3"/>
        <v>0</v>
      </c>
      <c r="M239" s="26" t="str">
        <f>IF(D239="","",IF(J239&gt;='13_Setting'!$H$7,"Tercapai",IF(J239&gt;='13_Setting'!$H$6,"On Track","Tertinggal")))</f>
        <v/>
      </c>
      <c r="N239" s="24"/>
    </row>
    <row r="240" spans="1:14">
      <c r="A240" s="24"/>
      <c r="B240" s="24"/>
      <c r="C240" s="25"/>
      <c r="D240" s="24"/>
      <c r="E240" s="26" t="str">
        <f>IFERROR(VLOOKUP(D240,'04_Master Karyawan'!$A$5:$F$50,2,FALSE),"")</f>
        <v/>
      </c>
      <c r="F240" s="24"/>
      <c r="G240" s="26" t="str">
        <f>IFERROR(VLOOKUP(F240,'05_Master KPI'!$B$5:$G$100,2,FALSE)&amp;" ("&amp;VLOOKUP(F240,'05_Master KPI'!$B$5:$G$100,3,FALSE)&amp;")","")</f>
        <v/>
      </c>
      <c r="H240" s="26">
        <f>IFERROR(IF(B240&lt;&gt;'06_Target KPI'!$B$3,0,IF(VLOOKUP(F240,'05_Master KPI'!$B$5:$G$100,6,FALSE)="Kumulatif",INDEX('06_Target KPI'!$E$5:$P$100,MATCH(F240,'06_Target KPI'!$B$5:$B$100,0),MATCH(A240,'06_Target KPI'!$E$4:$P$4,0))*DAY(C240)/DAY(EOMONTH(C240,0)),INDEX('06_Target KPI'!$E$5:$P$100,MATCH(F240,'06_Target KPI'!$B$5:$B$100,0),MATCH(A240,'06_Target KPI'!$E$4:$P$4,0)))),0)</f>
        <v>0</v>
      </c>
      <c r="I240" s="24"/>
      <c r="J240" s="27">
        <f>IFERROR(MIN(IF(VLOOKUP(F240,'05_Master KPI'!$B$5:$G$100,5,FALSE)="Lower",H240/I240,I240/H240),1),0)</f>
        <v>0</v>
      </c>
      <c r="K240" s="26">
        <f>IFERROR(VLOOKUP(F240,'05_Master KPI'!$B$5:$G$100,4,FALSE),0)</f>
        <v>0</v>
      </c>
      <c r="L240" s="28">
        <f t="shared" si="3"/>
        <v>0</v>
      </c>
      <c r="M240" s="26" t="str">
        <f>IF(D240="","",IF(J240&gt;='13_Setting'!$H$7,"Tercapai",IF(J240&gt;='13_Setting'!$H$6,"On Track","Tertinggal")))</f>
        <v/>
      </c>
      <c r="N240" s="24"/>
    </row>
    <row r="241" spans="1:14">
      <c r="A241" s="24"/>
      <c r="B241" s="24"/>
      <c r="C241" s="25"/>
      <c r="D241" s="24"/>
      <c r="E241" s="26" t="str">
        <f>IFERROR(VLOOKUP(D241,'04_Master Karyawan'!$A$5:$F$50,2,FALSE),"")</f>
        <v/>
      </c>
      <c r="F241" s="24"/>
      <c r="G241" s="26" t="str">
        <f>IFERROR(VLOOKUP(F241,'05_Master KPI'!$B$5:$G$100,2,FALSE)&amp;" ("&amp;VLOOKUP(F241,'05_Master KPI'!$B$5:$G$100,3,FALSE)&amp;")","")</f>
        <v/>
      </c>
      <c r="H241" s="26">
        <f>IFERROR(IF(B241&lt;&gt;'06_Target KPI'!$B$3,0,IF(VLOOKUP(F241,'05_Master KPI'!$B$5:$G$100,6,FALSE)="Kumulatif",INDEX('06_Target KPI'!$E$5:$P$100,MATCH(F241,'06_Target KPI'!$B$5:$B$100,0),MATCH(A241,'06_Target KPI'!$E$4:$P$4,0))*DAY(C241)/DAY(EOMONTH(C241,0)),INDEX('06_Target KPI'!$E$5:$P$100,MATCH(F241,'06_Target KPI'!$B$5:$B$100,0),MATCH(A241,'06_Target KPI'!$E$4:$P$4,0)))),0)</f>
        <v>0</v>
      </c>
      <c r="I241" s="24"/>
      <c r="J241" s="27">
        <f>IFERROR(MIN(IF(VLOOKUP(F241,'05_Master KPI'!$B$5:$G$100,5,FALSE)="Lower",H241/I241,I241/H241),1),0)</f>
        <v>0</v>
      </c>
      <c r="K241" s="26">
        <f>IFERROR(VLOOKUP(F241,'05_Master KPI'!$B$5:$G$100,4,FALSE),0)</f>
        <v>0</v>
      </c>
      <c r="L241" s="28">
        <f t="shared" si="3"/>
        <v>0</v>
      </c>
      <c r="M241" s="26" t="str">
        <f>IF(D241="","",IF(J241&gt;='13_Setting'!$H$7,"Tercapai",IF(J241&gt;='13_Setting'!$H$6,"On Track","Tertinggal")))</f>
        <v/>
      </c>
      <c r="N241" s="24"/>
    </row>
    <row r="242" spans="1:14">
      <c r="A242" s="24"/>
      <c r="B242" s="24"/>
      <c r="C242" s="25"/>
      <c r="D242" s="24"/>
      <c r="E242" s="26" t="str">
        <f>IFERROR(VLOOKUP(D242,'04_Master Karyawan'!$A$5:$F$50,2,FALSE),"")</f>
        <v/>
      </c>
      <c r="F242" s="24"/>
      <c r="G242" s="26" t="str">
        <f>IFERROR(VLOOKUP(F242,'05_Master KPI'!$B$5:$G$100,2,FALSE)&amp;" ("&amp;VLOOKUP(F242,'05_Master KPI'!$B$5:$G$100,3,FALSE)&amp;")","")</f>
        <v/>
      </c>
      <c r="H242" s="26">
        <f>IFERROR(IF(B242&lt;&gt;'06_Target KPI'!$B$3,0,IF(VLOOKUP(F242,'05_Master KPI'!$B$5:$G$100,6,FALSE)="Kumulatif",INDEX('06_Target KPI'!$E$5:$P$100,MATCH(F242,'06_Target KPI'!$B$5:$B$100,0),MATCH(A242,'06_Target KPI'!$E$4:$P$4,0))*DAY(C242)/DAY(EOMONTH(C242,0)),INDEX('06_Target KPI'!$E$5:$P$100,MATCH(F242,'06_Target KPI'!$B$5:$B$100,0),MATCH(A242,'06_Target KPI'!$E$4:$P$4,0)))),0)</f>
        <v>0</v>
      </c>
      <c r="I242" s="24"/>
      <c r="J242" s="27">
        <f>IFERROR(MIN(IF(VLOOKUP(F242,'05_Master KPI'!$B$5:$G$100,5,FALSE)="Lower",H242/I242,I242/H242),1),0)</f>
        <v>0</v>
      </c>
      <c r="K242" s="26">
        <f>IFERROR(VLOOKUP(F242,'05_Master KPI'!$B$5:$G$100,4,FALSE),0)</f>
        <v>0</v>
      </c>
      <c r="L242" s="28">
        <f t="shared" si="3"/>
        <v>0</v>
      </c>
      <c r="M242" s="26" t="str">
        <f>IF(D242="","",IF(J242&gt;='13_Setting'!$H$7,"Tercapai",IF(J242&gt;='13_Setting'!$H$6,"On Track","Tertinggal")))</f>
        <v/>
      </c>
      <c r="N242" s="24"/>
    </row>
    <row r="243" spans="1:14">
      <c r="A243" s="24"/>
      <c r="B243" s="24"/>
      <c r="C243" s="25"/>
      <c r="D243" s="24"/>
      <c r="E243" s="26" t="str">
        <f>IFERROR(VLOOKUP(D243,'04_Master Karyawan'!$A$5:$F$50,2,FALSE),"")</f>
        <v/>
      </c>
      <c r="F243" s="24"/>
      <c r="G243" s="26" t="str">
        <f>IFERROR(VLOOKUP(F243,'05_Master KPI'!$B$5:$G$100,2,FALSE)&amp;" ("&amp;VLOOKUP(F243,'05_Master KPI'!$B$5:$G$100,3,FALSE)&amp;")","")</f>
        <v/>
      </c>
      <c r="H243" s="26">
        <f>IFERROR(IF(B243&lt;&gt;'06_Target KPI'!$B$3,0,IF(VLOOKUP(F243,'05_Master KPI'!$B$5:$G$100,6,FALSE)="Kumulatif",INDEX('06_Target KPI'!$E$5:$P$100,MATCH(F243,'06_Target KPI'!$B$5:$B$100,0),MATCH(A243,'06_Target KPI'!$E$4:$P$4,0))*DAY(C243)/DAY(EOMONTH(C243,0)),INDEX('06_Target KPI'!$E$5:$P$100,MATCH(F243,'06_Target KPI'!$B$5:$B$100,0),MATCH(A243,'06_Target KPI'!$E$4:$P$4,0)))),0)</f>
        <v>0</v>
      </c>
      <c r="I243" s="24"/>
      <c r="J243" s="27">
        <f>IFERROR(MIN(IF(VLOOKUP(F243,'05_Master KPI'!$B$5:$G$100,5,FALSE)="Lower",H243/I243,I243/H243),1),0)</f>
        <v>0</v>
      </c>
      <c r="K243" s="26">
        <f>IFERROR(VLOOKUP(F243,'05_Master KPI'!$B$5:$G$100,4,FALSE),0)</f>
        <v>0</v>
      </c>
      <c r="L243" s="28">
        <f t="shared" si="3"/>
        <v>0</v>
      </c>
      <c r="M243" s="26" t="str">
        <f>IF(D243="","",IF(J243&gt;='13_Setting'!$H$7,"Tercapai",IF(J243&gt;='13_Setting'!$H$6,"On Track","Tertinggal")))</f>
        <v/>
      </c>
      <c r="N243" s="24"/>
    </row>
    <row r="244" spans="1:14">
      <c r="A244" s="24"/>
      <c r="B244" s="24"/>
      <c r="C244" s="25"/>
      <c r="D244" s="24"/>
      <c r="E244" s="26" t="str">
        <f>IFERROR(VLOOKUP(D244,'04_Master Karyawan'!$A$5:$F$50,2,FALSE),"")</f>
        <v/>
      </c>
      <c r="F244" s="24"/>
      <c r="G244" s="26" t="str">
        <f>IFERROR(VLOOKUP(F244,'05_Master KPI'!$B$5:$G$100,2,FALSE)&amp;" ("&amp;VLOOKUP(F244,'05_Master KPI'!$B$5:$G$100,3,FALSE)&amp;")","")</f>
        <v/>
      </c>
      <c r="H244" s="26">
        <f>IFERROR(IF(B244&lt;&gt;'06_Target KPI'!$B$3,0,IF(VLOOKUP(F244,'05_Master KPI'!$B$5:$G$100,6,FALSE)="Kumulatif",INDEX('06_Target KPI'!$E$5:$P$100,MATCH(F244,'06_Target KPI'!$B$5:$B$100,0),MATCH(A244,'06_Target KPI'!$E$4:$P$4,0))*DAY(C244)/DAY(EOMONTH(C244,0)),INDEX('06_Target KPI'!$E$5:$P$100,MATCH(F244,'06_Target KPI'!$B$5:$B$100,0),MATCH(A244,'06_Target KPI'!$E$4:$P$4,0)))),0)</f>
        <v>0</v>
      </c>
      <c r="I244" s="24"/>
      <c r="J244" s="27">
        <f>IFERROR(MIN(IF(VLOOKUP(F244,'05_Master KPI'!$B$5:$G$100,5,FALSE)="Lower",H244/I244,I244/H244),1),0)</f>
        <v>0</v>
      </c>
      <c r="K244" s="26">
        <f>IFERROR(VLOOKUP(F244,'05_Master KPI'!$B$5:$G$100,4,FALSE),0)</f>
        <v>0</v>
      </c>
      <c r="L244" s="28">
        <f t="shared" si="3"/>
        <v>0</v>
      </c>
      <c r="M244" s="26" t="str">
        <f>IF(D244="","",IF(J244&gt;='13_Setting'!$H$7,"Tercapai",IF(J244&gt;='13_Setting'!$H$6,"On Track","Tertinggal")))</f>
        <v/>
      </c>
      <c r="N244" s="24"/>
    </row>
    <row r="245" spans="1:14">
      <c r="A245" s="24"/>
      <c r="B245" s="24"/>
      <c r="C245" s="25"/>
      <c r="D245" s="24"/>
      <c r="E245" s="26" t="str">
        <f>IFERROR(VLOOKUP(D245,'04_Master Karyawan'!$A$5:$F$50,2,FALSE),"")</f>
        <v/>
      </c>
      <c r="F245" s="24"/>
      <c r="G245" s="26" t="str">
        <f>IFERROR(VLOOKUP(F245,'05_Master KPI'!$B$5:$G$100,2,FALSE)&amp;" ("&amp;VLOOKUP(F245,'05_Master KPI'!$B$5:$G$100,3,FALSE)&amp;")","")</f>
        <v/>
      </c>
      <c r="H245" s="26">
        <f>IFERROR(IF(B245&lt;&gt;'06_Target KPI'!$B$3,0,IF(VLOOKUP(F245,'05_Master KPI'!$B$5:$G$100,6,FALSE)="Kumulatif",INDEX('06_Target KPI'!$E$5:$P$100,MATCH(F245,'06_Target KPI'!$B$5:$B$100,0),MATCH(A245,'06_Target KPI'!$E$4:$P$4,0))*DAY(C245)/DAY(EOMONTH(C245,0)),INDEX('06_Target KPI'!$E$5:$P$100,MATCH(F245,'06_Target KPI'!$B$5:$B$100,0),MATCH(A245,'06_Target KPI'!$E$4:$P$4,0)))),0)</f>
        <v>0</v>
      </c>
      <c r="I245" s="24"/>
      <c r="J245" s="27">
        <f>IFERROR(MIN(IF(VLOOKUP(F245,'05_Master KPI'!$B$5:$G$100,5,FALSE)="Lower",H245/I245,I245/H245),1),0)</f>
        <v>0</v>
      </c>
      <c r="K245" s="26">
        <f>IFERROR(VLOOKUP(F245,'05_Master KPI'!$B$5:$G$100,4,FALSE),0)</f>
        <v>0</v>
      </c>
      <c r="L245" s="28">
        <f t="shared" si="3"/>
        <v>0</v>
      </c>
      <c r="M245" s="26" t="str">
        <f>IF(D245="","",IF(J245&gt;='13_Setting'!$H$7,"Tercapai",IF(J245&gt;='13_Setting'!$H$6,"On Track","Tertinggal")))</f>
        <v/>
      </c>
      <c r="N245" s="24"/>
    </row>
    <row r="246" spans="1:14">
      <c r="A246" s="24"/>
      <c r="B246" s="24"/>
      <c r="C246" s="25"/>
      <c r="D246" s="24"/>
      <c r="E246" s="26" t="str">
        <f>IFERROR(VLOOKUP(D246,'04_Master Karyawan'!$A$5:$F$50,2,FALSE),"")</f>
        <v/>
      </c>
      <c r="F246" s="24"/>
      <c r="G246" s="26" t="str">
        <f>IFERROR(VLOOKUP(F246,'05_Master KPI'!$B$5:$G$100,2,FALSE)&amp;" ("&amp;VLOOKUP(F246,'05_Master KPI'!$B$5:$G$100,3,FALSE)&amp;")","")</f>
        <v/>
      </c>
      <c r="H246" s="26">
        <f>IFERROR(IF(B246&lt;&gt;'06_Target KPI'!$B$3,0,IF(VLOOKUP(F246,'05_Master KPI'!$B$5:$G$100,6,FALSE)="Kumulatif",INDEX('06_Target KPI'!$E$5:$P$100,MATCH(F246,'06_Target KPI'!$B$5:$B$100,0),MATCH(A246,'06_Target KPI'!$E$4:$P$4,0))*DAY(C246)/DAY(EOMONTH(C246,0)),INDEX('06_Target KPI'!$E$5:$P$100,MATCH(F246,'06_Target KPI'!$B$5:$B$100,0),MATCH(A246,'06_Target KPI'!$E$4:$P$4,0)))),0)</f>
        <v>0</v>
      </c>
      <c r="I246" s="24"/>
      <c r="J246" s="27">
        <f>IFERROR(MIN(IF(VLOOKUP(F246,'05_Master KPI'!$B$5:$G$100,5,FALSE)="Lower",H246/I246,I246/H246),1),0)</f>
        <v>0</v>
      </c>
      <c r="K246" s="26">
        <f>IFERROR(VLOOKUP(F246,'05_Master KPI'!$B$5:$G$100,4,FALSE),0)</f>
        <v>0</v>
      </c>
      <c r="L246" s="28">
        <f t="shared" si="3"/>
        <v>0</v>
      </c>
      <c r="M246" s="26" t="str">
        <f>IF(D246="","",IF(J246&gt;='13_Setting'!$H$7,"Tercapai",IF(J246&gt;='13_Setting'!$H$6,"On Track","Tertinggal")))</f>
        <v/>
      </c>
      <c r="N246" s="24"/>
    </row>
    <row r="247" spans="1:14">
      <c r="A247" s="24"/>
      <c r="B247" s="24"/>
      <c r="C247" s="25"/>
      <c r="D247" s="24"/>
      <c r="E247" s="26" t="str">
        <f>IFERROR(VLOOKUP(D247,'04_Master Karyawan'!$A$5:$F$50,2,FALSE),"")</f>
        <v/>
      </c>
      <c r="F247" s="24"/>
      <c r="G247" s="26" t="str">
        <f>IFERROR(VLOOKUP(F247,'05_Master KPI'!$B$5:$G$100,2,FALSE)&amp;" ("&amp;VLOOKUP(F247,'05_Master KPI'!$B$5:$G$100,3,FALSE)&amp;")","")</f>
        <v/>
      </c>
      <c r="H247" s="26">
        <f>IFERROR(IF(B247&lt;&gt;'06_Target KPI'!$B$3,0,IF(VLOOKUP(F247,'05_Master KPI'!$B$5:$G$100,6,FALSE)="Kumulatif",INDEX('06_Target KPI'!$E$5:$P$100,MATCH(F247,'06_Target KPI'!$B$5:$B$100,0),MATCH(A247,'06_Target KPI'!$E$4:$P$4,0))*DAY(C247)/DAY(EOMONTH(C247,0)),INDEX('06_Target KPI'!$E$5:$P$100,MATCH(F247,'06_Target KPI'!$B$5:$B$100,0),MATCH(A247,'06_Target KPI'!$E$4:$P$4,0)))),0)</f>
        <v>0</v>
      </c>
      <c r="I247" s="24"/>
      <c r="J247" s="27">
        <f>IFERROR(MIN(IF(VLOOKUP(F247,'05_Master KPI'!$B$5:$G$100,5,FALSE)="Lower",H247/I247,I247/H247),1),0)</f>
        <v>0</v>
      </c>
      <c r="K247" s="26">
        <f>IFERROR(VLOOKUP(F247,'05_Master KPI'!$B$5:$G$100,4,FALSE),0)</f>
        <v>0</v>
      </c>
      <c r="L247" s="28">
        <f t="shared" si="3"/>
        <v>0</v>
      </c>
      <c r="M247" s="26" t="str">
        <f>IF(D247="","",IF(J247&gt;='13_Setting'!$H$7,"Tercapai",IF(J247&gt;='13_Setting'!$H$6,"On Track","Tertinggal")))</f>
        <v/>
      </c>
      <c r="N247" s="24"/>
    </row>
    <row r="248" spans="1:14">
      <c r="A248" s="24"/>
      <c r="B248" s="24"/>
      <c r="C248" s="25"/>
      <c r="D248" s="24"/>
      <c r="E248" s="26" t="str">
        <f>IFERROR(VLOOKUP(D248,'04_Master Karyawan'!$A$5:$F$50,2,FALSE),"")</f>
        <v/>
      </c>
      <c r="F248" s="24"/>
      <c r="G248" s="26" t="str">
        <f>IFERROR(VLOOKUP(F248,'05_Master KPI'!$B$5:$G$100,2,FALSE)&amp;" ("&amp;VLOOKUP(F248,'05_Master KPI'!$B$5:$G$100,3,FALSE)&amp;")","")</f>
        <v/>
      </c>
      <c r="H248" s="26">
        <f>IFERROR(IF(B248&lt;&gt;'06_Target KPI'!$B$3,0,IF(VLOOKUP(F248,'05_Master KPI'!$B$5:$G$100,6,FALSE)="Kumulatif",INDEX('06_Target KPI'!$E$5:$P$100,MATCH(F248,'06_Target KPI'!$B$5:$B$100,0),MATCH(A248,'06_Target KPI'!$E$4:$P$4,0))*DAY(C248)/DAY(EOMONTH(C248,0)),INDEX('06_Target KPI'!$E$5:$P$100,MATCH(F248,'06_Target KPI'!$B$5:$B$100,0),MATCH(A248,'06_Target KPI'!$E$4:$P$4,0)))),0)</f>
        <v>0</v>
      </c>
      <c r="I248" s="24"/>
      <c r="J248" s="27">
        <f>IFERROR(MIN(IF(VLOOKUP(F248,'05_Master KPI'!$B$5:$G$100,5,FALSE)="Lower",H248/I248,I248/H248),1),0)</f>
        <v>0</v>
      </c>
      <c r="K248" s="26">
        <f>IFERROR(VLOOKUP(F248,'05_Master KPI'!$B$5:$G$100,4,FALSE),0)</f>
        <v>0</v>
      </c>
      <c r="L248" s="28">
        <f t="shared" si="3"/>
        <v>0</v>
      </c>
      <c r="M248" s="26" t="str">
        <f>IF(D248="","",IF(J248&gt;='13_Setting'!$H$7,"Tercapai",IF(J248&gt;='13_Setting'!$H$6,"On Track","Tertinggal")))</f>
        <v/>
      </c>
      <c r="N248" s="24"/>
    </row>
    <row r="249" spans="1:14">
      <c r="A249" s="24"/>
      <c r="B249" s="24"/>
      <c r="C249" s="25"/>
      <c r="D249" s="24"/>
      <c r="E249" s="26" t="str">
        <f>IFERROR(VLOOKUP(D249,'04_Master Karyawan'!$A$5:$F$50,2,FALSE),"")</f>
        <v/>
      </c>
      <c r="F249" s="24"/>
      <c r="G249" s="26" t="str">
        <f>IFERROR(VLOOKUP(F249,'05_Master KPI'!$B$5:$G$100,2,FALSE)&amp;" ("&amp;VLOOKUP(F249,'05_Master KPI'!$B$5:$G$100,3,FALSE)&amp;")","")</f>
        <v/>
      </c>
      <c r="H249" s="26">
        <f>IFERROR(IF(B249&lt;&gt;'06_Target KPI'!$B$3,0,IF(VLOOKUP(F249,'05_Master KPI'!$B$5:$G$100,6,FALSE)="Kumulatif",INDEX('06_Target KPI'!$E$5:$P$100,MATCH(F249,'06_Target KPI'!$B$5:$B$100,0),MATCH(A249,'06_Target KPI'!$E$4:$P$4,0))*DAY(C249)/DAY(EOMONTH(C249,0)),INDEX('06_Target KPI'!$E$5:$P$100,MATCH(F249,'06_Target KPI'!$B$5:$B$100,0),MATCH(A249,'06_Target KPI'!$E$4:$P$4,0)))),0)</f>
        <v>0</v>
      </c>
      <c r="I249" s="24"/>
      <c r="J249" s="27">
        <f>IFERROR(MIN(IF(VLOOKUP(F249,'05_Master KPI'!$B$5:$G$100,5,FALSE)="Lower",H249/I249,I249/H249),1),0)</f>
        <v>0</v>
      </c>
      <c r="K249" s="26">
        <f>IFERROR(VLOOKUP(F249,'05_Master KPI'!$B$5:$G$100,4,FALSE),0)</f>
        <v>0</v>
      </c>
      <c r="L249" s="28">
        <f t="shared" si="3"/>
        <v>0</v>
      </c>
      <c r="M249" s="26" t="str">
        <f>IF(D249="","",IF(J249&gt;='13_Setting'!$H$7,"Tercapai",IF(J249&gt;='13_Setting'!$H$6,"On Track","Tertinggal")))</f>
        <v/>
      </c>
      <c r="N249" s="24"/>
    </row>
    <row r="250" spans="1:14">
      <c r="A250" s="24"/>
      <c r="B250" s="24"/>
      <c r="C250" s="25"/>
      <c r="D250" s="24"/>
      <c r="E250" s="26" t="str">
        <f>IFERROR(VLOOKUP(D250,'04_Master Karyawan'!$A$5:$F$50,2,FALSE),"")</f>
        <v/>
      </c>
      <c r="F250" s="24"/>
      <c r="G250" s="26" t="str">
        <f>IFERROR(VLOOKUP(F250,'05_Master KPI'!$B$5:$G$100,2,FALSE)&amp;" ("&amp;VLOOKUP(F250,'05_Master KPI'!$B$5:$G$100,3,FALSE)&amp;")","")</f>
        <v/>
      </c>
      <c r="H250" s="26">
        <f>IFERROR(IF(B250&lt;&gt;'06_Target KPI'!$B$3,0,IF(VLOOKUP(F250,'05_Master KPI'!$B$5:$G$100,6,FALSE)="Kumulatif",INDEX('06_Target KPI'!$E$5:$P$100,MATCH(F250,'06_Target KPI'!$B$5:$B$100,0),MATCH(A250,'06_Target KPI'!$E$4:$P$4,0))*DAY(C250)/DAY(EOMONTH(C250,0)),INDEX('06_Target KPI'!$E$5:$P$100,MATCH(F250,'06_Target KPI'!$B$5:$B$100,0),MATCH(A250,'06_Target KPI'!$E$4:$P$4,0)))),0)</f>
        <v>0</v>
      </c>
      <c r="I250" s="24"/>
      <c r="J250" s="27">
        <f>IFERROR(MIN(IF(VLOOKUP(F250,'05_Master KPI'!$B$5:$G$100,5,FALSE)="Lower",H250/I250,I250/H250),1),0)</f>
        <v>0</v>
      </c>
      <c r="K250" s="26">
        <f>IFERROR(VLOOKUP(F250,'05_Master KPI'!$B$5:$G$100,4,FALSE),0)</f>
        <v>0</v>
      </c>
      <c r="L250" s="28">
        <f t="shared" si="3"/>
        <v>0</v>
      </c>
      <c r="M250" s="26" t="str">
        <f>IF(D250="","",IF(J250&gt;='13_Setting'!$H$7,"Tercapai",IF(J250&gt;='13_Setting'!$H$6,"On Track","Tertinggal")))</f>
        <v/>
      </c>
      <c r="N250" s="24"/>
    </row>
    <row r="251" spans="1:14">
      <c r="A251" s="24"/>
      <c r="B251" s="24"/>
      <c r="C251" s="25"/>
      <c r="D251" s="24"/>
      <c r="E251" s="26" t="str">
        <f>IFERROR(VLOOKUP(D251,'04_Master Karyawan'!$A$5:$F$50,2,FALSE),"")</f>
        <v/>
      </c>
      <c r="F251" s="24"/>
      <c r="G251" s="26" t="str">
        <f>IFERROR(VLOOKUP(F251,'05_Master KPI'!$B$5:$G$100,2,FALSE)&amp;" ("&amp;VLOOKUP(F251,'05_Master KPI'!$B$5:$G$100,3,FALSE)&amp;")","")</f>
        <v/>
      </c>
      <c r="H251" s="26">
        <f>IFERROR(IF(B251&lt;&gt;'06_Target KPI'!$B$3,0,IF(VLOOKUP(F251,'05_Master KPI'!$B$5:$G$100,6,FALSE)="Kumulatif",INDEX('06_Target KPI'!$E$5:$P$100,MATCH(F251,'06_Target KPI'!$B$5:$B$100,0),MATCH(A251,'06_Target KPI'!$E$4:$P$4,0))*DAY(C251)/DAY(EOMONTH(C251,0)),INDEX('06_Target KPI'!$E$5:$P$100,MATCH(F251,'06_Target KPI'!$B$5:$B$100,0),MATCH(A251,'06_Target KPI'!$E$4:$P$4,0)))),0)</f>
        <v>0</v>
      </c>
      <c r="I251" s="24"/>
      <c r="J251" s="27">
        <f>IFERROR(MIN(IF(VLOOKUP(F251,'05_Master KPI'!$B$5:$G$100,5,FALSE)="Lower",H251/I251,I251/H251),1),0)</f>
        <v>0</v>
      </c>
      <c r="K251" s="26">
        <f>IFERROR(VLOOKUP(F251,'05_Master KPI'!$B$5:$G$100,4,FALSE),0)</f>
        <v>0</v>
      </c>
      <c r="L251" s="28">
        <f t="shared" si="3"/>
        <v>0</v>
      </c>
      <c r="M251" s="26" t="str">
        <f>IF(D251="","",IF(J251&gt;='13_Setting'!$H$7,"Tercapai",IF(J251&gt;='13_Setting'!$H$6,"On Track","Tertinggal")))</f>
        <v/>
      </c>
      <c r="N251" s="24"/>
    </row>
    <row r="252" spans="1:14">
      <c r="A252" s="24"/>
      <c r="B252" s="24"/>
      <c r="C252" s="25"/>
      <c r="D252" s="24"/>
      <c r="E252" s="26" t="str">
        <f>IFERROR(VLOOKUP(D252,'04_Master Karyawan'!$A$5:$F$50,2,FALSE),"")</f>
        <v/>
      </c>
      <c r="F252" s="24"/>
      <c r="G252" s="26" t="str">
        <f>IFERROR(VLOOKUP(F252,'05_Master KPI'!$B$5:$G$100,2,FALSE)&amp;" ("&amp;VLOOKUP(F252,'05_Master KPI'!$B$5:$G$100,3,FALSE)&amp;")","")</f>
        <v/>
      </c>
      <c r="H252" s="26">
        <f>IFERROR(IF(B252&lt;&gt;'06_Target KPI'!$B$3,0,IF(VLOOKUP(F252,'05_Master KPI'!$B$5:$G$100,6,FALSE)="Kumulatif",INDEX('06_Target KPI'!$E$5:$P$100,MATCH(F252,'06_Target KPI'!$B$5:$B$100,0),MATCH(A252,'06_Target KPI'!$E$4:$P$4,0))*DAY(C252)/DAY(EOMONTH(C252,0)),INDEX('06_Target KPI'!$E$5:$P$100,MATCH(F252,'06_Target KPI'!$B$5:$B$100,0),MATCH(A252,'06_Target KPI'!$E$4:$P$4,0)))),0)</f>
        <v>0</v>
      </c>
      <c r="I252" s="24"/>
      <c r="J252" s="27">
        <f>IFERROR(MIN(IF(VLOOKUP(F252,'05_Master KPI'!$B$5:$G$100,5,FALSE)="Lower",H252/I252,I252/H252),1),0)</f>
        <v>0</v>
      </c>
      <c r="K252" s="26">
        <f>IFERROR(VLOOKUP(F252,'05_Master KPI'!$B$5:$G$100,4,FALSE),0)</f>
        <v>0</v>
      </c>
      <c r="L252" s="28">
        <f t="shared" si="3"/>
        <v>0</v>
      </c>
      <c r="M252" s="26" t="str">
        <f>IF(D252="","",IF(J252&gt;='13_Setting'!$H$7,"Tercapai",IF(J252&gt;='13_Setting'!$H$6,"On Track","Tertinggal")))</f>
        <v/>
      </c>
      <c r="N252" s="24"/>
    </row>
    <row r="253" spans="1:14">
      <c r="A253" s="24"/>
      <c r="B253" s="24"/>
      <c r="C253" s="25"/>
      <c r="D253" s="24"/>
      <c r="E253" s="26" t="str">
        <f>IFERROR(VLOOKUP(D253,'04_Master Karyawan'!$A$5:$F$50,2,FALSE),"")</f>
        <v/>
      </c>
      <c r="F253" s="24"/>
      <c r="G253" s="26" t="str">
        <f>IFERROR(VLOOKUP(F253,'05_Master KPI'!$B$5:$G$100,2,FALSE)&amp;" ("&amp;VLOOKUP(F253,'05_Master KPI'!$B$5:$G$100,3,FALSE)&amp;")","")</f>
        <v/>
      </c>
      <c r="H253" s="26">
        <f>IFERROR(IF(B253&lt;&gt;'06_Target KPI'!$B$3,0,IF(VLOOKUP(F253,'05_Master KPI'!$B$5:$G$100,6,FALSE)="Kumulatif",INDEX('06_Target KPI'!$E$5:$P$100,MATCH(F253,'06_Target KPI'!$B$5:$B$100,0),MATCH(A253,'06_Target KPI'!$E$4:$P$4,0))*DAY(C253)/DAY(EOMONTH(C253,0)),INDEX('06_Target KPI'!$E$5:$P$100,MATCH(F253,'06_Target KPI'!$B$5:$B$100,0),MATCH(A253,'06_Target KPI'!$E$4:$P$4,0)))),0)</f>
        <v>0</v>
      </c>
      <c r="I253" s="24"/>
      <c r="J253" s="27">
        <f>IFERROR(MIN(IF(VLOOKUP(F253,'05_Master KPI'!$B$5:$G$100,5,FALSE)="Lower",H253/I253,I253/H253),1),0)</f>
        <v>0</v>
      </c>
      <c r="K253" s="26">
        <f>IFERROR(VLOOKUP(F253,'05_Master KPI'!$B$5:$G$100,4,FALSE),0)</f>
        <v>0</v>
      </c>
      <c r="L253" s="28">
        <f t="shared" si="3"/>
        <v>0</v>
      </c>
      <c r="M253" s="26" t="str">
        <f>IF(D253="","",IF(J253&gt;='13_Setting'!$H$7,"Tercapai",IF(J253&gt;='13_Setting'!$H$6,"On Track","Tertinggal")))</f>
        <v/>
      </c>
      <c r="N253" s="24"/>
    </row>
    <row r="254" spans="1:14">
      <c r="A254" s="24"/>
      <c r="B254" s="24"/>
      <c r="C254" s="25"/>
      <c r="D254" s="24"/>
      <c r="E254" s="26" t="str">
        <f>IFERROR(VLOOKUP(D254,'04_Master Karyawan'!$A$5:$F$50,2,FALSE),"")</f>
        <v/>
      </c>
      <c r="F254" s="24"/>
      <c r="G254" s="26" t="str">
        <f>IFERROR(VLOOKUP(F254,'05_Master KPI'!$B$5:$G$100,2,FALSE)&amp;" ("&amp;VLOOKUP(F254,'05_Master KPI'!$B$5:$G$100,3,FALSE)&amp;")","")</f>
        <v/>
      </c>
      <c r="H254" s="26">
        <f>IFERROR(IF(B254&lt;&gt;'06_Target KPI'!$B$3,0,IF(VLOOKUP(F254,'05_Master KPI'!$B$5:$G$100,6,FALSE)="Kumulatif",INDEX('06_Target KPI'!$E$5:$P$100,MATCH(F254,'06_Target KPI'!$B$5:$B$100,0),MATCH(A254,'06_Target KPI'!$E$4:$P$4,0))*DAY(C254)/DAY(EOMONTH(C254,0)),INDEX('06_Target KPI'!$E$5:$P$100,MATCH(F254,'06_Target KPI'!$B$5:$B$100,0),MATCH(A254,'06_Target KPI'!$E$4:$P$4,0)))),0)</f>
        <v>0</v>
      </c>
      <c r="I254" s="24"/>
      <c r="J254" s="27">
        <f>IFERROR(MIN(IF(VLOOKUP(F254,'05_Master KPI'!$B$5:$G$100,5,FALSE)="Lower",H254/I254,I254/H254),1),0)</f>
        <v>0</v>
      </c>
      <c r="K254" s="26">
        <f>IFERROR(VLOOKUP(F254,'05_Master KPI'!$B$5:$G$100,4,FALSE),0)</f>
        <v>0</v>
      </c>
      <c r="L254" s="28">
        <f t="shared" si="3"/>
        <v>0</v>
      </c>
      <c r="M254" s="26" t="str">
        <f>IF(D254="","",IF(J254&gt;='13_Setting'!$H$7,"Tercapai",IF(J254&gt;='13_Setting'!$H$6,"On Track","Tertinggal")))</f>
        <v/>
      </c>
      <c r="N254" s="24"/>
    </row>
    <row r="255" spans="1:14">
      <c r="A255" s="24"/>
      <c r="B255" s="24"/>
      <c r="C255" s="25"/>
      <c r="D255" s="24"/>
      <c r="E255" s="26" t="str">
        <f>IFERROR(VLOOKUP(D255,'04_Master Karyawan'!$A$5:$F$50,2,FALSE),"")</f>
        <v/>
      </c>
      <c r="F255" s="24"/>
      <c r="G255" s="26" t="str">
        <f>IFERROR(VLOOKUP(F255,'05_Master KPI'!$B$5:$G$100,2,FALSE)&amp;" ("&amp;VLOOKUP(F255,'05_Master KPI'!$B$5:$G$100,3,FALSE)&amp;")","")</f>
        <v/>
      </c>
      <c r="H255" s="26">
        <f>IFERROR(IF(B255&lt;&gt;'06_Target KPI'!$B$3,0,IF(VLOOKUP(F255,'05_Master KPI'!$B$5:$G$100,6,FALSE)="Kumulatif",INDEX('06_Target KPI'!$E$5:$P$100,MATCH(F255,'06_Target KPI'!$B$5:$B$100,0),MATCH(A255,'06_Target KPI'!$E$4:$P$4,0))*DAY(C255)/DAY(EOMONTH(C255,0)),INDEX('06_Target KPI'!$E$5:$P$100,MATCH(F255,'06_Target KPI'!$B$5:$B$100,0),MATCH(A255,'06_Target KPI'!$E$4:$P$4,0)))),0)</f>
        <v>0</v>
      </c>
      <c r="I255" s="24"/>
      <c r="J255" s="27">
        <f>IFERROR(MIN(IF(VLOOKUP(F255,'05_Master KPI'!$B$5:$G$100,5,FALSE)="Lower",H255/I255,I255/H255),1),0)</f>
        <v>0</v>
      </c>
      <c r="K255" s="26">
        <f>IFERROR(VLOOKUP(F255,'05_Master KPI'!$B$5:$G$100,4,FALSE),0)</f>
        <v>0</v>
      </c>
      <c r="L255" s="28">
        <f t="shared" si="3"/>
        <v>0</v>
      </c>
      <c r="M255" s="26" t="str">
        <f>IF(D255="","",IF(J255&gt;='13_Setting'!$H$7,"Tercapai",IF(J255&gt;='13_Setting'!$H$6,"On Track","Tertinggal")))</f>
        <v/>
      </c>
      <c r="N255" s="24"/>
    </row>
    <row r="256" spans="1:14">
      <c r="A256" s="24"/>
      <c r="B256" s="24"/>
      <c r="C256" s="25"/>
      <c r="D256" s="24"/>
      <c r="E256" s="26" t="str">
        <f>IFERROR(VLOOKUP(D256,'04_Master Karyawan'!$A$5:$F$50,2,FALSE),"")</f>
        <v/>
      </c>
      <c r="F256" s="24"/>
      <c r="G256" s="26" t="str">
        <f>IFERROR(VLOOKUP(F256,'05_Master KPI'!$B$5:$G$100,2,FALSE)&amp;" ("&amp;VLOOKUP(F256,'05_Master KPI'!$B$5:$G$100,3,FALSE)&amp;")","")</f>
        <v/>
      </c>
      <c r="H256" s="26">
        <f>IFERROR(IF(B256&lt;&gt;'06_Target KPI'!$B$3,0,IF(VLOOKUP(F256,'05_Master KPI'!$B$5:$G$100,6,FALSE)="Kumulatif",INDEX('06_Target KPI'!$E$5:$P$100,MATCH(F256,'06_Target KPI'!$B$5:$B$100,0),MATCH(A256,'06_Target KPI'!$E$4:$P$4,0))*DAY(C256)/DAY(EOMONTH(C256,0)),INDEX('06_Target KPI'!$E$5:$P$100,MATCH(F256,'06_Target KPI'!$B$5:$B$100,0),MATCH(A256,'06_Target KPI'!$E$4:$P$4,0)))),0)</f>
        <v>0</v>
      </c>
      <c r="I256" s="24"/>
      <c r="J256" s="27">
        <f>IFERROR(MIN(IF(VLOOKUP(F256,'05_Master KPI'!$B$5:$G$100,5,FALSE)="Lower",H256/I256,I256/H256),1),0)</f>
        <v>0</v>
      </c>
      <c r="K256" s="26">
        <f>IFERROR(VLOOKUP(F256,'05_Master KPI'!$B$5:$G$100,4,FALSE),0)</f>
        <v>0</v>
      </c>
      <c r="L256" s="28">
        <f t="shared" si="3"/>
        <v>0</v>
      </c>
      <c r="M256" s="26" t="str">
        <f>IF(D256="","",IF(J256&gt;='13_Setting'!$H$7,"Tercapai",IF(J256&gt;='13_Setting'!$H$6,"On Track","Tertinggal")))</f>
        <v/>
      </c>
      <c r="N256" s="24"/>
    </row>
    <row r="257" spans="1:14">
      <c r="A257" s="24"/>
      <c r="B257" s="24"/>
      <c r="C257" s="25"/>
      <c r="D257" s="24"/>
      <c r="E257" s="26" t="str">
        <f>IFERROR(VLOOKUP(D257,'04_Master Karyawan'!$A$5:$F$50,2,FALSE),"")</f>
        <v/>
      </c>
      <c r="F257" s="24"/>
      <c r="G257" s="26" t="str">
        <f>IFERROR(VLOOKUP(F257,'05_Master KPI'!$B$5:$G$100,2,FALSE)&amp;" ("&amp;VLOOKUP(F257,'05_Master KPI'!$B$5:$G$100,3,FALSE)&amp;")","")</f>
        <v/>
      </c>
      <c r="H257" s="26">
        <f>IFERROR(IF(B257&lt;&gt;'06_Target KPI'!$B$3,0,IF(VLOOKUP(F257,'05_Master KPI'!$B$5:$G$100,6,FALSE)="Kumulatif",INDEX('06_Target KPI'!$E$5:$P$100,MATCH(F257,'06_Target KPI'!$B$5:$B$100,0),MATCH(A257,'06_Target KPI'!$E$4:$P$4,0))*DAY(C257)/DAY(EOMONTH(C257,0)),INDEX('06_Target KPI'!$E$5:$P$100,MATCH(F257,'06_Target KPI'!$B$5:$B$100,0),MATCH(A257,'06_Target KPI'!$E$4:$P$4,0)))),0)</f>
        <v>0</v>
      </c>
      <c r="I257" s="24"/>
      <c r="J257" s="27">
        <f>IFERROR(MIN(IF(VLOOKUP(F257,'05_Master KPI'!$B$5:$G$100,5,FALSE)="Lower",H257/I257,I257/H257),1),0)</f>
        <v>0</v>
      </c>
      <c r="K257" s="26">
        <f>IFERROR(VLOOKUP(F257,'05_Master KPI'!$B$5:$G$100,4,FALSE),0)</f>
        <v>0</v>
      </c>
      <c r="L257" s="28">
        <f t="shared" si="3"/>
        <v>0</v>
      </c>
      <c r="M257" s="26" t="str">
        <f>IF(D257="","",IF(J257&gt;='13_Setting'!$H$7,"Tercapai",IF(J257&gt;='13_Setting'!$H$6,"On Track","Tertinggal")))</f>
        <v/>
      </c>
      <c r="N257" s="24"/>
    </row>
    <row r="258" spans="1:14">
      <c r="A258" s="24"/>
      <c r="B258" s="24"/>
      <c r="C258" s="25"/>
      <c r="D258" s="24"/>
      <c r="E258" s="26" t="str">
        <f>IFERROR(VLOOKUP(D258,'04_Master Karyawan'!$A$5:$F$50,2,FALSE),"")</f>
        <v/>
      </c>
      <c r="F258" s="24"/>
      <c r="G258" s="26" t="str">
        <f>IFERROR(VLOOKUP(F258,'05_Master KPI'!$B$5:$G$100,2,FALSE)&amp;" ("&amp;VLOOKUP(F258,'05_Master KPI'!$B$5:$G$100,3,FALSE)&amp;")","")</f>
        <v/>
      </c>
      <c r="H258" s="26">
        <f>IFERROR(IF(B258&lt;&gt;'06_Target KPI'!$B$3,0,IF(VLOOKUP(F258,'05_Master KPI'!$B$5:$G$100,6,FALSE)="Kumulatif",INDEX('06_Target KPI'!$E$5:$P$100,MATCH(F258,'06_Target KPI'!$B$5:$B$100,0),MATCH(A258,'06_Target KPI'!$E$4:$P$4,0))*DAY(C258)/DAY(EOMONTH(C258,0)),INDEX('06_Target KPI'!$E$5:$P$100,MATCH(F258,'06_Target KPI'!$B$5:$B$100,0),MATCH(A258,'06_Target KPI'!$E$4:$P$4,0)))),0)</f>
        <v>0</v>
      </c>
      <c r="I258" s="24"/>
      <c r="J258" s="27">
        <f>IFERROR(MIN(IF(VLOOKUP(F258,'05_Master KPI'!$B$5:$G$100,5,FALSE)="Lower",H258/I258,I258/H258),1),0)</f>
        <v>0</v>
      </c>
      <c r="K258" s="26">
        <f>IFERROR(VLOOKUP(F258,'05_Master KPI'!$B$5:$G$100,4,FALSE),0)</f>
        <v>0</v>
      </c>
      <c r="L258" s="28">
        <f t="shared" si="3"/>
        <v>0</v>
      </c>
      <c r="M258" s="26" t="str">
        <f>IF(D258="","",IF(J258&gt;='13_Setting'!$H$7,"Tercapai",IF(J258&gt;='13_Setting'!$H$6,"On Track","Tertinggal")))</f>
        <v/>
      </c>
      <c r="N258" s="24"/>
    </row>
    <row r="259" spans="1:14">
      <c r="A259" s="24"/>
      <c r="B259" s="24"/>
      <c r="C259" s="25"/>
      <c r="D259" s="24"/>
      <c r="E259" s="26" t="str">
        <f>IFERROR(VLOOKUP(D259,'04_Master Karyawan'!$A$5:$F$50,2,FALSE),"")</f>
        <v/>
      </c>
      <c r="F259" s="24"/>
      <c r="G259" s="26" t="str">
        <f>IFERROR(VLOOKUP(F259,'05_Master KPI'!$B$5:$G$100,2,FALSE)&amp;" ("&amp;VLOOKUP(F259,'05_Master KPI'!$B$5:$G$100,3,FALSE)&amp;")","")</f>
        <v/>
      </c>
      <c r="H259" s="26">
        <f>IFERROR(IF(B259&lt;&gt;'06_Target KPI'!$B$3,0,IF(VLOOKUP(F259,'05_Master KPI'!$B$5:$G$100,6,FALSE)="Kumulatif",INDEX('06_Target KPI'!$E$5:$P$100,MATCH(F259,'06_Target KPI'!$B$5:$B$100,0),MATCH(A259,'06_Target KPI'!$E$4:$P$4,0))*DAY(C259)/DAY(EOMONTH(C259,0)),INDEX('06_Target KPI'!$E$5:$P$100,MATCH(F259,'06_Target KPI'!$B$5:$B$100,0),MATCH(A259,'06_Target KPI'!$E$4:$P$4,0)))),0)</f>
        <v>0</v>
      </c>
      <c r="I259" s="24"/>
      <c r="J259" s="27">
        <f>IFERROR(MIN(IF(VLOOKUP(F259,'05_Master KPI'!$B$5:$G$100,5,FALSE)="Lower",H259/I259,I259/H259),1),0)</f>
        <v>0</v>
      </c>
      <c r="K259" s="26">
        <f>IFERROR(VLOOKUP(F259,'05_Master KPI'!$B$5:$G$100,4,FALSE),0)</f>
        <v>0</v>
      </c>
      <c r="L259" s="28">
        <f t="shared" si="3"/>
        <v>0</v>
      </c>
      <c r="M259" s="26" t="str">
        <f>IF(D259="","",IF(J259&gt;='13_Setting'!$H$7,"Tercapai",IF(J259&gt;='13_Setting'!$H$6,"On Track","Tertinggal")))</f>
        <v/>
      </c>
      <c r="N259" s="24"/>
    </row>
    <row r="260" spans="1:14">
      <c r="A260" s="24"/>
      <c r="B260" s="24"/>
      <c r="C260" s="25"/>
      <c r="D260" s="24"/>
      <c r="E260" s="26" t="str">
        <f>IFERROR(VLOOKUP(D260,'04_Master Karyawan'!$A$5:$F$50,2,FALSE),"")</f>
        <v/>
      </c>
      <c r="F260" s="24"/>
      <c r="G260" s="26" t="str">
        <f>IFERROR(VLOOKUP(F260,'05_Master KPI'!$B$5:$G$100,2,FALSE)&amp;" ("&amp;VLOOKUP(F260,'05_Master KPI'!$B$5:$G$100,3,FALSE)&amp;")","")</f>
        <v/>
      </c>
      <c r="H260" s="26">
        <f>IFERROR(IF(B260&lt;&gt;'06_Target KPI'!$B$3,0,IF(VLOOKUP(F260,'05_Master KPI'!$B$5:$G$100,6,FALSE)="Kumulatif",INDEX('06_Target KPI'!$E$5:$P$100,MATCH(F260,'06_Target KPI'!$B$5:$B$100,0),MATCH(A260,'06_Target KPI'!$E$4:$P$4,0))*DAY(C260)/DAY(EOMONTH(C260,0)),INDEX('06_Target KPI'!$E$5:$P$100,MATCH(F260,'06_Target KPI'!$B$5:$B$100,0),MATCH(A260,'06_Target KPI'!$E$4:$P$4,0)))),0)</f>
        <v>0</v>
      </c>
      <c r="I260" s="24"/>
      <c r="J260" s="27">
        <f>IFERROR(MIN(IF(VLOOKUP(F260,'05_Master KPI'!$B$5:$G$100,5,FALSE)="Lower",H260/I260,I260/H260),1),0)</f>
        <v>0</v>
      </c>
      <c r="K260" s="26">
        <f>IFERROR(VLOOKUP(F260,'05_Master KPI'!$B$5:$G$100,4,FALSE),0)</f>
        <v>0</v>
      </c>
      <c r="L260" s="28">
        <f t="shared" si="3"/>
        <v>0</v>
      </c>
      <c r="M260" s="26" t="str">
        <f>IF(D260="","",IF(J260&gt;='13_Setting'!$H$7,"Tercapai",IF(J260&gt;='13_Setting'!$H$6,"On Track","Tertinggal")))</f>
        <v/>
      </c>
      <c r="N260" s="24"/>
    </row>
    <row r="261" spans="1:14">
      <c r="A261" s="24"/>
      <c r="B261" s="24"/>
      <c r="C261" s="25"/>
      <c r="D261" s="24"/>
      <c r="E261" s="26" t="str">
        <f>IFERROR(VLOOKUP(D261,'04_Master Karyawan'!$A$5:$F$50,2,FALSE),"")</f>
        <v/>
      </c>
      <c r="F261" s="24"/>
      <c r="G261" s="26" t="str">
        <f>IFERROR(VLOOKUP(F261,'05_Master KPI'!$B$5:$G$100,2,FALSE)&amp;" ("&amp;VLOOKUP(F261,'05_Master KPI'!$B$5:$G$100,3,FALSE)&amp;")","")</f>
        <v/>
      </c>
      <c r="H261" s="26">
        <f>IFERROR(IF(B261&lt;&gt;'06_Target KPI'!$B$3,0,IF(VLOOKUP(F261,'05_Master KPI'!$B$5:$G$100,6,FALSE)="Kumulatif",INDEX('06_Target KPI'!$E$5:$P$100,MATCH(F261,'06_Target KPI'!$B$5:$B$100,0),MATCH(A261,'06_Target KPI'!$E$4:$P$4,0))*DAY(C261)/DAY(EOMONTH(C261,0)),INDEX('06_Target KPI'!$E$5:$P$100,MATCH(F261,'06_Target KPI'!$B$5:$B$100,0),MATCH(A261,'06_Target KPI'!$E$4:$P$4,0)))),0)</f>
        <v>0</v>
      </c>
      <c r="I261" s="24"/>
      <c r="J261" s="27">
        <f>IFERROR(MIN(IF(VLOOKUP(F261,'05_Master KPI'!$B$5:$G$100,5,FALSE)="Lower",H261/I261,I261/H261),1),0)</f>
        <v>0</v>
      </c>
      <c r="K261" s="26">
        <f>IFERROR(VLOOKUP(F261,'05_Master KPI'!$B$5:$G$100,4,FALSE),0)</f>
        <v>0</v>
      </c>
      <c r="L261" s="28">
        <f t="shared" ref="L261:L304" si="4">J261*K261</f>
        <v>0</v>
      </c>
      <c r="M261" s="26" t="str">
        <f>IF(D261="","",IF(J261&gt;='13_Setting'!$H$7,"Tercapai",IF(J261&gt;='13_Setting'!$H$6,"On Track","Tertinggal")))</f>
        <v/>
      </c>
      <c r="N261" s="24"/>
    </row>
    <row r="262" spans="1:14">
      <c r="A262" s="24"/>
      <c r="B262" s="24"/>
      <c r="C262" s="25"/>
      <c r="D262" s="24"/>
      <c r="E262" s="26" t="str">
        <f>IFERROR(VLOOKUP(D262,'04_Master Karyawan'!$A$5:$F$50,2,FALSE),"")</f>
        <v/>
      </c>
      <c r="F262" s="24"/>
      <c r="G262" s="26" t="str">
        <f>IFERROR(VLOOKUP(F262,'05_Master KPI'!$B$5:$G$100,2,FALSE)&amp;" ("&amp;VLOOKUP(F262,'05_Master KPI'!$B$5:$G$100,3,FALSE)&amp;")","")</f>
        <v/>
      </c>
      <c r="H262" s="26">
        <f>IFERROR(IF(B262&lt;&gt;'06_Target KPI'!$B$3,0,IF(VLOOKUP(F262,'05_Master KPI'!$B$5:$G$100,6,FALSE)="Kumulatif",INDEX('06_Target KPI'!$E$5:$P$100,MATCH(F262,'06_Target KPI'!$B$5:$B$100,0),MATCH(A262,'06_Target KPI'!$E$4:$P$4,0))*DAY(C262)/DAY(EOMONTH(C262,0)),INDEX('06_Target KPI'!$E$5:$P$100,MATCH(F262,'06_Target KPI'!$B$5:$B$100,0),MATCH(A262,'06_Target KPI'!$E$4:$P$4,0)))),0)</f>
        <v>0</v>
      </c>
      <c r="I262" s="24"/>
      <c r="J262" s="27">
        <f>IFERROR(MIN(IF(VLOOKUP(F262,'05_Master KPI'!$B$5:$G$100,5,FALSE)="Lower",H262/I262,I262/H262),1),0)</f>
        <v>0</v>
      </c>
      <c r="K262" s="26">
        <f>IFERROR(VLOOKUP(F262,'05_Master KPI'!$B$5:$G$100,4,FALSE),0)</f>
        <v>0</v>
      </c>
      <c r="L262" s="28">
        <f t="shared" si="4"/>
        <v>0</v>
      </c>
      <c r="M262" s="26" t="str">
        <f>IF(D262="","",IF(J262&gt;='13_Setting'!$H$7,"Tercapai",IF(J262&gt;='13_Setting'!$H$6,"On Track","Tertinggal")))</f>
        <v/>
      </c>
      <c r="N262" s="24"/>
    </row>
    <row r="263" spans="1:14">
      <c r="A263" s="24"/>
      <c r="B263" s="24"/>
      <c r="C263" s="25"/>
      <c r="D263" s="24"/>
      <c r="E263" s="26" t="str">
        <f>IFERROR(VLOOKUP(D263,'04_Master Karyawan'!$A$5:$F$50,2,FALSE),"")</f>
        <v/>
      </c>
      <c r="F263" s="24"/>
      <c r="G263" s="26" t="str">
        <f>IFERROR(VLOOKUP(F263,'05_Master KPI'!$B$5:$G$100,2,FALSE)&amp;" ("&amp;VLOOKUP(F263,'05_Master KPI'!$B$5:$G$100,3,FALSE)&amp;")","")</f>
        <v/>
      </c>
      <c r="H263" s="26">
        <f>IFERROR(IF(B263&lt;&gt;'06_Target KPI'!$B$3,0,IF(VLOOKUP(F263,'05_Master KPI'!$B$5:$G$100,6,FALSE)="Kumulatif",INDEX('06_Target KPI'!$E$5:$P$100,MATCH(F263,'06_Target KPI'!$B$5:$B$100,0),MATCH(A263,'06_Target KPI'!$E$4:$P$4,0))*DAY(C263)/DAY(EOMONTH(C263,0)),INDEX('06_Target KPI'!$E$5:$P$100,MATCH(F263,'06_Target KPI'!$B$5:$B$100,0),MATCH(A263,'06_Target KPI'!$E$4:$P$4,0)))),0)</f>
        <v>0</v>
      </c>
      <c r="I263" s="24"/>
      <c r="J263" s="27">
        <f>IFERROR(MIN(IF(VLOOKUP(F263,'05_Master KPI'!$B$5:$G$100,5,FALSE)="Lower",H263/I263,I263/H263),1),0)</f>
        <v>0</v>
      </c>
      <c r="K263" s="26">
        <f>IFERROR(VLOOKUP(F263,'05_Master KPI'!$B$5:$G$100,4,FALSE),0)</f>
        <v>0</v>
      </c>
      <c r="L263" s="28">
        <f t="shared" si="4"/>
        <v>0</v>
      </c>
      <c r="M263" s="26" t="str">
        <f>IF(D263="","",IF(J263&gt;='13_Setting'!$H$7,"Tercapai",IF(J263&gt;='13_Setting'!$H$6,"On Track","Tertinggal")))</f>
        <v/>
      </c>
      <c r="N263" s="24"/>
    </row>
    <row r="264" spans="1:14">
      <c r="A264" s="24"/>
      <c r="B264" s="24"/>
      <c r="C264" s="25"/>
      <c r="D264" s="24"/>
      <c r="E264" s="26" t="str">
        <f>IFERROR(VLOOKUP(D264,'04_Master Karyawan'!$A$5:$F$50,2,FALSE),"")</f>
        <v/>
      </c>
      <c r="F264" s="24"/>
      <c r="G264" s="26" t="str">
        <f>IFERROR(VLOOKUP(F264,'05_Master KPI'!$B$5:$G$100,2,FALSE)&amp;" ("&amp;VLOOKUP(F264,'05_Master KPI'!$B$5:$G$100,3,FALSE)&amp;")","")</f>
        <v/>
      </c>
      <c r="H264" s="26">
        <f>IFERROR(IF(B264&lt;&gt;'06_Target KPI'!$B$3,0,IF(VLOOKUP(F264,'05_Master KPI'!$B$5:$G$100,6,FALSE)="Kumulatif",INDEX('06_Target KPI'!$E$5:$P$100,MATCH(F264,'06_Target KPI'!$B$5:$B$100,0),MATCH(A264,'06_Target KPI'!$E$4:$P$4,0))*DAY(C264)/DAY(EOMONTH(C264,0)),INDEX('06_Target KPI'!$E$5:$P$100,MATCH(F264,'06_Target KPI'!$B$5:$B$100,0),MATCH(A264,'06_Target KPI'!$E$4:$P$4,0)))),0)</f>
        <v>0</v>
      </c>
      <c r="I264" s="24"/>
      <c r="J264" s="27">
        <f>IFERROR(MIN(IF(VLOOKUP(F264,'05_Master KPI'!$B$5:$G$100,5,FALSE)="Lower",H264/I264,I264/H264),1),0)</f>
        <v>0</v>
      </c>
      <c r="K264" s="26">
        <f>IFERROR(VLOOKUP(F264,'05_Master KPI'!$B$5:$G$100,4,FALSE),0)</f>
        <v>0</v>
      </c>
      <c r="L264" s="28">
        <f t="shared" si="4"/>
        <v>0</v>
      </c>
      <c r="M264" s="26" t="str">
        <f>IF(D264="","",IF(J264&gt;='13_Setting'!$H$7,"Tercapai",IF(J264&gt;='13_Setting'!$H$6,"On Track","Tertinggal")))</f>
        <v/>
      </c>
      <c r="N264" s="24"/>
    </row>
    <row r="265" spans="1:14">
      <c r="A265" s="24"/>
      <c r="B265" s="24"/>
      <c r="C265" s="25"/>
      <c r="D265" s="24"/>
      <c r="E265" s="26" t="str">
        <f>IFERROR(VLOOKUP(D265,'04_Master Karyawan'!$A$5:$F$50,2,FALSE),"")</f>
        <v/>
      </c>
      <c r="F265" s="24"/>
      <c r="G265" s="26" t="str">
        <f>IFERROR(VLOOKUP(F265,'05_Master KPI'!$B$5:$G$100,2,FALSE)&amp;" ("&amp;VLOOKUP(F265,'05_Master KPI'!$B$5:$G$100,3,FALSE)&amp;")","")</f>
        <v/>
      </c>
      <c r="H265" s="26">
        <f>IFERROR(IF(B265&lt;&gt;'06_Target KPI'!$B$3,0,IF(VLOOKUP(F265,'05_Master KPI'!$B$5:$G$100,6,FALSE)="Kumulatif",INDEX('06_Target KPI'!$E$5:$P$100,MATCH(F265,'06_Target KPI'!$B$5:$B$100,0),MATCH(A265,'06_Target KPI'!$E$4:$P$4,0))*DAY(C265)/DAY(EOMONTH(C265,0)),INDEX('06_Target KPI'!$E$5:$P$100,MATCH(F265,'06_Target KPI'!$B$5:$B$100,0),MATCH(A265,'06_Target KPI'!$E$4:$P$4,0)))),0)</f>
        <v>0</v>
      </c>
      <c r="I265" s="24"/>
      <c r="J265" s="27">
        <f>IFERROR(MIN(IF(VLOOKUP(F265,'05_Master KPI'!$B$5:$G$100,5,FALSE)="Lower",H265/I265,I265/H265),1),0)</f>
        <v>0</v>
      </c>
      <c r="K265" s="26">
        <f>IFERROR(VLOOKUP(F265,'05_Master KPI'!$B$5:$G$100,4,FALSE),0)</f>
        <v>0</v>
      </c>
      <c r="L265" s="28">
        <f t="shared" si="4"/>
        <v>0</v>
      </c>
      <c r="M265" s="26" t="str">
        <f>IF(D265="","",IF(J265&gt;='13_Setting'!$H$7,"Tercapai",IF(J265&gt;='13_Setting'!$H$6,"On Track","Tertinggal")))</f>
        <v/>
      </c>
      <c r="N265" s="24"/>
    </row>
    <row r="266" spans="1:14">
      <c r="A266" s="24"/>
      <c r="B266" s="24"/>
      <c r="C266" s="25"/>
      <c r="D266" s="24"/>
      <c r="E266" s="26" t="str">
        <f>IFERROR(VLOOKUP(D266,'04_Master Karyawan'!$A$5:$F$50,2,FALSE),"")</f>
        <v/>
      </c>
      <c r="F266" s="24"/>
      <c r="G266" s="26" t="str">
        <f>IFERROR(VLOOKUP(F266,'05_Master KPI'!$B$5:$G$100,2,FALSE)&amp;" ("&amp;VLOOKUP(F266,'05_Master KPI'!$B$5:$G$100,3,FALSE)&amp;")","")</f>
        <v/>
      </c>
      <c r="H266" s="26">
        <f>IFERROR(IF(B266&lt;&gt;'06_Target KPI'!$B$3,0,IF(VLOOKUP(F266,'05_Master KPI'!$B$5:$G$100,6,FALSE)="Kumulatif",INDEX('06_Target KPI'!$E$5:$P$100,MATCH(F266,'06_Target KPI'!$B$5:$B$100,0),MATCH(A266,'06_Target KPI'!$E$4:$P$4,0))*DAY(C266)/DAY(EOMONTH(C266,0)),INDEX('06_Target KPI'!$E$5:$P$100,MATCH(F266,'06_Target KPI'!$B$5:$B$100,0),MATCH(A266,'06_Target KPI'!$E$4:$P$4,0)))),0)</f>
        <v>0</v>
      </c>
      <c r="I266" s="24"/>
      <c r="J266" s="27">
        <f>IFERROR(MIN(IF(VLOOKUP(F266,'05_Master KPI'!$B$5:$G$100,5,FALSE)="Lower",H266/I266,I266/H266),1),0)</f>
        <v>0</v>
      </c>
      <c r="K266" s="26">
        <f>IFERROR(VLOOKUP(F266,'05_Master KPI'!$B$5:$G$100,4,FALSE),0)</f>
        <v>0</v>
      </c>
      <c r="L266" s="28">
        <f t="shared" si="4"/>
        <v>0</v>
      </c>
      <c r="M266" s="26" t="str">
        <f>IF(D266="","",IF(J266&gt;='13_Setting'!$H$7,"Tercapai",IF(J266&gt;='13_Setting'!$H$6,"On Track","Tertinggal")))</f>
        <v/>
      </c>
      <c r="N266" s="24"/>
    </row>
    <row r="267" spans="1:14">
      <c r="A267" s="24"/>
      <c r="B267" s="24"/>
      <c r="C267" s="25"/>
      <c r="D267" s="24"/>
      <c r="E267" s="26" t="str">
        <f>IFERROR(VLOOKUP(D267,'04_Master Karyawan'!$A$5:$F$50,2,FALSE),"")</f>
        <v/>
      </c>
      <c r="F267" s="24"/>
      <c r="G267" s="26" t="str">
        <f>IFERROR(VLOOKUP(F267,'05_Master KPI'!$B$5:$G$100,2,FALSE)&amp;" ("&amp;VLOOKUP(F267,'05_Master KPI'!$B$5:$G$100,3,FALSE)&amp;")","")</f>
        <v/>
      </c>
      <c r="H267" s="26">
        <f>IFERROR(IF(B267&lt;&gt;'06_Target KPI'!$B$3,0,IF(VLOOKUP(F267,'05_Master KPI'!$B$5:$G$100,6,FALSE)="Kumulatif",INDEX('06_Target KPI'!$E$5:$P$100,MATCH(F267,'06_Target KPI'!$B$5:$B$100,0),MATCH(A267,'06_Target KPI'!$E$4:$P$4,0))*DAY(C267)/DAY(EOMONTH(C267,0)),INDEX('06_Target KPI'!$E$5:$P$100,MATCH(F267,'06_Target KPI'!$B$5:$B$100,0),MATCH(A267,'06_Target KPI'!$E$4:$P$4,0)))),0)</f>
        <v>0</v>
      </c>
      <c r="I267" s="24"/>
      <c r="J267" s="27">
        <f>IFERROR(MIN(IF(VLOOKUP(F267,'05_Master KPI'!$B$5:$G$100,5,FALSE)="Lower",H267/I267,I267/H267),1),0)</f>
        <v>0</v>
      </c>
      <c r="K267" s="26">
        <f>IFERROR(VLOOKUP(F267,'05_Master KPI'!$B$5:$G$100,4,FALSE),0)</f>
        <v>0</v>
      </c>
      <c r="L267" s="28">
        <f t="shared" si="4"/>
        <v>0</v>
      </c>
      <c r="M267" s="26" t="str">
        <f>IF(D267="","",IF(J267&gt;='13_Setting'!$H$7,"Tercapai",IF(J267&gt;='13_Setting'!$H$6,"On Track","Tertinggal")))</f>
        <v/>
      </c>
      <c r="N267" s="24"/>
    </row>
    <row r="268" spans="1:14">
      <c r="A268" s="24"/>
      <c r="B268" s="24"/>
      <c r="C268" s="25"/>
      <c r="D268" s="24"/>
      <c r="E268" s="26" t="str">
        <f>IFERROR(VLOOKUP(D268,'04_Master Karyawan'!$A$5:$F$50,2,FALSE),"")</f>
        <v/>
      </c>
      <c r="F268" s="24"/>
      <c r="G268" s="26" t="str">
        <f>IFERROR(VLOOKUP(F268,'05_Master KPI'!$B$5:$G$100,2,FALSE)&amp;" ("&amp;VLOOKUP(F268,'05_Master KPI'!$B$5:$G$100,3,FALSE)&amp;")","")</f>
        <v/>
      </c>
      <c r="H268" s="26">
        <f>IFERROR(IF(B268&lt;&gt;'06_Target KPI'!$B$3,0,IF(VLOOKUP(F268,'05_Master KPI'!$B$5:$G$100,6,FALSE)="Kumulatif",INDEX('06_Target KPI'!$E$5:$P$100,MATCH(F268,'06_Target KPI'!$B$5:$B$100,0),MATCH(A268,'06_Target KPI'!$E$4:$P$4,0))*DAY(C268)/DAY(EOMONTH(C268,0)),INDEX('06_Target KPI'!$E$5:$P$100,MATCH(F268,'06_Target KPI'!$B$5:$B$100,0),MATCH(A268,'06_Target KPI'!$E$4:$P$4,0)))),0)</f>
        <v>0</v>
      </c>
      <c r="I268" s="24"/>
      <c r="J268" s="27">
        <f>IFERROR(MIN(IF(VLOOKUP(F268,'05_Master KPI'!$B$5:$G$100,5,FALSE)="Lower",H268/I268,I268/H268),1),0)</f>
        <v>0</v>
      </c>
      <c r="K268" s="26">
        <f>IFERROR(VLOOKUP(F268,'05_Master KPI'!$B$5:$G$100,4,FALSE),0)</f>
        <v>0</v>
      </c>
      <c r="L268" s="28">
        <f t="shared" si="4"/>
        <v>0</v>
      </c>
      <c r="M268" s="26" t="str">
        <f>IF(D268="","",IF(J268&gt;='13_Setting'!$H$7,"Tercapai",IF(J268&gt;='13_Setting'!$H$6,"On Track","Tertinggal")))</f>
        <v/>
      </c>
      <c r="N268" s="24"/>
    </row>
    <row r="269" spans="1:14">
      <c r="A269" s="24"/>
      <c r="B269" s="24"/>
      <c r="C269" s="25"/>
      <c r="D269" s="24"/>
      <c r="E269" s="26" t="str">
        <f>IFERROR(VLOOKUP(D269,'04_Master Karyawan'!$A$5:$F$50,2,FALSE),"")</f>
        <v/>
      </c>
      <c r="F269" s="24"/>
      <c r="G269" s="26" t="str">
        <f>IFERROR(VLOOKUP(F269,'05_Master KPI'!$B$5:$G$100,2,FALSE)&amp;" ("&amp;VLOOKUP(F269,'05_Master KPI'!$B$5:$G$100,3,FALSE)&amp;")","")</f>
        <v/>
      </c>
      <c r="H269" s="26">
        <f>IFERROR(IF(B269&lt;&gt;'06_Target KPI'!$B$3,0,IF(VLOOKUP(F269,'05_Master KPI'!$B$5:$G$100,6,FALSE)="Kumulatif",INDEX('06_Target KPI'!$E$5:$P$100,MATCH(F269,'06_Target KPI'!$B$5:$B$100,0),MATCH(A269,'06_Target KPI'!$E$4:$P$4,0))*DAY(C269)/DAY(EOMONTH(C269,0)),INDEX('06_Target KPI'!$E$5:$P$100,MATCH(F269,'06_Target KPI'!$B$5:$B$100,0),MATCH(A269,'06_Target KPI'!$E$4:$P$4,0)))),0)</f>
        <v>0</v>
      </c>
      <c r="I269" s="24"/>
      <c r="J269" s="27">
        <f>IFERROR(MIN(IF(VLOOKUP(F269,'05_Master KPI'!$B$5:$G$100,5,FALSE)="Lower",H269/I269,I269/H269),1),0)</f>
        <v>0</v>
      </c>
      <c r="K269" s="26">
        <f>IFERROR(VLOOKUP(F269,'05_Master KPI'!$B$5:$G$100,4,FALSE),0)</f>
        <v>0</v>
      </c>
      <c r="L269" s="28">
        <f t="shared" si="4"/>
        <v>0</v>
      </c>
      <c r="M269" s="26" t="str">
        <f>IF(D269="","",IF(J269&gt;='13_Setting'!$H$7,"Tercapai",IF(J269&gt;='13_Setting'!$H$6,"On Track","Tertinggal")))</f>
        <v/>
      </c>
      <c r="N269" s="24"/>
    </row>
    <row r="270" spans="1:14">
      <c r="A270" s="24"/>
      <c r="B270" s="24"/>
      <c r="C270" s="25"/>
      <c r="D270" s="24"/>
      <c r="E270" s="26" t="str">
        <f>IFERROR(VLOOKUP(D270,'04_Master Karyawan'!$A$5:$F$50,2,FALSE),"")</f>
        <v/>
      </c>
      <c r="F270" s="24"/>
      <c r="G270" s="26" t="str">
        <f>IFERROR(VLOOKUP(F270,'05_Master KPI'!$B$5:$G$100,2,FALSE)&amp;" ("&amp;VLOOKUP(F270,'05_Master KPI'!$B$5:$G$100,3,FALSE)&amp;")","")</f>
        <v/>
      </c>
      <c r="H270" s="26">
        <f>IFERROR(IF(B270&lt;&gt;'06_Target KPI'!$B$3,0,IF(VLOOKUP(F270,'05_Master KPI'!$B$5:$G$100,6,FALSE)="Kumulatif",INDEX('06_Target KPI'!$E$5:$P$100,MATCH(F270,'06_Target KPI'!$B$5:$B$100,0),MATCH(A270,'06_Target KPI'!$E$4:$P$4,0))*DAY(C270)/DAY(EOMONTH(C270,0)),INDEX('06_Target KPI'!$E$5:$P$100,MATCH(F270,'06_Target KPI'!$B$5:$B$100,0),MATCH(A270,'06_Target KPI'!$E$4:$P$4,0)))),0)</f>
        <v>0</v>
      </c>
      <c r="I270" s="24"/>
      <c r="J270" s="27">
        <f>IFERROR(MIN(IF(VLOOKUP(F270,'05_Master KPI'!$B$5:$G$100,5,FALSE)="Lower",H270/I270,I270/H270),1),0)</f>
        <v>0</v>
      </c>
      <c r="K270" s="26">
        <f>IFERROR(VLOOKUP(F270,'05_Master KPI'!$B$5:$G$100,4,FALSE),0)</f>
        <v>0</v>
      </c>
      <c r="L270" s="28">
        <f t="shared" si="4"/>
        <v>0</v>
      </c>
      <c r="M270" s="26" t="str">
        <f>IF(D270="","",IF(J270&gt;='13_Setting'!$H$7,"Tercapai",IF(J270&gt;='13_Setting'!$H$6,"On Track","Tertinggal")))</f>
        <v/>
      </c>
      <c r="N270" s="24"/>
    </row>
    <row r="271" spans="1:14">
      <c r="A271" s="24"/>
      <c r="B271" s="24"/>
      <c r="C271" s="25"/>
      <c r="D271" s="24"/>
      <c r="E271" s="26" t="str">
        <f>IFERROR(VLOOKUP(D271,'04_Master Karyawan'!$A$5:$F$50,2,FALSE),"")</f>
        <v/>
      </c>
      <c r="F271" s="24"/>
      <c r="G271" s="26" t="str">
        <f>IFERROR(VLOOKUP(F271,'05_Master KPI'!$B$5:$G$100,2,FALSE)&amp;" ("&amp;VLOOKUP(F271,'05_Master KPI'!$B$5:$G$100,3,FALSE)&amp;")","")</f>
        <v/>
      </c>
      <c r="H271" s="26">
        <f>IFERROR(IF(B271&lt;&gt;'06_Target KPI'!$B$3,0,IF(VLOOKUP(F271,'05_Master KPI'!$B$5:$G$100,6,FALSE)="Kumulatif",INDEX('06_Target KPI'!$E$5:$P$100,MATCH(F271,'06_Target KPI'!$B$5:$B$100,0),MATCH(A271,'06_Target KPI'!$E$4:$P$4,0))*DAY(C271)/DAY(EOMONTH(C271,0)),INDEX('06_Target KPI'!$E$5:$P$100,MATCH(F271,'06_Target KPI'!$B$5:$B$100,0),MATCH(A271,'06_Target KPI'!$E$4:$P$4,0)))),0)</f>
        <v>0</v>
      </c>
      <c r="I271" s="24"/>
      <c r="J271" s="27">
        <f>IFERROR(MIN(IF(VLOOKUP(F271,'05_Master KPI'!$B$5:$G$100,5,FALSE)="Lower",H271/I271,I271/H271),1),0)</f>
        <v>0</v>
      </c>
      <c r="K271" s="26">
        <f>IFERROR(VLOOKUP(F271,'05_Master KPI'!$B$5:$G$100,4,FALSE),0)</f>
        <v>0</v>
      </c>
      <c r="L271" s="28">
        <f t="shared" si="4"/>
        <v>0</v>
      </c>
      <c r="M271" s="26" t="str">
        <f>IF(D271="","",IF(J271&gt;='13_Setting'!$H$7,"Tercapai",IF(J271&gt;='13_Setting'!$H$6,"On Track","Tertinggal")))</f>
        <v/>
      </c>
      <c r="N271" s="24"/>
    </row>
    <row r="272" spans="1:14">
      <c r="A272" s="24"/>
      <c r="B272" s="24"/>
      <c r="C272" s="25"/>
      <c r="D272" s="24"/>
      <c r="E272" s="26" t="str">
        <f>IFERROR(VLOOKUP(D272,'04_Master Karyawan'!$A$5:$F$50,2,FALSE),"")</f>
        <v/>
      </c>
      <c r="F272" s="24"/>
      <c r="G272" s="26" t="str">
        <f>IFERROR(VLOOKUP(F272,'05_Master KPI'!$B$5:$G$100,2,FALSE)&amp;" ("&amp;VLOOKUP(F272,'05_Master KPI'!$B$5:$G$100,3,FALSE)&amp;")","")</f>
        <v/>
      </c>
      <c r="H272" s="26">
        <f>IFERROR(IF(B272&lt;&gt;'06_Target KPI'!$B$3,0,IF(VLOOKUP(F272,'05_Master KPI'!$B$5:$G$100,6,FALSE)="Kumulatif",INDEX('06_Target KPI'!$E$5:$P$100,MATCH(F272,'06_Target KPI'!$B$5:$B$100,0),MATCH(A272,'06_Target KPI'!$E$4:$P$4,0))*DAY(C272)/DAY(EOMONTH(C272,0)),INDEX('06_Target KPI'!$E$5:$P$100,MATCH(F272,'06_Target KPI'!$B$5:$B$100,0),MATCH(A272,'06_Target KPI'!$E$4:$P$4,0)))),0)</f>
        <v>0</v>
      </c>
      <c r="I272" s="24"/>
      <c r="J272" s="27">
        <f>IFERROR(MIN(IF(VLOOKUP(F272,'05_Master KPI'!$B$5:$G$100,5,FALSE)="Lower",H272/I272,I272/H272),1),0)</f>
        <v>0</v>
      </c>
      <c r="K272" s="26">
        <f>IFERROR(VLOOKUP(F272,'05_Master KPI'!$B$5:$G$100,4,FALSE),0)</f>
        <v>0</v>
      </c>
      <c r="L272" s="28">
        <f t="shared" si="4"/>
        <v>0</v>
      </c>
      <c r="M272" s="26" t="str">
        <f>IF(D272="","",IF(J272&gt;='13_Setting'!$H$7,"Tercapai",IF(J272&gt;='13_Setting'!$H$6,"On Track","Tertinggal")))</f>
        <v/>
      </c>
      <c r="N272" s="24"/>
    </row>
    <row r="273" spans="1:14">
      <c r="A273" s="24"/>
      <c r="B273" s="24"/>
      <c r="C273" s="25"/>
      <c r="D273" s="24"/>
      <c r="E273" s="26" t="str">
        <f>IFERROR(VLOOKUP(D273,'04_Master Karyawan'!$A$5:$F$50,2,FALSE),"")</f>
        <v/>
      </c>
      <c r="F273" s="24"/>
      <c r="G273" s="26" t="str">
        <f>IFERROR(VLOOKUP(F273,'05_Master KPI'!$B$5:$G$100,2,FALSE)&amp;" ("&amp;VLOOKUP(F273,'05_Master KPI'!$B$5:$G$100,3,FALSE)&amp;")","")</f>
        <v/>
      </c>
      <c r="H273" s="26">
        <f>IFERROR(IF(B273&lt;&gt;'06_Target KPI'!$B$3,0,IF(VLOOKUP(F273,'05_Master KPI'!$B$5:$G$100,6,FALSE)="Kumulatif",INDEX('06_Target KPI'!$E$5:$P$100,MATCH(F273,'06_Target KPI'!$B$5:$B$100,0),MATCH(A273,'06_Target KPI'!$E$4:$P$4,0))*DAY(C273)/DAY(EOMONTH(C273,0)),INDEX('06_Target KPI'!$E$5:$P$100,MATCH(F273,'06_Target KPI'!$B$5:$B$100,0),MATCH(A273,'06_Target KPI'!$E$4:$P$4,0)))),0)</f>
        <v>0</v>
      </c>
      <c r="I273" s="24"/>
      <c r="J273" s="27">
        <f>IFERROR(MIN(IF(VLOOKUP(F273,'05_Master KPI'!$B$5:$G$100,5,FALSE)="Lower",H273/I273,I273/H273),1),0)</f>
        <v>0</v>
      </c>
      <c r="K273" s="26">
        <f>IFERROR(VLOOKUP(F273,'05_Master KPI'!$B$5:$G$100,4,FALSE),0)</f>
        <v>0</v>
      </c>
      <c r="L273" s="28">
        <f t="shared" si="4"/>
        <v>0</v>
      </c>
      <c r="M273" s="26" t="str">
        <f>IF(D273="","",IF(J273&gt;='13_Setting'!$H$7,"Tercapai",IF(J273&gt;='13_Setting'!$H$6,"On Track","Tertinggal")))</f>
        <v/>
      </c>
      <c r="N273" s="24"/>
    </row>
    <row r="274" spans="1:14">
      <c r="A274" s="24"/>
      <c r="B274" s="24"/>
      <c r="C274" s="25"/>
      <c r="D274" s="24"/>
      <c r="E274" s="26" t="str">
        <f>IFERROR(VLOOKUP(D274,'04_Master Karyawan'!$A$5:$F$50,2,FALSE),"")</f>
        <v/>
      </c>
      <c r="F274" s="24"/>
      <c r="G274" s="26" t="str">
        <f>IFERROR(VLOOKUP(F274,'05_Master KPI'!$B$5:$G$100,2,FALSE)&amp;" ("&amp;VLOOKUP(F274,'05_Master KPI'!$B$5:$G$100,3,FALSE)&amp;")","")</f>
        <v/>
      </c>
      <c r="H274" s="26">
        <f>IFERROR(IF(B274&lt;&gt;'06_Target KPI'!$B$3,0,IF(VLOOKUP(F274,'05_Master KPI'!$B$5:$G$100,6,FALSE)="Kumulatif",INDEX('06_Target KPI'!$E$5:$P$100,MATCH(F274,'06_Target KPI'!$B$5:$B$100,0),MATCH(A274,'06_Target KPI'!$E$4:$P$4,0))*DAY(C274)/DAY(EOMONTH(C274,0)),INDEX('06_Target KPI'!$E$5:$P$100,MATCH(F274,'06_Target KPI'!$B$5:$B$100,0),MATCH(A274,'06_Target KPI'!$E$4:$P$4,0)))),0)</f>
        <v>0</v>
      </c>
      <c r="I274" s="24"/>
      <c r="J274" s="27">
        <f>IFERROR(MIN(IF(VLOOKUP(F274,'05_Master KPI'!$B$5:$G$100,5,FALSE)="Lower",H274/I274,I274/H274),1),0)</f>
        <v>0</v>
      </c>
      <c r="K274" s="26">
        <f>IFERROR(VLOOKUP(F274,'05_Master KPI'!$B$5:$G$100,4,FALSE),0)</f>
        <v>0</v>
      </c>
      <c r="L274" s="28">
        <f t="shared" si="4"/>
        <v>0</v>
      </c>
      <c r="M274" s="26" t="str">
        <f>IF(D274="","",IF(J274&gt;='13_Setting'!$H$7,"Tercapai",IF(J274&gt;='13_Setting'!$H$6,"On Track","Tertinggal")))</f>
        <v/>
      </c>
      <c r="N274" s="24"/>
    </row>
    <row r="275" spans="1:14">
      <c r="A275" s="24"/>
      <c r="B275" s="24"/>
      <c r="C275" s="25"/>
      <c r="D275" s="24"/>
      <c r="E275" s="26" t="str">
        <f>IFERROR(VLOOKUP(D275,'04_Master Karyawan'!$A$5:$F$50,2,FALSE),"")</f>
        <v/>
      </c>
      <c r="F275" s="24"/>
      <c r="G275" s="26" t="str">
        <f>IFERROR(VLOOKUP(F275,'05_Master KPI'!$B$5:$G$100,2,FALSE)&amp;" ("&amp;VLOOKUP(F275,'05_Master KPI'!$B$5:$G$100,3,FALSE)&amp;")","")</f>
        <v/>
      </c>
      <c r="H275" s="26">
        <f>IFERROR(IF(B275&lt;&gt;'06_Target KPI'!$B$3,0,IF(VLOOKUP(F275,'05_Master KPI'!$B$5:$G$100,6,FALSE)="Kumulatif",INDEX('06_Target KPI'!$E$5:$P$100,MATCH(F275,'06_Target KPI'!$B$5:$B$100,0),MATCH(A275,'06_Target KPI'!$E$4:$P$4,0))*DAY(C275)/DAY(EOMONTH(C275,0)),INDEX('06_Target KPI'!$E$5:$P$100,MATCH(F275,'06_Target KPI'!$B$5:$B$100,0),MATCH(A275,'06_Target KPI'!$E$4:$P$4,0)))),0)</f>
        <v>0</v>
      </c>
      <c r="I275" s="24"/>
      <c r="J275" s="27">
        <f>IFERROR(MIN(IF(VLOOKUP(F275,'05_Master KPI'!$B$5:$G$100,5,FALSE)="Lower",H275/I275,I275/H275),1),0)</f>
        <v>0</v>
      </c>
      <c r="K275" s="26">
        <f>IFERROR(VLOOKUP(F275,'05_Master KPI'!$B$5:$G$100,4,FALSE),0)</f>
        <v>0</v>
      </c>
      <c r="L275" s="28">
        <f t="shared" si="4"/>
        <v>0</v>
      </c>
      <c r="M275" s="26" t="str">
        <f>IF(D275="","",IF(J275&gt;='13_Setting'!$H$7,"Tercapai",IF(J275&gt;='13_Setting'!$H$6,"On Track","Tertinggal")))</f>
        <v/>
      </c>
      <c r="N275" s="24"/>
    </row>
    <row r="276" spans="1:14">
      <c r="A276" s="24"/>
      <c r="B276" s="24"/>
      <c r="C276" s="25"/>
      <c r="D276" s="24"/>
      <c r="E276" s="26" t="str">
        <f>IFERROR(VLOOKUP(D276,'04_Master Karyawan'!$A$5:$F$50,2,FALSE),"")</f>
        <v/>
      </c>
      <c r="F276" s="24"/>
      <c r="G276" s="26" t="str">
        <f>IFERROR(VLOOKUP(F276,'05_Master KPI'!$B$5:$G$100,2,FALSE)&amp;" ("&amp;VLOOKUP(F276,'05_Master KPI'!$B$5:$G$100,3,FALSE)&amp;")","")</f>
        <v/>
      </c>
      <c r="H276" s="26">
        <f>IFERROR(IF(B276&lt;&gt;'06_Target KPI'!$B$3,0,IF(VLOOKUP(F276,'05_Master KPI'!$B$5:$G$100,6,FALSE)="Kumulatif",INDEX('06_Target KPI'!$E$5:$P$100,MATCH(F276,'06_Target KPI'!$B$5:$B$100,0),MATCH(A276,'06_Target KPI'!$E$4:$P$4,0))*DAY(C276)/DAY(EOMONTH(C276,0)),INDEX('06_Target KPI'!$E$5:$P$100,MATCH(F276,'06_Target KPI'!$B$5:$B$100,0),MATCH(A276,'06_Target KPI'!$E$4:$P$4,0)))),0)</f>
        <v>0</v>
      </c>
      <c r="I276" s="24"/>
      <c r="J276" s="27">
        <f>IFERROR(MIN(IF(VLOOKUP(F276,'05_Master KPI'!$B$5:$G$100,5,FALSE)="Lower",H276/I276,I276/H276),1),0)</f>
        <v>0</v>
      </c>
      <c r="K276" s="26">
        <f>IFERROR(VLOOKUP(F276,'05_Master KPI'!$B$5:$G$100,4,FALSE),0)</f>
        <v>0</v>
      </c>
      <c r="L276" s="28">
        <f t="shared" si="4"/>
        <v>0</v>
      </c>
      <c r="M276" s="26" t="str">
        <f>IF(D276="","",IF(J276&gt;='13_Setting'!$H$7,"Tercapai",IF(J276&gt;='13_Setting'!$H$6,"On Track","Tertinggal")))</f>
        <v/>
      </c>
      <c r="N276" s="24"/>
    </row>
    <row r="277" spans="1:14">
      <c r="A277" s="24"/>
      <c r="B277" s="24"/>
      <c r="C277" s="25"/>
      <c r="D277" s="24"/>
      <c r="E277" s="26" t="str">
        <f>IFERROR(VLOOKUP(D277,'04_Master Karyawan'!$A$5:$F$50,2,FALSE),"")</f>
        <v/>
      </c>
      <c r="F277" s="24"/>
      <c r="G277" s="26" t="str">
        <f>IFERROR(VLOOKUP(F277,'05_Master KPI'!$B$5:$G$100,2,FALSE)&amp;" ("&amp;VLOOKUP(F277,'05_Master KPI'!$B$5:$G$100,3,FALSE)&amp;")","")</f>
        <v/>
      </c>
      <c r="H277" s="26">
        <f>IFERROR(IF(B277&lt;&gt;'06_Target KPI'!$B$3,0,IF(VLOOKUP(F277,'05_Master KPI'!$B$5:$G$100,6,FALSE)="Kumulatif",INDEX('06_Target KPI'!$E$5:$P$100,MATCH(F277,'06_Target KPI'!$B$5:$B$100,0),MATCH(A277,'06_Target KPI'!$E$4:$P$4,0))*DAY(C277)/DAY(EOMONTH(C277,0)),INDEX('06_Target KPI'!$E$5:$P$100,MATCH(F277,'06_Target KPI'!$B$5:$B$100,0),MATCH(A277,'06_Target KPI'!$E$4:$P$4,0)))),0)</f>
        <v>0</v>
      </c>
      <c r="I277" s="24"/>
      <c r="J277" s="27">
        <f>IFERROR(MIN(IF(VLOOKUP(F277,'05_Master KPI'!$B$5:$G$100,5,FALSE)="Lower",H277/I277,I277/H277),1),0)</f>
        <v>0</v>
      </c>
      <c r="K277" s="26">
        <f>IFERROR(VLOOKUP(F277,'05_Master KPI'!$B$5:$G$100,4,FALSE),0)</f>
        <v>0</v>
      </c>
      <c r="L277" s="28">
        <f t="shared" si="4"/>
        <v>0</v>
      </c>
      <c r="M277" s="26" t="str">
        <f>IF(D277="","",IF(J277&gt;='13_Setting'!$H$7,"Tercapai",IF(J277&gt;='13_Setting'!$H$6,"On Track","Tertinggal")))</f>
        <v/>
      </c>
      <c r="N277" s="24"/>
    </row>
    <row r="278" spans="1:14">
      <c r="A278" s="24"/>
      <c r="B278" s="24"/>
      <c r="C278" s="25"/>
      <c r="D278" s="24"/>
      <c r="E278" s="26" t="str">
        <f>IFERROR(VLOOKUP(D278,'04_Master Karyawan'!$A$5:$F$50,2,FALSE),"")</f>
        <v/>
      </c>
      <c r="F278" s="24"/>
      <c r="G278" s="26" t="str">
        <f>IFERROR(VLOOKUP(F278,'05_Master KPI'!$B$5:$G$100,2,FALSE)&amp;" ("&amp;VLOOKUP(F278,'05_Master KPI'!$B$5:$G$100,3,FALSE)&amp;")","")</f>
        <v/>
      </c>
      <c r="H278" s="26">
        <f>IFERROR(IF(B278&lt;&gt;'06_Target KPI'!$B$3,0,IF(VLOOKUP(F278,'05_Master KPI'!$B$5:$G$100,6,FALSE)="Kumulatif",INDEX('06_Target KPI'!$E$5:$P$100,MATCH(F278,'06_Target KPI'!$B$5:$B$100,0),MATCH(A278,'06_Target KPI'!$E$4:$P$4,0))*DAY(C278)/DAY(EOMONTH(C278,0)),INDEX('06_Target KPI'!$E$5:$P$100,MATCH(F278,'06_Target KPI'!$B$5:$B$100,0),MATCH(A278,'06_Target KPI'!$E$4:$P$4,0)))),0)</f>
        <v>0</v>
      </c>
      <c r="I278" s="24"/>
      <c r="J278" s="27">
        <f>IFERROR(MIN(IF(VLOOKUP(F278,'05_Master KPI'!$B$5:$G$100,5,FALSE)="Lower",H278/I278,I278/H278),1),0)</f>
        <v>0</v>
      </c>
      <c r="K278" s="26">
        <f>IFERROR(VLOOKUP(F278,'05_Master KPI'!$B$5:$G$100,4,FALSE),0)</f>
        <v>0</v>
      </c>
      <c r="L278" s="28">
        <f t="shared" si="4"/>
        <v>0</v>
      </c>
      <c r="M278" s="26" t="str">
        <f>IF(D278="","",IF(J278&gt;='13_Setting'!$H$7,"Tercapai",IF(J278&gt;='13_Setting'!$H$6,"On Track","Tertinggal")))</f>
        <v/>
      </c>
      <c r="N278" s="24"/>
    </row>
    <row r="279" spans="1:14">
      <c r="A279" s="24"/>
      <c r="B279" s="24"/>
      <c r="C279" s="25"/>
      <c r="D279" s="24"/>
      <c r="E279" s="26" t="str">
        <f>IFERROR(VLOOKUP(D279,'04_Master Karyawan'!$A$5:$F$50,2,FALSE),"")</f>
        <v/>
      </c>
      <c r="F279" s="24"/>
      <c r="G279" s="26" t="str">
        <f>IFERROR(VLOOKUP(F279,'05_Master KPI'!$B$5:$G$100,2,FALSE)&amp;" ("&amp;VLOOKUP(F279,'05_Master KPI'!$B$5:$G$100,3,FALSE)&amp;")","")</f>
        <v/>
      </c>
      <c r="H279" s="26">
        <f>IFERROR(IF(B279&lt;&gt;'06_Target KPI'!$B$3,0,IF(VLOOKUP(F279,'05_Master KPI'!$B$5:$G$100,6,FALSE)="Kumulatif",INDEX('06_Target KPI'!$E$5:$P$100,MATCH(F279,'06_Target KPI'!$B$5:$B$100,0),MATCH(A279,'06_Target KPI'!$E$4:$P$4,0))*DAY(C279)/DAY(EOMONTH(C279,0)),INDEX('06_Target KPI'!$E$5:$P$100,MATCH(F279,'06_Target KPI'!$B$5:$B$100,0),MATCH(A279,'06_Target KPI'!$E$4:$P$4,0)))),0)</f>
        <v>0</v>
      </c>
      <c r="I279" s="24"/>
      <c r="J279" s="27">
        <f>IFERROR(MIN(IF(VLOOKUP(F279,'05_Master KPI'!$B$5:$G$100,5,FALSE)="Lower",H279/I279,I279/H279),1),0)</f>
        <v>0</v>
      </c>
      <c r="K279" s="26">
        <f>IFERROR(VLOOKUP(F279,'05_Master KPI'!$B$5:$G$100,4,FALSE),0)</f>
        <v>0</v>
      </c>
      <c r="L279" s="28">
        <f t="shared" si="4"/>
        <v>0</v>
      </c>
      <c r="M279" s="26" t="str">
        <f>IF(D279="","",IF(J279&gt;='13_Setting'!$H$7,"Tercapai",IF(J279&gt;='13_Setting'!$H$6,"On Track","Tertinggal")))</f>
        <v/>
      </c>
      <c r="N279" s="24"/>
    </row>
    <row r="280" spans="1:14">
      <c r="A280" s="24"/>
      <c r="B280" s="24"/>
      <c r="C280" s="25"/>
      <c r="D280" s="24"/>
      <c r="E280" s="26" t="str">
        <f>IFERROR(VLOOKUP(D280,'04_Master Karyawan'!$A$5:$F$50,2,FALSE),"")</f>
        <v/>
      </c>
      <c r="F280" s="24"/>
      <c r="G280" s="26" t="str">
        <f>IFERROR(VLOOKUP(F280,'05_Master KPI'!$B$5:$G$100,2,FALSE)&amp;" ("&amp;VLOOKUP(F280,'05_Master KPI'!$B$5:$G$100,3,FALSE)&amp;")","")</f>
        <v/>
      </c>
      <c r="H280" s="26">
        <f>IFERROR(IF(B280&lt;&gt;'06_Target KPI'!$B$3,0,IF(VLOOKUP(F280,'05_Master KPI'!$B$5:$G$100,6,FALSE)="Kumulatif",INDEX('06_Target KPI'!$E$5:$P$100,MATCH(F280,'06_Target KPI'!$B$5:$B$100,0),MATCH(A280,'06_Target KPI'!$E$4:$P$4,0))*DAY(C280)/DAY(EOMONTH(C280,0)),INDEX('06_Target KPI'!$E$5:$P$100,MATCH(F280,'06_Target KPI'!$B$5:$B$100,0),MATCH(A280,'06_Target KPI'!$E$4:$P$4,0)))),0)</f>
        <v>0</v>
      </c>
      <c r="I280" s="24"/>
      <c r="J280" s="27">
        <f>IFERROR(MIN(IF(VLOOKUP(F280,'05_Master KPI'!$B$5:$G$100,5,FALSE)="Lower",H280/I280,I280/H280),1),0)</f>
        <v>0</v>
      </c>
      <c r="K280" s="26">
        <f>IFERROR(VLOOKUP(F280,'05_Master KPI'!$B$5:$G$100,4,FALSE),0)</f>
        <v>0</v>
      </c>
      <c r="L280" s="28">
        <f t="shared" si="4"/>
        <v>0</v>
      </c>
      <c r="M280" s="26" t="str">
        <f>IF(D280="","",IF(J280&gt;='13_Setting'!$H$7,"Tercapai",IF(J280&gt;='13_Setting'!$H$6,"On Track","Tertinggal")))</f>
        <v/>
      </c>
      <c r="N280" s="24"/>
    </row>
    <row r="281" spans="1:14">
      <c r="A281" s="24"/>
      <c r="B281" s="24"/>
      <c r="C281" s="25"/>
      <c r="D281" s="24"/>
      <c r="E281" s="26" t="str">
        <f>IFERROR(VLOOKUP(D281,'04_Master Karyawan'!$A$5:$F$50,2,FALSE),"")</f>
        <v/>
      </c>
      <c r="F281" s="24"/>
      <c r="G281" s="26" t="str">
        <f>IFERROR(VLOOKUP(F281,'05_Master KPI'!$B$5:$G$100,2,FALSE)&amp;" ("&amp;VLOOKUP(F281,'05_Master KPI'!$B$5:$G$100,3,FALSE)&amp;")","")</f>
        <v/>
      </c>
      <c r="H281" s="26">
        <f>IFERROR(IF(B281&lt;&gt;'06_Target KPI'!$B$3,0,IF(VLOOKUP(F281,'05_Master KPI'!$B$5:$G$100,6,FALSE)="Kumulatif",INDEX('06_Target KPI'!$E$5:$P$100,MATCH(F281,'06_Target KPI'!$B$5:$B$100,0),MATCH(A281,'06_Target KPI'!$E$4:$P$4,0))*DAY(C281)/DAY(EOMONTH(C281,0)),INDEX('06_Target KPI'!$E$5:$P$100,MATCH(F281,'06_Target KPI'!$B$5:$B$100,0),MATCH(A281,'06_Target KPI'!$E$4:$P$4,0)))),0)</f>
        <v>0</v>
      </c>
      <c r="I281" s="24"/>
      <c r="J281" s="27">
        <f>IFERROR(MIN(IF(VLOOKUP(F281,'05_Master KPI'!$B$5:$G$100,5,FALSE)="Lower",H281/I281,I281/H281),1),0)</f>
        <v>0</v>
      </c>
      <c r="K281" s="26">
        <f>IFERROR(VLOOKUP(F281,'05_Master KPI'!$B$5:$G$100,4,FALSE),0)</f>
        <v>0</v>
      </c>
      <c r="L281" s="28">
        <f t="shared" si="4"/>
        <v>0</v>
      </c>
      <c r="M281" s="26" t="str">
        <f>IF(D281="","",IF(J281&gt;='13_Setting'!$H$7,"Tercapai",IF(J281&gt;='13_Setting'!$H$6,"On Track","Tertinggal")))</f>
        <v/>
      </c>
      <c r="N281" s="24"/>
    </row>
    <row r="282" spans="1:14">
      <c r="A282" s="24"/>
      <c r="B282" s="24"/>
      <c r="C282" s="25"/>
      <c r="D282" s="24"/>
      <c r="E282" s="26" t="str">
        <f>IFERROR(VLOOKUP(D282,'04_Master Karyawan'!$A$5:$F$50,2,FALSE),"")</f>
        <v/>
      </c>
      <c r="F282" s="24"/>
      <c r="G282" s="26" t="str">
        <f>IFERROR(VLOOKUP(F282,'05_Master KPI'!$B$5:$G$100,2,FALSE)&amp;" ("&amp;VLOOKUP(F282,'05_Master KPI'!$B$5:$G$100,3,FALSE)&amp;")","")</f>
        <v/>
      </c>
      <c r="H282" s="26">
        <f>IFERROR(IF(B282&lt;&gt;'06_Target KPI'!$B$3,0,IF(VLOOKUP(F282,'05_Master KPI'!$B$5:$G$100,6,FALSE)="Kumulatif",INDEX('06_Target KPI'!$E$5:$P$100,MATCH(F282,'06_Target KPI'!$B$5:$B$100,0),MATCH(A282,'06_Target KPI'!$E$4:$P$4,0))*DAY(C282)/DAY(EOMONTH(C282,0)),INDEX('06_Target KPI'!$E$5:$P$100,MATCH(F282,'06_Target KPI'!$B$5:$B$100,0),MATCH(A282,'06_Target KPI'!$E$4:$P$4,0)))),0)</f>
        <v>0</v>
      </c>
      <c r="I282" s="24"/>
      <c r="J282" s="27">
        <f>IFERROR(MIN(IF(VLOOKUP(F282,'05_Master KPI'!$B$5:$G$100,5,FALSE)="Lower",H282/I282,I282/H282),1),0)</f>
        <v>0</v>
      </c>
      <c r="K282" s="26">
        <f>IFERROR(VLOOKUP(F282,'05_Master KPI'!$B$5:$G$100,4,FALSE),0)</f>
        <v>0</v>
      </c>
      <c r="L282" s="28">
        <f t="shared" si="4"/>
        <v>0</v>
      </c>
      <c r="M282" s="26" t="str">
        <f>IF(D282="","",IF(J282&gt;='13_Setting'!$H$7,"Tercapai",IF(J282&gt;='13_Setting'!$H$6,"On Track","Tertinggal")))</f>
        <v/>
      </c>
      <c r="N282" s="24"/>
    </row>
    <row r="283" spans="1:14">
      <c r="A283" s="24"/>
      <c r="B283" s="24"/>
      <c r="C283" s="25"/>
      <c r="D283" s="24"/>
      <c r="E283" s="26" t="str">
        <f>IFERROR(VLOOKUP(D283,'04_Master Karyawan'!$A$5:$F$50,2,FALSE),"")</f>
        <v/>
      </c>
      <c r="F283" s="24"/>
      <c r="G283" s="26" t="str">
        <f>IFERROR(VLOOKUP(F283,'05_Master KPI'!$B$5:$G$100,2,FALSE)&amp;" ("&amp;VLOOKUP(F283,'05_Master KPI'!$B$5:$G$100,3,FALSE)&amp;")","")</f>
        <v/>
      </c>
      <c r="H283" s="26">
        <f>IFERROR(IF(B283&lt;&gt;'06_Target KPI'!$B$3,0,IF(VLOOKUP(F283,'05_Master KPI'!$B$5:$G$100,6,FALSE)="Kumulatif",INDEX('06_Target KPI'!$E$5:$P$100,MATCH(F283,'06_Target KPI'!$B$5:$B$100,0),MATCH(A283,'06_Target KPI'!$E$4:$P$4,0))*DAY(C283)/DAY(EOMONTH(C283,0)),INDEX('06_Target KPI'!$E$5:$P$100,MATCH(F283,'06_Target KPI'!$B$5:$B$100,0),MATCH(A283,'06_Target KPI'!$E$4:$P$4,0)))),0)</f>
        <v>0</v>
      </c>
      <c r="I283" s="24"/>
      <c r="J283" s="27">
        <f>IFERROR(MIN(IF(VLOOKUP(F283,'05_Master KPI'!$B$5:$G$100,5,FALSE)="Lower",H283/I283,I283/H283),1),0)</f>
        <v>0</v>
      </c>
      <c r="K283" s="26">
        <f>IFERROR(VLOOKUP(F283,'05_Master KPI'!$B$5:$G$100,4,FALSE),0)</f>
        <v>0</v>
      </c>
      <c r="L283" s="28">
        <f t="shared" si="4"/>
        <v>0</v>
      </c>
      <c r="M283" s="26" t="str">
        <f>IF(D283="","",IF(J283&gt;='13_Setting'!$H$7,"Tercapai",IF(J283&gt;='13_Setting'!$H$6,"On Track","Tertinggal")))</f>
        <v/>
      </c>
      <c r="N283" s="24"/>
    </row>
    <row r="284" spans="1:14">
      <c r="A284" s="24"/>
      <c r="B284" s="24"/>
      <c r="C284" s="25"/>
      <c r="D284" s="24"/>
      <c r="E284" s="26" t="str">
        <f>IFERROR(VLOOKUP(D284,'04_Master Karyawan'!$A$5:$F$50,2,FALSE),"")</f>
        <v/>
      </c>
      <c r="F284" s="24"/>
      <c r="G284" s="26" t="str">
        <f>IFERROR(VLOOKUP(F284,'05_Master KPI'!$B$5:$G$100,2,FALSE)&amp;" ("&amp;VLOOKUP(F284,'05_Master KPI'!$B$5:$G$100,3,FALSE)&amp;")","")</f>
        <v/>
      </c>
      <c r="H284" s="26">
        <f>IFERROR(IF(B284&lt;&gt;'06_Target KPI'!$B$3,0,IF(VLOOKUP(F284,'05_Master KPI'!$B$5:$G$100,6,FALSE)="Kumulatif",INDEX('06_Target KPI'!$E$5:$P$100,MATCH(F284,'06_Target KPI'!$B$5:$B$100,0),MATCH(A284,'06_Target KPI'!$E$4:$P$4,0))*DAY(C284)/DAY(EOMONTH(C284,0)),INDEX('06_Target KPI'!$E$5:$P$100,MATCH(F284,'06_Target KPI'!$B$5:$B$100,0),MATCH(A284,'06_Target KPI'!$E$4:$P$4,0)))),0)</f>
        <v>0</v>
      </c>
      <c r="I284" s="24"/>
      <c r="J284" s="27">
        <f>IFERROR(MIN(IF(VLOOKUP(F284,'05_Master KPI'!$B$5:$G$100,5,FALSE)="Lower",H284/I284,I284/H284),1),0)</f>
        <v>0</v>
      </c>
      <c r="K284" s="26">
        <f>IFERROR(VLOOKUP(F284,'05_Master KPI'!$B$5:$G$100,4,FALSE),0)</f>
        <v>0</v>
      </c>
      <c r="L284" s="28">
        <f t="shared" si="4"/>
        <v>0</v>
      </c>
      <c r="M284" s="26" t="str">
        <f>IF(D284="","",IF(J284&gt;='13_Setting'!$H$7,"Tercapai",IF(J284&gt;='13_Setting'!$H$6,"On Track","Tertinggal")))</f>
        <v/>
      </c>
      <c r="N284" s="24"/>
    </row>
    <row r="285" spans="1:14">
      <c r="A285" s="24"/>
      <c r="B285" s="24"/>
      <c r="C285" s="25"/>
      <c r="D285" s="24"/>
      <c r="E285" s="26" t="str">
        <f>IFERROR(VLOOKUP(D285,'04_Master Karyawan'!$A$5:$F$50,2,FALSE),"")</f>
        <v/>
      </c>
      <c r="F285" s="24"/>
      <c r="G285" s="26" t="str">
        <f>IFERROR(VLOOKUP(F285,'05_Master KPI'!$B$5:$G$100,2,FALSE)&amp;" ("&amp;VLOOKUP(F285,'05_Master KPI'!$B$5:$G$100,3,FALSE)&amp;")","")</f>
        <v/>
      </c>
      <c r="H285" s="26">
        <f>IFERROR(IF(B285&lt;&gt;'06_Target KPI'!$B$3,0,IF(VLOOKUP(F285,'05_Master KPI'!$B$5:$G$100,6,FALSE)="Kumulatif",INDEX('06_Target KPI'!$E$5:$P$100,MATCH(F285,'06_Target KPI'!$B$5:$B$100,0),MATCH(A285,'06_Target KPI'!$E$4:$P$4,0))*DAY(C285)/DAY(EOMONTH(C285,0)),INDEX('06_Target KPI'!$E$5:$P$100,MATCH(F285,'06_Target KPI'!$B$5:$B$100,0),MATCH(A285,'06_Target KPI'!$E$4:$P$4,0)))),0)</f>
        <v>0</v>
      </c>
      <c r="I285" s="24"/>
      <c r="J285" s="27">
        <f>IFERROR(MIN(IF(VLOOKUP(F285,'05_Master KPI'!$B$5:$G$100,5,FALSE)="Lower",H285/I285,I285/H285),1),0)</f>
        <v>0</v>
      </c>
      <c r="K285" s="26">
        <f>IFERROR(VLOOKUP(F285,'05_Master KPI'!$B$5:$G$100,4,FALSE),0)</f>
        <v>0</v>
      </c>
      <c r="L285" s="28">
        <f t="shared" si="4"/>
        <v>0</v>
      </c>
      <c r="M285" s="26" t="str">
        <f>IF(D285="","",IF(J285&gt;='13_Setting'!$H$7,"Tercapai",IF(J285&gt;='13_Setting'!$H$6,"On Track","Tertinggal")))</f>
        <v/>
      </c>
      <c r="N285" s="24"/>
    </row>
    <row r="286" spans="1:14">
      <c r="A286" s="24"/>
      <c r="B286" s="24"/>
      <c r="C286" s="25"/>
      <c r="D286" s="24"/>
      <c r="E286" s="26" t="str">
        <f>IFERROR(VLOOKUP(D286,'04_Master Karyawan'!$A$5:$F$50,2,FALSE),"")</f>
        <v/>
      </c>
      <c r="F286" s="24"/>
      <c r="G286" s="26" t="str">
        <f>IFERROR(VLOOKUP(F286,'05_Master KPI'!$B$5:$G$100,2,FALSE)&amp;" ("&amp;VLOOKUP(F286,'05_Master KPI'!$B$5:$G$100,3,FALSE)&amp;")","")</f>
        <v/>
      </c>
      <c r="H286" s="26">
        <f>IFERROR(IF(B286&lt;&gt;'06_Target KPI'!$B$3,0,IF(VLOOKUP(F286,'05_Master KPI'!$B$5:$G$100,6,FALSE)="Kumulatif",INDEX('06_Target KPI'!$E$5:$P$100,MATCH(F286,'06_Target KPI'!$B$5:$B$100,0),MATCH(A286,'06_Target KPI'!$E$4:$P$4,0))*DAY(C286)/DAY(EOMONTH(C286,0)),INDEX('06_Target KPI'!$E$5:$P$100,MATCH(F286,'06_Target KPI'!$B$5:$B$100,0),MATCH(A286,'06_Target KPI'!$E$4:$P$4,0)))),0)</f>
        <v>0</v>
      </c>
      <c r="I286" s="24"/>
      <c r="J286" s="27">
        <f>IFERROR(MIN(IF(VLOOKUP(F286,'05_Master KPI'!$B$5:$G$100,5,FALSE)="Lower",H286/I286,I286/H286),1),0)</f>
        <v>0</v>
      </c>
      <c r="K286" s="26">
        <f>IFERROR(VLOOKUP(F286,'05_Master KPI'!$B$5:$G$100,4,FALSE),0)</f>
        <v>0</v>
      </c>
      <c r="L286" s="28">
        <f t="shared" si="4"/>
        <v>0</v>
      </c>
      <c r="M286" s="26" t="str">
        <f>IF(D286="","",IF(J286&gt;='13_Setting'!$H$7,"Tercapai",IF(J286&gt;='13_Setting'!$H$6,"On Track","Tertinggal")))</f>
        <v/>
      </c>
      <c r="N286" s="24"/>
    </row>
    <row r="287" spans="1:14">
      <c r="A287" s="24"/>
      <c r="B287" s="24"/>
      <c r="C287" s="25"/>
      <c r="D287" s="24"/>
      <c r="E287" s="26" t="str">
        <f>IFERROR(VLOOKUP(D287,'04_Master Karyawan'!$A$5:$F$50,2,FALSE),"")</f>
        <v/>
      </c>
      <c r="F287" s="24"/>
      <c r="G287" s="26" t="str">
        <f>IFERROR(VLOOKUP(F287,'05_Master KPI'!$B$5:$G$100,2,FALSE)&amp;" ("&amp;VLOOKUP(F287,'05_Master KPI'!$B$5:$G$100,3,FALSE)&amp;")","")</f>
        <v/>
      </c>
      <c r="H287" s="26">
        <f>IFERROR(IF(B287&lt;&gt;'06_Target KPI'!$B$3,0,IF(VLOOKUP(F287,'05_Master KPI'!$B$5:$G$100,6,FALSE)="Kumulatif",INDEX('06_Target KPI'!$E$5:$P$100,MATCH(F287,'06_Target KPI'!$B$5:$B$100,0),MATCH(A287,'06_Target KPI'!$E$4:$P$4,0))*DAY(C287)/DAY(EOMONTH(C287,0)),INDEX('06_Target KPI'!$E$5:$P$100,MATCH(F287,'06_Target KPI'!$B$5:$B$100,0),MATCH(A287,'06_Target KPI'!$E$4:$P$4,0)))),0)</f>
        <v>0</v>
      </c>
      <c r="I287" s="24"/>
      <c r="J287" s="27">
        <f>IFERROR(MIN(IF(VLOOKUP(F287,'05_Master KPI'!$B$5:$G$100,5,FALSE)="Lower",H287/I287,I287/H287),1),0)</f>
        <v>0</v>
      </c>
      <c r="K287" s="26">
        <f>IFERROR(VLOOKUP(F287,'05_Master KPI'!$B$5:$G$100,4,FALSE),0)</f>
        <v>0</v>
      </c>
      <c r="L287" s="28">
        <f t="shared" si="4"/>
        <v>0</v>
      </c>
      <c r="M287" s="26" t="str">
        <f>IF(D287="","",IF(J287&gt;='13_Setting'!$H$7,"Tercapai",IF(J287&gt;='13_Setting'!$H$6,"On Track","Tertinggal")))</f>
        <v/>
      </c>
      <c r="N287" s="24"/>
    </row>
    <row r="288" spans="1:14">
      <c r="A288" s="24"/>
      <c r="B288" s="24"/>
      <c r="C288" s="25"/>
      <c r="D288" s="24"/>
      <c r="E288" s="26" t="str">
        <f>IFERROR(VLOOKUP(D288,'04_Master Karyawan'!$A$5:$F$50,2,FALSE),"")</f>
        <v/>
      </c>
      <c r="F288" s="24"/>
      <c r="G288" s="26" t="str">
        <f>IFERROR(VLOOKUP(F288,'05_Master KPI'!$B$5:$G$100,2,FALSE)&amp;" ("&amp;VLOOKUP(F288,'05_Master KPI'!$B$5:$G$100,3,FALSE)&amp;")","")</f>
        <v/>
      </c>
      <c r="H288" s="26">
        <f>IFERROR(IF(B288&lt;&gt;'06_Target KPI'!$B$3,0,IF(VLOOKUP(F288,'05_Master KPI'!$B$5:$G$100,6,FALSE)="Kumulatif",INDEX('06_Target KPI'!$E$5:$P$100,MATCH(F288,'06_Target KPI'!$B$5:$B$100,0),MATCH(A288,'06_Target KPI'!$E$4:$P$4,0))*DAY(C288)/DAY(EOMONTH(C288,0)),INDEX('06_Target KPI'!$E$5:$P$100,MATCH(F288,'06_Target KPI'!$B$5:$B$100,0),MATCH(A288,'06_Target KPI'!$E$4:$P$4,0)))),0)</f>
        <v>0</v>
      </c>
      <c r="I288" s="24"/>
      <c r="J288" s="27">
        <f>IFERROR(MIN(IF(VLOOKUP(F288,'05_Master KPI'!$B$5:$G$100,5,FALSE)="Lower",H288/I288,I288/H288),1),0)</f>
        <v>0</v>
      </c>
      <c r="K288" s="26">
        <f>IFERROR(VLOOKUP(F288,'05_Master KPI'!$B$5:$G$100,4,FALSE),0)</f>
        <v>0</v>
      </c>
      <c r="L288" s="28">
        <f t="shared" si="4"/>
        <v>0</v>
      </c>
      <c r="M288" s="26" t="str">
        <f>IF(D288="","",IF(J288&gt;='13_Setting'!$H$7,"Tercapai",IF(J288&gt;='13_Setting'!$H$6,"On Track","Tertinggal")))</f>
        <v/>
      </c>
      <c r="N288" s="24"/>
    </row>
    <row r="289" spans="1:14">
      <c r="A289" s="24"/>
      <c r="B289" s="24"/>
      <c r="C289" s="25"/>
      <c r="D289" s="24"/>
      <c r="E289" s="26" t="str">
        <f>IFERROR(VLOOKUP(D289,'04_Master Karyawan'!$A$5:$F$50,2,FALSE),"")</f>
        <v/>
      </c>
      <c r="F289" s="24"/>
      <c r="G289" s="26" t="str">
        <f>IFERROR(VLOOKUP(F289,'05_Master KPI'!$B$5:$G$100,2,FALSE)&amp;" ("&amp;VLOOKUP(F289,'05_Master KPI'!$B$5:$G$100,3,FALSE)&amp;")","")</f>
        <v/>
      </c>
      <c r="H289" s="26">
        <f>IFERROR(IF(B289&lt;&gt;'06_Target KPI'!$B$3,0,IF(VLOOKUP(F289,'05_Master KPI'!$B$5:$G$100,6,FALSE)="Kumulatif",INDEX('06_Target KPI'!$E$5:$P$100,MATCH(F289,'06_Target KPI'!$B$5:$B$100,0),MATCH(A289,'06_Target KPI'!$E$4:$P$4,0))*DAY(C289)/DAY(EOMONTH(C289,0)),INDEX('06_Target KPI'!$E$5:$P$100,MATCH(F289,'06_Target KPI'!$B$5:$B$100,0),MATCH(A289,'06_Target KPI'!$E$4:$P$4,0)))),0)</f>
        <v>0</v>
      </c>
      <c r="I289" s="24"/>
      <c r="J289" s="27">
        <f>IFERROR(MIN(IF(VLOOKUP(F289,'05_Master KPI'!$B$5:$G$100,5,FALSE)="Lower",H289/I289,I289/H289),1),0)</f>
        <v>0</v>
      </c>
      <c r="K289" s="26">
        <f>IFERROR(VLOOKUP(F289,'05_Master KPI'!$B$5:$G$100,4,FALSE),0)</f>
        <v>0</v>
      </c>
      <c r="L289" s="28">
        <f t="shared" si="4"/>
        <v>0</v>
      </c>
      <c r="M289" s="26" t="str">
        <f>IF(D289="","",IF(J289&gt;='13_Setting'!$H$7,"Tercapai",IF(J289&gt;='13_Setting'!$H$6,"On Track","Tertinggal")))</f>
        <v/>
      </c>
      <c r="N289" s="24"/>
    </row>
    <row r="290" spans="1:14">
      <c r="A290" s="24"/>
      <c r="B290" s="24"/>
      <c r="C290" s="25"/>
      <c r="D290" s="24"/>
      <c r="E290" s="26" t="str">
        <f>IFERROR(VLOOKUP(D290,'04_Master Karyawan'!$A$5:$F$50,2,FALSE),"")</f>
        <v/>
      </c>
      <c r="F290" s="24"/>
      <c r="G290" s="26" t="str">
        <f>IFERROR(VLOOKUP(F290,'05_Master KPI'!$B$5:$G$100,2,FALSE)&amp;" ("&amp;VLOOKUP(F290,'05_Master KPI'!$B$5:$G$100,3,FALSE)&amp;")","")</f>
        <v/>
      </c>
      <c r="H290" s="26">
        <f>IFERROR(IF(B290&lt;&gt;'06_Target KPI'!$B$3,0,IF(VLOOKUP(F290,'05_Master KPI'!$B$5:$G$100,6,FALSE)="Kumulatif",INDEX('06_Target KPI'!$E$5:$P$100,MATCH(F290,'06_Target KPI'!$B$5:$B$100,0),MATCH(A290,'06_Target KPI'!$E$4:$P$4,0))*DAY(C290)/DAY(EOMONTH(C290,0)),INDEX('06_Target KPI'!$E$5:$P$100,MATCH(F290,'06_Target KPI'!$B$5:$B$100,0),MATCH(A290,'06_Target KPI'!$E$4:$P$4,0)))),0)</f>
        <v>0</v>
      </c>
      <c r="I290" s="24"/>
      <c r="J290" s="27">
        <f>IFERROR(MIN(IF(VLOOKUP(F290,'05_Master KPI'!$B$5:$G$100,5,FALSE)="Lower",H290/I290,I290/H290),1),0)</f>
        <v>0</v>
      </c>
      <c r="K290" s="26">
        <f>IFERROR(VLOOKUP(F290,'05_Master KPI'!$B$5:$G$100,4,FALSE),0)</f>
        <v>0</v>
      </c>
      <c r="L290" s="28">
        <f t="shared" si="4"/>
        <v>0</v>
      </c>
      <c r="M290" s="26" t="str">
        <f>IF(D290="","",IF(J290&gt;='13_Setting'!$H$7,"Tercapai",IF(J290&gt;='13_Setting'!$H$6,"On Track","Tertinggal")))</f>
        <v/>
      </c>
      <c r="N290" s="24"/>
    </row>
    <row r="291" spans="1:14">
      <c r="A291" s="24"/>
      <c r="B291" s="24"/>
      <c r="C291" s="25"/>
      <c r="D291" s="24"/>
      <c r="E291" s="26" t="str">
        <f>IFERROR(VLOOKUP(D291,'04_Master Karyawan'!$A$5:$F$50,2,FALSE),"")</f>
        <v/>
      </c>
      <c r="F291" s="24"/>
      <c r="G291" s="26" t="str">
        <f>IFERROR(VLOOKUP(F291,'05_Master KPI'!$B$5:$G$100,2,FALSE)&amp;" ("&amp;VLOOKUP(F291,'05_Master KPI'!$B$5:$G$100,3,FALSE)&amp;")","")</f>
        <v/>
      </c>
      <c r="H291" s="26">
        <f>IFERROR(IF(B291&lt;&gt;'06_Target KPI'!$B$3,0,IF(VLOOKUP(F291,'05_Master KPI'!$B$5:$G$100,6,FALSE)="Kumulatif",INDEX('06_Target KPI'!$E$5:$P$100,MATCH(F291,'06_Target KPI'!$B$5:$B$100,0),MATCH(A291,'06_Target KPI'!$E$4:$P$4,0))*DAY(C291)/DAY(EOMONTH(C291,0)),INDEX('06_Target KPI'!$E$5:$P$100,MATCH(F291,'06_Target KPI'!$B$5:$B$100,0),MATCH(A291,'06_Target KPI'!$E$4:$P$4,0)))),0)</f>
        <v>0</v>
      </c>
      <c r="I291" s="24"/>
      <c r="J291" s="27">
        <f>IFERROR(MIN(IF(VLOOKUP(F291,'05_Master KPI'!$B$5:$G$100,5,FALSE)="Lower",H291/I291,I291/H291),1),0)</f>
        <v>0</v>
      </c>
      <c r="K291" s="26">
        <f>IFERROR(VLOOKUP(F291,'05_Master KPI'!$B$5:$G$100,4,FALSE),0)</f>
        <v>0</v>
      </c>
      <c r="L291" s="28">
        <f t="shared" si="4"/>
        <v>0</v>
      </c>
      <c r="M291" s="26" t="str">
        <f>IF(D291="","",IF(J291&gt;='13_Setting'!$H$7,"Tercapai",IF(J291&gt;='13_Setting'!$H$6,"On Track","Tertinggal")))</f>
        <v/>
      </c>
      <c r="N291" s="24"/>
    </row>
    <row r="292" spans="1:14">
      <c r="A292" s="24"/>
      <c r="B292" s="24"/>
      <c r="C292" s="25"/>
      <c r="D292" s="24"/>
      <c r="E292" s="26" t="str">
        <f>IFERROR(VLOOKUP(D292,'04_Master Karyawan'!$A$5:$F$50,2,FALSE),"")</f>
        <v/>
      </c>
      <c r="F292" s="24"/>
      <c r="G292" s="26" t="str">
        <f>IFERROR(VLOOKUP(F292,'05_Master KPI'!$B$5:$G$100,2,FALSE)&amp;" ("&amp;VLOOKUP(F292,'05_Master KPI'!$B$5:$G$100,3,FALSE)&amp;")","")</f>
        <v/>
      </c>
      <c r="H292" s="26">
        <f>IFERROR(IF(B292&lt;&gt;'06_Target KPI'!$B$3,0,IF(VLOOKUP(F292,'05_Master KPI'!$B$5:$G$100,6,FALSE)="Kumulatif",INDEX('06_Target KPI'!$E$5:$P$100,MATCH(F292,'06_Target KPI'!$B$5:$B$100,0),MATCH(A292,'06_Target KPI'!$E$4:$P$4,0))*DAY(C292)/DAY(EOMONTH(C292,0)),INDEX('06_Target KPI'!$E$5:$P$100,MATCH(F292,'06_Target KPI'!$B$5:$B$100,0),MATCH(A292,'06_Target KPI'!$E$4:$P$4,0)))),0)</f>
        <v>0</v>
      </c>
      <c r="I292" s="24"/>
      <c r="J292" s="27">
        <f>IFERROR(MIN(IF(VLOOKUP(F292,'05_Master KPI'!$B$5:$G$100,5,FALSE)="Lower",H292/I292,I292/H292),1),0)</f>
        <v>0</v>
      </c>
      <c r="K292" s="26">
        <f>IFERROR(VLOOKUP(F292,'05_Master KPI'!$B$5:$G$100,4,FALSE),0)</f>
        <v>0</v>
      </c>
      <c r="L292" s="28">
        <f t="shared" si="4"/>
        <v>0</v>
      </c>
      <c r="M292" s="26" t="str">
        <f>IF(D292="","",IF(J292&gt;='13_Setting'!$H$7,"Tercapai",IF(J292&gt;='13_Setting'!$H$6,"On Track","Tertinggal")))</f>
        <v/>
      </c>
      <c r="N292" s="24"/>
    </row>
    <row r="293" spans="1:14">
      <c r="A293" s="24"/>
      <c r="B293" s="24"/>
      <c r="C293" s="25"/>
      <c r="D293" s="24"/>
      <c r="E293" s="26" t="str">
        <f>IFERROR(VLOOKUP(D293,'04_Master Karyawan'!$A$5:$F$50,2,FALSE),"")</f>
        <v/>
      </c>
      <c r="F293" s="24"/>
      <c r="G293" s="26" t="str">
        <f>IFERROR(VLOOKUP(F293,'05_Master KPI'!$B$5:$G$100,2,FALSE)&amp;" ("&amp;VLOOKUP(F293,'05_Master KPI'!$B$5:$G$100,3,FALSE)&amp;")","")</f>
        <v/>
      </c>
      <c r="H293" s="26">
        <f>IFERROR(IF(B293&lt;&gt;'06_Target KPI'!$B$3,0,IF(VLOOKUP(F293,'05_Master KPI'!$B$5:$G$100,6,FALSE)="Kumulatif",INDEX('06_Target KPI'!$E$5:$P$100,MATCH(F293,'06_Target KPI'!$B$5:$B$100,0),MATCH(A293,'06_Target KPI'!$E$4:$P$4,0))*DAY(C293)/DAY(EOMONTH(C293,0)),INDEX('06_Target KPI'!$E$5:$P$100,MATCH(F293,'06_Target KPI'!$B$5:$B$100,0),MATCH(A293,'06_Target KPI'!$E$4:$P$4,0)))),0)</f>
        <v>0</v>
      </c>
      <c r="I293" s="24"/>
      <c r="J293" s="27">
        <f>IFERROR(MIN(IF(VLOOKUP(F293,'05_Master KPI'!$B$5:$G$100,5,FALSE)="Lower",H293/I293,I293/H293),1),0)</f>
        <v>0</v>
      </c>
      <c r="K293" s="26">
        <f>IFERROR(VLOOKUP(F293,'05_Master KPI'!$B$5:$G$100,4,FALSE),0)</f>
        <v>0</v>
      </c>
      <c r="L293" s="28">
        <f t="shared" si="4"/>
        <v>0</v>
      </c>
      <c r="M293" s="26" t="str">
        <f>IF(D293="","",IF(J293&gt;='13_Setting'!$H$7,"Tercapai",IF(J293&gt;='13_Setting'!$H$6,"On Track","Tertinggal")))</f>
        <v/>
      </c>
      <c r="N293" s="24"/>
    </row>
    <row r="294" spans="1:14">
      <c r="A294" s="24"/>
      <c r="B294" s="24"/>
      <c r="C294" s="25"/>
      <c r="D294" s="24"/>
      <c r="E294" s="26" t="str">
        <f>IFERROR(VLOOKUP(D294,'04_Master Karyawan'!$A$5:$F$50,2,FALSE),"")</f>
        <v/>
      </c>
      <c r="F294" s="24"/>
      <c r="G294" s="26" t="str">
        <f>IFERROR(VLOOKUP(F294,'05_Master KPI'!$B$5:$G$100,2,FALSE)&amp;" ("&amp;VLOOKUP(F294,'05_Master KPI'!$B$5:$G$100,3,FALSE)&amp;")","")</f>
        <v/>
      </c>
      <c r="H294" s="26">
        <f>IFERROR(IF(B294&lt;&gt;'06_Target KPI'!$B$3,0,IF(VLOOKUP(F294,'05_Master KPI'!$B$5:$G$100,6,FALSE)="Kumulatif",INDEX('06_Target KPI'!$E$5:$P$100,MATCH(F294,'06_Target KPI'!$B$5:$B$100,0),MATCH(A294,'06_Target KPI'!$E$4:$P$4,0))*DAY(C294)/DAY(EOMONTH(C294,0)),INDEX('06_Target KPI'!$E$5:$P$100,MATCH(F294,'06_Target KPI'!$B$5:$B$100,0),MATCH(A294,'06_Target KPI'!$E$4:$P$4,0)))),0)</f>
        <v>0</v>
      </c>
      <c r="I294" s="24"/>
      <c r="J294" s="27">
        <f>IFERROR(MIN(IF(VLOOKUP(F294,'05_Master KPI'!$B$5:$G$100,5,FALSE)="Lower",H294/I294,I294/H294),1),0)</f>
        <v>0</v>
      </c>
      <c r="K294" s="26">
        <f>IFERROR(VLOOKUP(F294,'05_Master KPI'!$B$5:$G$100,4,FALSE),0)</f>
        <v>0</v>
      </c>
      <c r="L294" s="28">
        <f t="shared" si="4"/>
        <v>0</v>
      </c>
      <c r="M294" s="26" t="str">
        <f>IF(D294="","",IF(J294&gt;='13_Setting'!$H$7,"Tercapai",IF(J294&gt;='13_Setting'!$H$6,"On Track","Tertinggal")))</f>
        <v/>
      </c>
      <c r="N294" s="24"/>
    </row>
    <row r="295" spans="1:14">
      <c r="A295" s="24"/>
      <c r="B295" s="24"/>
      <c r="C295" s="25"/>
      <c r="D295" s="24"/>
      <c r="E295" s="26" t="str">
        <f>IFERROR(VLOOKUP(D295,'04_Master Karyawan'!$A$5:$F$50,2,FALSE),"")</f>
        <v/>
      </c>
      <c r="F295" s="24"/>
      <c r="G295" s="26" t="str">
        <f>IFERROR(VLOOKUP(F295,'05_Master KPI'!$B$5:$G$100,2,FALSE)&amp;" ("&amp;VLOOKUP(F295,'05_Master KPI'!$B$5:$G$100,3,FALSE)&amp;")","")</f>
        <v/>
      </c>
      <c r="H295" s="26">
        <f>IFERROR(IF(B295&lt;&gt;'06_Target KPI'!$B$3,0,IF(VLOOKUP(F295,'05_Master KPI'!$B$5:$G$100,6,FALSE)="Kumulatif",INDEX('06_Target KPI'!$E$5:$P$100,MATCH(F295,'06_Target KPI'!$B$5:$B$100,0),MATCH(A295,'06_Target KPI'!$E$4:$P$4,0))*DAY(C295)/DAY(EOMONTH(C295,0)),INDEX('06_Target KPI'!$E$5:$P$100,MATCH(F295,'06_Target KPI'!$B$5:$B$100,0),MATCH(A295,'06_Target KPI'!$E$4:$P$4,0)))),0)</f>
        <v>0</v>
      </c>
      <c r="I295" s="24"/>
      <c r="J295" s="27">
        <f>IFERROR(MIN(IF(VLOOKUP(F295,'05_Master KPI'!$B$5:$G$100,5,FALSE)="Lower",H295/I295,I295/H295),1),0)</f>
        <v>0</v>
      </c>
      <c r="K295" s="26">
        <f>IFERROR(VLOOKUP(F295,'05_Master KPI'!$B$5:$G$100,4,FALSE),0)</f>
        <v>0</v>
      </c>
      <c r="L295" s="28">
        <f t="shared" si="4"/>
        <v>0</v>
      </c>
      <c r="M295" s="26" t="str">
        <f>IF(D295="","",IF(J295&gt;='13_Setting'!$H$7,"Tercapai",IF(J295&gt;='13_Setting'!$H$6,"On Track","Tertinggal")))</f>
        <v/>
      </c>
      <c r="N295" s="24"/>
    </row>
    <row r="296" spans="1:14">
      <c r="A296" s="24"/>
      <c r="B296" s="24"/>
      <c r="C296" s="25"/>
      <c r="D296" s="24"/>
      <c r="E296" s="26" t="str">
        <f>IFERROR(VLOOKUP(D296,'04_Master Karyawan'!$A$5:$F$50,2,FALSE),"")</f>
        <v/>
      </c>
      <c r="F296" s="24"/>
      <c r="G296" s="26" t="str">
        <f>IFERROR(VLOOKUP(F296,'05_Master KPI'!$B$5:$G$100,2,FALSE)&amp;" ("&amp;VLOOKUP(F296,'05_Master KPI'!$B$5:$G$100,3,FALSE)&amp;")","")</f>
        <v/>
      </c>
      <c r="H296" s="26">
        <f>IFERROR(IF(B296&lt;&gt;'06_Target KPI'!$B$3,0,IF(VLOOKUP(F296,'05_Master KPI'!$B$5:$G$100,6,FALSE)="Kumulatif",INDEX('06_Target KPI'!$E$5:$P$100,MATCH(F296,'06_Target KPI'!$B$5:$B$100,0),MATCH(A296,'06_Target KPI'!$E$4:$P$4,0))*DAY(C296)/DAY(EOMONTH(C296,0)),INDEX('06_Target KPI'!$E$5:$P$100,MATCH(F296,'06_Target KPI'!$B$5:$B$100,0),MATCH(A296,'06_Target KPI'!$E$4:$P$4,0)))),0)</f>
        <v>0</v>
      </c>
      <c r="I296" s="24"/>
      <c r="J296" s="27">
        <f>IFERROR(MIN(IF(VLOOKUP(F296,'05_Master KPI'!$B$5:$G$100,5,FALSE)="Lower",H296/I296,I296/H296),1),0)</f>
        <v>0</v>
      </c>
      <c r="K296" s="26">
        <f>IFERROR(VLOOKUP(F296,'05_Master KPI'!$B$5:$G$100,4,FALSE),0)</f>
        <v>0</v>
      </c>
      <c r="L296" s="28">
        <f t="shared" si="4"/>
        <v>0</v>
      </c>
      <c r="M296" s="26" t="str">
        <f>IF(D296="","",IF(J296&gt;='13_Setting'!$H$7,"Tercapai",IF(J296&gt;='13_Setting'!$H$6,"On Track","Tertinggal")))</f>
        <v/>
      </c>
      <c r="N296" s="24"/>
    </row>
    <row r="297" spans="1:14">
      <c r="A297" s="24"/>
      <c r="B297" s="24"/>
      <c r="C297" s="25"/>
      <c r="D297" s="24"/>
      <c r="E297" s="26" t="str">
        <f>IFERROR(VLOOKUP(D297,'04_Master Karyawan'!$A$5:$F$50,2,FALSE),"")</f>
        <v/>
      </c>
      <c r="F297" s="24"/>
      <c r="G297" s="26" t="str">
        <f>IFERROR(VLOOKUP(F297,'05_Master KPI'!$B$5:$G$100,2,FALSE)&amp;" ("&amp;VLOOKUP(F297,'05_Master KPI'!$B$5:$G$100,3,FALSE)&amp;")","")</f>
        <v/>
      </c>
      <c r="H297" s="26">
        <f>IFERROR(IF(B297&lt;&gt;'06_Target KPI'!$B$3,0,IF(VLOOKUP(F297,'05_Master KPI'!$B$5:$G$100,6,FALSE)="Kumulatif",INDEX('06_Target KPI'!$E$5:$P$100,MATCH(F297,'06_Target KPI'!$B$5:$B$100,0),MATCH(A297,'06_Target KPI'!$E$4:$P$4,0))*DAY(C297)/DAY(EOMONTH(C297,0)),INDEX('06_Target KPI'!$E$5:$P$100,MATCH(F297,'06_Target KPI'!$B$5:$B$100,0),MATCH(A297,'06_Target KPI'!$E$4:$P$4,0)))),0)</f>
        <v>0</v>
      </c>
      <c r="I297" s="24"/>
      <c r="J297" s="27">
        <f>IFERROR(MIN(IF(VLOOKUP(F297,'05_Master KPI'!$B$5:$G$100,5,FALSE)="Lower",H297/I297,I297/H297),1),0)</f>
        <v>0</v>
      </c>
      <c r="K297" s="26">
        <f>IFERROR(VLOOKUP(F297,'05_Master KPI'!$B$5:$G$100,4,FALSE),0)</f>
        <v>0</v>
      </c>
      <c r="L297" s="28">
        <f t="shared" si="4"/>
        <v>0</v>
      </c>
      <c r="M297" s="26" t="str">
        <f>IF(D297="","",IF(J297&gt;='13_Setting'!$H$7,"Tercapai",IF(J297&gt;='13_Setting'!$H$6,"On Track","Tertinggal")))</f>
        <v/>
      </c>
      <c r="N297" s="24"/>
    </row>
    <row r="298" spans="1:14">
      <c r="A298" s="24"/>
      <c r="B298" s="24"/>
      <c r="C298" s="25"/>
      <c r="D298" s="24"/>
      <c r="E298" s="26" t="str">
        <f>IFERROR(VLOOKUP(D298,'04_Master Karyawan'!$A$5:$F$50,2,FALSE),"")</f>
        <v/>
      </c>
      <c r="F298" s="24"/>
      <c r="G298" s="26" t="str">
        <f>IFERROR(VLOOKUP(F298,'05_Master KPI'!$B$5:$G$100,2,FALSE)&amp;" ("&amp;VLOOKUP(F298,'05_Master KPI'!$B$5:$G$100,3,FALSE)&amp;")","")</f>
        <v/>
      </c>
      <c r="H298" s="26">
        <f>IFERROR(IF(B298&lt;&gt;'06_Target KPI'!$B$3,0,IF(VLOOKUP(F298,'05_Master KPI'!$B$5:$G$100,6,FALSE)="Kumulatif",INDEX('06_Target KPI'!$E$5:$P$100,MATCH(F298,'06_Target KPI'!$B$5:$B$100,0),MATCH(A298,'06_Target KPI'!$E$4:$P$4,0))*DAY(C298)/DAY(EOMONTH(C298,0)),INDEX('06_Target KPI'!$E$5:$P$100,MATCH(F298,'06_Target KPI'!$B$5:$B$100,0),MATCH(A298,'06_Target KPI'!$E$4:$P$4,0)))),0)</f>
        <v>0</v>
      </c>
      <c r="I298" s="24"/>
      <c r="J298" s="27">
        <f>IFERROR(MIN(IF(VLOOKUP(F298,'05_Master KPI'!$B$5:$G$100,5,FALSE)="Lower",H298/I298,I298/H298),1),0)</f>
        <v>0</v>
      </c>
      <c r="K298" s="26">
        <f>IFERROR(VLOOKUP(F298,'05_Master KPI'!$B$5:$G$100,4,FALSE),0)</f>
        <v>0</v>
      </c>
      <c r="L298" s="28">
        <f t="shared" si="4"/>
        <v>0</v>
      </c>
      <c r="M298" s="26" t="str">
        <f>IF(D298="","",IF(J298&gt;='13_Setting'!$H$7,"Tercapai",IF(J298&gt;='13_Setting'!$H$6,"On Track","Tertinggal")))</f>
        <v/>
      </c>
      <c r="N298" s="24"/>
    </row>
    <row r="299" spans="1:14">
      <c r="A299" s="24"/>
      <c r="B299" s="24"/>
      <c r="C299" s="25"/>
      <c r="D299" s="24"/>
      <c r="E299" s="26" t="str">
        <f>IFERROR(VLOOKUP(D299,'04_Master Karyawan'!$A$5:$F$50,2,FALSE),"")</f>
        <v/>
      </c>
      <c r="F299" s="24"/>
      <c r="G299" s="26" t="str">
        <f>IFERROR(VLOOKUP(F299,'05_Master KPI'!$B$5:$G$100,2,FALSE)&amp;" ("&amp;VLOOKUP(F299,'05_Master KPI'!$B$5:$G$100,3,FALSE)&amp;")","")</f>
        <v/>
      </c>
      <c r="H299" s="26">
        <f>IFERROR(IF(B299&lt;&gt;'06_Target KPI'!$B$3,0,IF(VLOOKUP(F299,'05_Master KPI'!$B$5:$G$100,6,FALSE)="Kumulatif",INDEX('06_Target KPI'!$E$5:$P$100,MATCH(F299,'06_Target KPI'!$B$5:$B$100,0),MATCH(A299,'06_Target KPI'!$E$4:$P$4,0))*DAY(C299)/DAY(EOMONTH(C299,0)),INDEX('06_Target KPI'!$E$5:$P$100,MATCH(F299,'06_Target KPI'!$B$5:$B$100,0),MATCH(A299,'06_Target KPI'!$E$4:$P$4,0)))),0)</f>
        <v>0</v>
      </c>
      <c r="I299" s="24"/>
      <c r="J299" s="27">
        <f>IFERROR(MIN(IF(VLOOKUP(F299,'05_Master KPI'!$B$5:$G$100,5,FALSE)="Lower",H299/I299,I299/H299),1),0)</f>
        <v>0</v>
      </c>
      <c r="K299" s="26">
        <f>IFERROR(VLOOKUP(F299,'05_Master KPI'!$B$5:$G$100,4,FALSE),0)</f>
        <v>0</v>
      </c>
      <c r="L299" s="28">
        <f t="shared" si="4"/>
        <v>0</v>
      </c>
      <c r="M299" s="26" t="str">
        <f>IF(D299="","",IF(J299&gt;='13_Setting'!$H$7,"Tercapai",IF(J299&gt;='13_Setting'!$H$6,"On Track","Tertinggal")))</f>
        <v/>
      </c>
      <c r="N299" s="24"/>
    </row>
    <row r="300" spans="1:14">
      <c r="A300" s="24"/>
      <c r="B300" s="24"/>
      <c r="C300" s="25"/>
      <c r="D300" s="24"/>
      <c r="E300" s="26" t="str">
        <f>IFERROR(VLOOKUP(D300,'04_Master Karyawan'!$A$5:$F$50,2,FALSE),"")</f>
        <v/>
      </c>
      <c r="F300" s="24"/>
      <c r="G300" s="26" t="str">
        <f>IFERROR(VLOOKUP(F300,'05_Master KPI'!$B$5:$G$100,2,FALSE)&amp;" ("&amp;VLOOKUP(F300,'05_Master KPI'!$B$5:$G$100,3,FALSE)&amp;")","")</f>
        <v/>
      </c>
      <c r="H300" s="26">
        <f>IFERROR(IF(B300&lt;&gt;'06_Target KPI'!$B$3,0,IF(VLOOKUP(F300,'05_Master KPI'!$B$5:$G$100,6,FALSE)="Kumulatif",INDEX('06_Target KPI'!$E$5:$P$100,MATCH(F300,'06_Target KPI'!$B$5:$B$100,0),MATCH(A300,'06_Target KPI'!$E$4:$P$4,0))*DAY(C300)/DAY(EOMONTH(C300,0)),INDEX('06_Target KPI'!$E$5:$P$100,MATCH(F300,'06_Target KPI'!$B$5:$B$100,0),MATCH(A300,'06_Target KPI'!$E$4:$P$4,0)))),0)</f>
        <v>0</v>
      </c>
      <c r="I300" s="24"/>
      <c r="J300" s="27">
        <f>IFERROR(MIN(IF(VLOOKUP(F300,'05_Master KPI'!$B$5:$G$100,5,FALSE)="Lower",H300/I300,I300/H300),1),0)</f>
        <v>0</v>
      </c>
      <c r="K300" s="26">
        <f>IFERROR(VLOOKUP(F300,'05_Master KPI'!$B$5:$G$100,4,FALSE),0)</f>
        <v>0</v>
      </c>
      <c r="L300" s="28">
        <f t="shared" si="4"/>
        <v>0</v>
      </c>
      <c r="M300" s="26" t="str">
        <f>IF(D300="","",IF(J300&gt;='13_Setting'!$H$7,"Tercapai",IF(J300&gt;='13_Setting'!$H$6,"On Track","Tertinggal")))</f>
        <v/>
      </c>
      <c r="N300" s="24"/>
    </row>
    <row r="301" spans="1:14">
      <c r="A301" s="24"/>
      <c r="B301" s="24"/>
      <c r="C301" s="25"/>
      <c r="D301" s="24"/>
      <c r="E301" s="26" t="str">
        <f>IFERROR(VLOOKUP(D301,'04_Master Karyawan'!$A$5:$F$50,2,FALSE),"")</f>
        <v/>
      </c>
      <c r="F301" s="24"/>
      <c r="G301" s="26" t="str">
        <f>IFERROR(VLOOKUP(F301,'05_Master KPI'!$B$5:$G$100,2,FALSE)&amp;" ("&amp;VLOOKUP(F301,'05_Master KPI'!$B$5:$G$100,3,FALSE)&amp;")","")</f>
        <v/>
      </c>
      <c r="H301" s="26">
        <f>IFERROR(IF(B301&lt;&gt;'06_Target KPI'!$B$3,0,IF(VLOOKUP(F301,'05_Master KPI'!$B$5:$G$100,6,FALSE)="Kumulatif",INDEX('06_Target KPI'!$E$5:$P$100,MATCH(F301,'06_Target KPI'!$B$5:$B$100,0),MATCH(A301,'06_Target KPI'!$E$4:$P$4,0))*DAY(C301)/DAY(EOMONTH(C301,0)),INDEX('06_Target KPI'!$E$5:$P$100,MATCH(F301,'06_Target KPI'!$B$5:$B$100,0),MATCH(A301,'06_Target KPI'!$E$4:$P$4,0)))),0)</f>
        <v>0</v>
      </c>
      <c r="I301" s="24"/>
      <c r="J301" s="27">
        <f>IFERROR(MIN(IF(VLOOKUP(F301,'05_Master KPI'!$B$5:$G$100,5,FALSE)="Lower",H301/I301,I301/H301),1),0)</f>
        <v>0</v>
      </c>
      <c r="K301" s="26">
        <f>IFERROR(VLOOKUP(F301,'05_Master KPI'!$B$5:$G$100,4,FALSE),0)</f>
        <v>0</v>
      </c>
      <c r="L301" s="28">
        <f t="shared" si="4"/>
        <v>0</v>
      </c>
      <c r="M301" s="26" t="str">
        <f>IF(D301="","",IF(J301&gt;='13_Setting'!$H$7,"Tercapai",IF(J301&gt;='13_Setting'!$H$6,"On Track","Tertinggal")))</f>
        <v/>
      </c>
      <c r="N301" s="24"/>
    </row>
    <row r="302" spans="1:14">
      <c r="A302" s="24"/>
      <c r="B302" s="24"/>
      <c r="C302" s="25"/>
      <c r="D302" s="24"/>
      <c r="E302" s="26" t="str">
        <f>IFERROR(VLOOKUP(D302,'04_Master Karyawan'!$A$5:$F$50,2,FALSE),"")</f>
        <v/>
      </c>
      <c r="F302" s="24"/>
      <c r="G302" s="26" t="str">
        <f>IFERROR(VLOOKUP(F302,'05_Master KPI'!$B$5:$G$100,2,FALSE)&amp;" ("&amp;VLOOKUP(F302,'05_Master KPI'!$B$5:$G$100,3,FALSE)&amp;")","")</f>
        <v/>
      </c>
      <c r="H302" s="26">
        <f>IFERROR(IF(B302&lt;&gt;'06_Target KPI'!$B$3,0,IF(VLOOKUP(F302,'05_Master KPI'!$B$5:$G$100,6,FALSE)="Kumulatif",INDEX('06_Target KPI'!$E$5:$P$100,MATCH(F302,'06_Target KPI'!$B$5:$B$100,0),MATCH(A302,'06_Target KPI'!$E$4:$P$4,0))*DAY(C302)/DAY(EOMONTH(C302,0)),INDEX('06_Target KPI'!$E$5:$P$100,MATCH(F302,'06_Target KPI'!$B$5:$B$100,0),MATCH(A302,'06_Target KPI'!$E$4:$P$4,0)))),0)</f>
        <v>0</v>
      </c>
      <c r="I302" s="24"/>
      <c r="J302" s="27">
        <f>IFERROR(MIN(IF(VLOOKUP(F302,'05_Master KPI'!$B$5:$G$100,5,FALSE)="Lower",H302/I302,I302/H302),1),0)</f>
        <v>0</v>
      </c>
      <c r="K302" s="26">
        <f>IFERROR(VLOOKUP(F302,'05_Master KPI'!$B$5:$G$100,4,FALSE),0)</f>
        <v>0</v>
      </c>
      <c r="L302" s="28">
        <f t="shared" si="4"/>
        <v>0</v>
      </c>
      <c r="M302" s="26" t="str">
        <f>IF(D302="","",IF(J302&gt;='13_Setting'!$H$7,"Tercapai",IF(J302&gt;='13_Setting'!$H$6,"On Track","Tertinggal")))</f>
        <v/>
      </c>
      <c r="N302" s="24"/>
    </row>
    <row r="303" spans="1:14">
      <c r="A303" s="24"/>
      <c r="B303" s="24"/>
      <c r="C303" s="25"/>
      <c r="D303" s="24"/>
      <c r="E303" s="26" t="str">
        <f>IFERROR(VLOOKUP(D303,'04_Master Karyawan'!$A$5:$F$50,2,FALSE),"")</f>
        <v/>
      </c>
      <c r="F303" s="24"/>
      <c r="G303" s="26" t="str">
        <f>IFERROR(VLOOKUP(F303,'05_Master KPI'!$B$5:$G$100,2,FALSE)&amp;" ("&amp;VLOOKUP(F303,'05_Master KPI'!$B$5:$G$100,3,FALSE)&amp;")","")</f>
        <v/>
      </c>
      <c r="H303" s="26">
        <f>IFERROR(IF(B303&lt;&gt;'06_Target KPI'!$B$3,0,IF(VLOOKUP(F303,'05_Master KPI'!$B$5:$G$100,6,FALSE)="Kumulatif",INDEX('06_Target KPI'!$E$5:$P$100,MATCH(F303,'06_Target KPI'!$B$5:$B$100,0),MATCH(A303,'06_Target KPI'!$E$4:$P$4,0))*DAY(C303)/DAY(EOMONTH(C303,0)),INDEX('06_Target KPI'!$E$5:$P$100,MATCH(F303,'06_Target KPI'!$B$5:$B$100,0),MATCH(A303,'06_Target KPI'!$E$4:$P$4,0)))),0)</f>
        <v>0</v>
      </c>
      <c r="I303" s="24"/>
      <c r="J303" s="27">
        <f>IFERROR(MIN(IF(VLOOKUP(F303,'05_Master KPI'!$B$5:$G$100,5,FALSE)="Lower",H303/I303,I303/H303),1),0)</f>
        <v>0</v>
      </c>
      <c r="K303" s="26">
        <f>IFERROR(VLOOKUP(F303,'05_Master KPI'!$B$5:$G$100,4,FALSE),0)</f>
        <v>0</v>
      </c>
      <c r="L303" s="28">
        <f t="shared" si="4"/>
        <v>0</v>
      </c>
      <c r="M303" s="26" t="str">
        <f>IF(D303="","",IF(J303&gt;='13_Setting'!$H$7,"Tercapai",IF(J303&gt;='13_Setting'!$H$6,"On Track","Tertinggal")))</f>
        <v/>
      </c>
      <c r="N303" s="24"/>
    </row>
    <row r="304" spans="1:14">
      <c r="A304" s="29"/>
      <c r="B304" s="29"/>
      <c r="C304" s="30"/>
      <c r="D304" s="29"/>
      <c r="E304" s="31" t="str">
        <f>IFERROR(VLOOKUP(D304,'04_Master Karyawan'!$A$5:$F$50,2,FALSE),"")</f>
        <v/>
      </c>
      <c r="F304" s="29"/>
      <c r="G304" s="31" t="str">
        <f>IFERROR(VLOOKUP(F304,'05_Master KPI'!$B$5:$G$100,2,FALSE)&amp;" ("&amp;VLOOKUP(F304,'05_Master KPI'!$B$5:$G$100,3,FALSE)&amp;")","")</f>
        <v/>
      </c>
      <c r="H304" s="31">
        <f>IFERROR(IF(B304&lt;&gt;'06_Target KPI'!$B$3,0,IF(VLOOKUP(F304,'05_Master KPI'!$B$5:$G$100,6,FALSE)="Kumulatif",INDEX('06_Target KPI'!$E$5:$P$100,MATCH(F304,'06_Target KPI'!$B$5:$B$100,0),MATCH(A304,'06_Target KPI'!$E$4:$P$4,0))*DAY(C304)/DAY(EOMONTH(C304,0)),INDEX('06_Target KPI'!$E$5:$P$100,MATCH(F304,'06_Target KPI'!$B$5:$B$100,0),MATCH(A304,'06_Target KPI'!$E$4:$P$4,0)))),0)</f>
        <v>0</v>
      </c>
      <c r="I304" s="29"/>
      <c r="J304" s="32">
        <f>IFERROR(MIN(IF(VLOOKUP(F304,'05_Master KPI'!$B$5:$G$100,5,FALSE)="Lower",H304/I304,I304/H304),1),0)</f>
        <v>0</v>
      </c>
      <c r="K304" s="31">
        <f>IFERROR(VLOOKUP(F304,'05_Master KPI'!$B$5:$G$100,4,FALSE),0)</f>
        <v>0</v>
      </c>
      <c r="L304" s="33">
        <f t="shared" si="4"/>
        <v>0</v>
      </c>
      <c r="M304" s="31" t="str">
        <f>IF(D304="","",IF(J304&gt;='13_Setting'!$H$7,"Tercapai",IF(J304&gt;='13_Setting'!$H$6,"On Track","Tertinggal")))</f>
        <v/>
      </c>
      <c r="N304" s="29"/>
    </row>
  </sheetData>
  <mergeCells count="2">
    <mergeCell ref="A1:N1"/>
    <mergeCell ref="A2:N2"/>
  </mergeCells>
  <conditionalFormatting sqref="M5:M304">
    <cfRule type="containsText" dxfId="15" priority="1" operator="containsText" text="Tercapai"/>
    <cfRule type="containsText" dxfId="14" priority="2" operator="containsText" text="On Track"/>
    <cfRule type="containsText" dxfId="13" priority="3" operator="containsText" text="Tertinggal"/>
  </conditionalFormatting>
  <dataValidations count="2">
    <dataValidation type="list" sqref="D5:D304" xr:uid="{00000000-0002-0000-0700-000002000000}">
      <formula1>"EMP001,EMP002,EMP003,EMP004"</formula1>
    </dataValidation>
    <dataValidation type="list" sqref="F5:F304" xr:uid="{00000000-0002-0000-0700-000003000000}">
      <formula1>"MKT01,MKT02,MKT03,MKT04,MKT05,MKT06"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xr:uid="{00000000-0002-0000-0700-000000000000}">
          <x14:formula1>
            <xm:f>'13_Setting'!$A$5:$A$16</xm:f>
          </x14:formula1>
          <xm:sqref>A5:A304</xm:sqref>
        </x14:dataValidation>
        <x14:dataValidation type="list" xr:uid="{00000000-0002-0000-0700-000001000000}">
          <x14:formula1>
            <xm:f>'13_Setting'!$D$5:$D$9</xm:f>
          </x14:formula1>
          <xm:sqref>B5:B304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304"/>
  <sheetViews>
    <sheetView showGridLines="0" workbookViewId="0"/>
  </sheetViews>
  <sheetFormatPr defaultRowHeight="13.8"/>
  <cols>
    <col min="1" max="1" width="14" customWidth="1"/>
    <col min="2" max="2" width="9" customWidth="1"/>
    <col min="3" max="3" width="14" customWidth="1"/>
    <col min="4" max="4" width="12" customWidth="1"/>
    <col min="5" max="5" width="28" customWidth="1"/>
    <col min="6" max="6" width="12" customWidth="1"/>
    <col min="7" max="7" width="30" customWidth="1"/>
    <col min="8" max="13" width="14" customWidth="1"/>
    <col min="14" max="14" width="30" customWidth="1"/>
  </cols>
  <sheetData>
    <row r="1" spans="1:26" ht="34.049999999999997" customHeight="1">
      <c r="A1" s="55" t="s">
        <v>214</v>
      </c>
      <c r="B1" s="55" t="s">
        <v>214</v>
      </c>
      <c r="C1" s="55" t="s">
        <v>214</v>
      </c>
      <c r="D1" s="55" t="s">
        <v>214</v>
      </c>
      <c r="E1" s="55" t="s">
        <v>214</v>
      </c>
      <c r="F1" s="55" t="s">
        <v>214</v>
      </c>
      <c r="G1" s="55" t="s">
        <v>214</v>
      </c>
      <c r="H1" s="55" t="s">
        <v>214</v>
      </c>
      <c r="I1" s="55" t="s">
        <v>214</v>
      </c>
      <c r="J1" s="55" t="s">
        <v>214</v>
      </c>
      <c r="K1" s="55" t="s">
        <v>214</v>
      </c>
      <c r="L1" s="55" t="s">
        <v>214</v>
      </c>
      <c r="M1" s="55" t="s">
        <v>214</v>
      </c>
      <c r="N1" s="55" t="s">
        <v>214</v>
      </c>
      <c r="O1" s="1"/>
      <c r="P1" s="1"/>
      <c r="Q1" s="1"/>
      <c r="R1" s="1"/>
      <c r="S1" s="1"/>
      <c r="T1" s="1"/>
      <c r="U1" s="1"/>
      <c r="V1" s="1"/>
      <c r="W1" s="1"/>
      <c r="X1" s="1"/>
      <c r="Y1" s="1"/>
      <c r="Z1" s="1"/>
    </row>
    <row r="2" spans="1:26" ht="24" customHeight="1">
      <c r="A2" s="56" t="s">
        <v>203</v>
      </c>
      <c r="B2" s="56" t="s">
        <v>203</v>
      </c>
      <c r="C2" s="56" t="s">
        <v>203</v>
      </c>
      <c r="D2" s="56" t="s">
        <v>203</v>
      </c>
      <c r="E2" s="56" t="s">
        <v>203</v>
      </c>
      <c r="F2" s="56" t="s">
        <v>203</v>
      </c>
      <c r="G2" s="56" t="s">
        <v>203</v>
      </c>
      <c r="H2" s="56" t="s">
        <v>203</v>
      </c>
      <c r="I2" s="56" t="s">
        <v>203</v>
      </c>
      <c r="J2" s="56" t="s">
        <v>203</v>
      </c>
      <c r="K2" s="56" t="s">
        <v>203</v>
      </c>
      <c r="L2" s="56" t="s">
        <v>203</v>
      </c>
      <c r="M2" s="56" t="s">
        <v>203</v>
      </c>
      <c r="N2" s="56" t="s">
        <v>203</v>
      </c>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204</v>
      </c>
      <c r="D4" s="6" t="s">
        <v>83</v>
      </c>
      <c r="E4" s="6" t="s">
        <v>34</v>
      </c>
      <c r="F4" s="6" t="s">
        <v>108</v>
      </c>
      <c r="G4" s="6" t="s">
        <v>205</v>
      </c>
      <c r="H4" s="6" t="s">
        <v>206</v>
      </c>
      <c r="I4" s="6" t="s">
        <v>207</v>
      </c>
      <c r="J4" s="6" t="s">
        <v>208</v>
      </c>
      <c r="K4" s="6" t="s">
        <v>111</v>
      </c>
      <c r="L4" s="6" t="s">
        <v>209</v>
      </c>
      <c r="M4" s="6" t="s">
        <v>85</v>
      </c>
      <c r="N4" s="3" t="s">
        <v>210</v>
      </c>
      <c r="O4" s="1"/>
      <c r="P4" s="1"/>
      <c r="Q4" s="1"/>
      <c r="R4" s="1"/>
      <c r="S4" s="1"/>
      <c r="T4" s="1"/>
      <c r="U4" s="1"/>
      <c r="V4" s="1"/>
      <c r="W4" s="1"/>
      <c r="X4" s="1"/>
      <c r="Y4" s="1"/>
      <c r="Z4" s="1"/>
    </row>
    <row r="5" spans="1:26">
      <c r="A5" s="16" t="s">
        <v>192</v>
      </c>
      <c r="B5" s="16">
        <v>2026</v>
      </c>
      <c r="C5" s="17">
        <v>46053</v>
      </c>
      <c r="D5" s="16" t="s">
        <v>98</v>
      </c>
      <c r="E5" s="8" t="str">
        <f>IFERROR(VLOOKUP(D5,'04_Master Karyawan'!$A$5:$F$50,2,FALSE),"")</f>
        <v>Admin AP (Ganti Nama)</v>
      </c>
      <c r="F5" s="16" t="s">
        <v>129</v>
      </c>
      <c r="G5" s="8" t="str">
        <f>IFERROR(VLOOKUP(F5,'05_Master KPI'!$B$5:$G$100,2,FALSE)&amp;" ("&amp;VLOOKUP(F5,'05_Master KPI'!$B$5:$G$100,3,FALSE)&amp;")","")</f>
        <v>Response Time WA (menit)</v>
      </c>
      <c r="H5" s="8">
        <f>IFERROR(IF(B5&lt;&gt;'06_Target KPI'!$B$3,0,IF(VLOOKUP(F5,'05_Master KPI'!$B$5:$G$100,6,FALSE)="Kumulatif",INDEX('06_Target KPI'!$E$5:$P$100,MATCH(F5,'06_Target KPI'!$B$5:$B$100,0),MATCH(A5,'06_Target KPI'!$E$4:$P$4,0))*DAY(C5)/DAY(EOMONTH(C5,0)),INDEX('06_Target KPI'!$E$5:$P$100,MATCH(F5,'06_Target KPI'!$B$5:$B$100,0),MATCH(A5,'06_Target KPI'!$E$4:$P$4,0)))),0)</f>
        <v>5</v>
      </c>
      <c r="I5" s="16">
        <v>6.5</v>
      </c>
      <c r="J5" s="18">
        <f>IFERROR(MIN(IF(VLOOKUP(F5,'05_Master KPI'!$B$5:$G$100,5,FALSE)="Lower",H5/I5,I5/H5),1),0)</f>
        <v>0.76923076923076927</v>
      </c>
      <c r="K5" s="8">
        <f>IFERROR(VLOOKUP(F5,'05_Master KPI'!$B$5:$G$100,4,FALSE),0)</f>
        <v>20</v>
      </c>
      <c r="L5" s="19">
        <f t="shared" ref="L5:L68" si="0">J5*K5</f>
        <v>15.384615384615385</v>
      </c>
      <c r="M5" s="8" t="str">
        <f>IF(D5="","",IF(J5&gt;='13_Setting'!$H$7,"Tercapai",IF(J5&gt;='13_Setting'!$H$6,"On Track","Tertinggal")))</f>
        <v>Tertinggal</v>
      </c>
      <c r="N5" s="16" t="s">
        <v>211</v>
      </c>
      <c r="O5" s="1"/>
      <c r="P5" s="1"/>
      <c r="Q5" s="1"/>
      <c r="R5" s="1"/>
      <c r="S5" s="1"/>
      <c r="T5" s="1"/>
      <c r="U5" s="1"/>
      <c r="V5" s="1"/>
      <c r="W5" s="1"/>
      <c r="X5" s="1"/>
      <c r="Y5" s="1"/>
      <c r="Z5" s="1"/>
    </row>
    <row r="6" spans="1:26">
      <c r="A6" s="20" t="s">
        <v>192</v>
      </c>
      <c r="B6" s="20">
        <v>2026</v>
      </c>
      <c r="C6" s="21">
        <v>46053</v>
      </c>
      <c r="D6" s="20" t="s">
        <v>98</v>
      </c>
      <c r="E6" s="9" t="str">
        <f>IFERROR(VLOOKUP(D6,'04_Master Karyawan'!$A$5:$F$50,2,FALSE),"")</f>
        <v>Admin AP (Ganti Nama)</v>
      </c>
      <c r="F6" s="20" t="s">
        <v>133</v>
      </c>
      <c r="G6" s="9" t="str">
        <f>IFERROR(VLOOKUP(F6,'05_Master KPI'!$B$5:$G$100,2,FALSE)&amp;" ("&amp;VLOOKUP(F6,'05_Master KPI'!$B$5:$G$100,3,FALSE)&amp;")","")</f>
        <v>Input Worksheet Benar (%)</v>
      </c>
      <c r="H6" s="9">
        <f>IFERROR(IF(B6&lt;&gt;'06_Target KPI'!$B$3,0,IF(VLOOKUP(F6,'05_Master KPI'!$B$5:$G$100,6,FALSE)="Kumulatif",INDEX('06_Target KPI'!$E$5:$P$100,MATCH(F6,'06_Target KPI'!$B$5:$B$100,0),MATCH(A6,'06_Target KPI'!$E$4:$P$4,0))*DAY(C6)/DAY(EOMONTH(C6,0)),INDEX('06_Target KPI'!$E$5:$P$100,MATCH(F6,'06_Target KPI'!$B$5:$B$100,0),MATCH(A6,'06_Target KPI'!$E$4:$P$4,0)))),0)</f>
        <v>99</v>
      </c>
      <c r="I6" s="20">
        <v>76</v>
      </c>
      <c r="J6" s="22">
        <f>IFERROR(MIN(IF(VLOOKUP(F6,'05_Master KPI'!$B$5:$G$100,5,FALSE)="Lower",H6/I6,I6/H6),1),0)</f>
        <v>0.76767676767676762</v>
      </c>
      <c r="K6" s="9">
        <f>IFERROR(VLOOKUP(F6,'05_Master KPI'!$B$5:$G$100,4,FALSE),0)</f>
        <v>20</v>
      </c>
      <c r="L6" s="23">
        <f t="shared" si="0"/>
        <v>15.353535353535353</v>
      </c>
      <c r="M6" s="9" t="str">
        <f>IF(D6="","",IF(J6&gt;='13_Setting'!$H$7,"Tercapai",IF(J6&gt;='13_Setting'!$H$6,"On Track","Tertinggal")))</f>
        <v>Tertinggal</v>
      </c>
      <c r="N6" s="20" t="s">
        <v>211</v>
      </c>
      <c r="O6" s="1"/>
      <c r="P6" s="1"/>
      <c r="Q6" s="1"/>
      <c r="R6" s="1"/>
      <c r="S6" s="1"/>
      <c r="T6" s="1"/>
      <c r="U6" s="1"/>
      <c r="V6" s="1"/>
      <c r="W6" s="1"/>
      <c r="X6" s="1"/>
      <c r="Y6" s="1"/>
      <c r="Z6" s="1"/>
    </row>
    <row r="7" spans="1:26">
      <c r="A7" s="20" t="s">
        <v>192</v>
      </c>
      <c r="B7" s="20">
        <v>2026</v>
      </c>
      <c r="C7" s="21">
        <v>46053</v>
      </c>
      <c r="D7" s="20" t="s">
        <v>98</v>
      </c>
      <c r="E7" s="9" t="str">
        <f>IFERROR(VLOOKUP(D7,'04_Master Karyawan'!$A$5:$F$50,2,FALSE),"")</f>
        <v>Admin AP (Ganti Nama)</v>
      </c>
      <c r="F7" s="20" t="s">
        <v>135</v>
      </c>
      <c r="G7" s="9" t="str">
        <f>IFERROR(VLOOKUP(F7,'05_Master KPI'!$B$5:$G$100,2,FALSE)&amp;" ("&amp;VLOOKUP(F7,'05_Master KPI'!$B$5:$G$100,3,FALSE)&amp;")","")</f>
        <v>Follow-up Customer (%)</v>
      </c>
      <c r="H7" s="9">
        <f>IFERROR(IF(B7&lt;&gt;'06_Target KPI'!$B$3,0,IF(VLOOKUP(F7,'05_Master KPI'!$B$5:$G$100,6,FALSE)="Kumulatif",INDEX('06_Target KPI'!$E$5:$P$100,MATCH(F7,'06_Target KPI'!$B$5:$B$100,0),MATCH(A7,'06_Target KPI'!$E$4:$P$4,0))*DAY(C7)/DAY(EOMONTH(C7,0)),INDEX('06_Target KPI'!$E$5:$P$100,MATCH(F7,'06_Target KPI'!$B$5:$B$100,0),MATCH(A7,'06_Target KPI'!$E$4:$P$4,0)))),0)</f>
        <v>95</v>
      </c>
      <c r="I7" s="20">
        <v>72.900000000000006</v>
      </c>
      <c r="J7" s="22">
        <f>IFERROR(MIN(IF(VLOOKUP(F7,'05_Master KPI'!$B$5:$G$100,5,FALSE)="Lower",H7/I7,I7/H7),1),0)</f>
        <v>0.76736842105263159</v>
      </c>
      <c r="K7" s="9">
        <f>IFERROR(VLOOKUP(F7,'05_Master KPI'!$B$5:$G$100,4,FALSE),0)</f>
        <v>15</v>
      </c>
      <c r="L7" s="23">
        <f t="shared" si="0"/>
        <v>11.510526315789473</v>
      </c>
      <c r="M7" s="9" t="str">
        <f>IF(D7="","",IF(J7&gt;='13_Setting'!$H$7,"Tercapai",IF(J7&gt;='13_Setting'!$H$6,"On Track","Tertinggal")))</f>
        <v>Tertinggal</v>
      </c>
      <c r="N7" s="20" t="s">
        <v>211</v>
      </c>
      <c r="O7" s="1"/>
      <c r="P7" s="1"/>
      <c r="Q7" s="1"/>
      <c r="R7" s="1"/>
      <c r="S7" s="1"/>
      <c r="T7" s="1"/>
      <c r="U7" s="1"/>
      <c r="V7" s="1"/>
      <c r="W7" s="1"/>
      <c r="X7" s="1"/>
      <c r="Y7" s="1"/>
      <c r="Z7" s="1"/>
    </row>
    <row r="8" spans="1:26">
      <c r="A8" s="20" t="s">
        <v>192</v>
      </c>
      <c r="B8" s="20">
        <v>2026</v>
      </c>
      <c r="C8" s="21">
        <v>46053</v>
      </c>
      <c r="D8" s="20" t="s">
        <v>98</v>
      </c>
      <c r="E8" s="9" t="str">
        <f>IFERROR(VLOOKUP(D8,'04_Master Karyawan'!$A$5:$F$50,2,FALSE),"")</f>
        <v>Admin AP (Ganti Nama)</v>
      </c>
      <c r="F8" s="20" t="s">
        <v>137</v>
      </c>
      <c r="G8" s="9" t="str">
        <f>IFERROR(VLOOKUP(F8,'05_Master KPI'!$B$5:$G$100,2,FALSE)&amp;" ("&amp;VLOOKUP(F8,'05_Master KPI'!$B$5:$G$100,3,FALSE)&amp;")","")</f>
        <v>Closing Rate (%)</v>
      </c>
      <c r="H8" s="9">
        <f>IFERROR(IF(B8&lt;&gt;'06_Target KPI'!$B$3,0,IF(VLOOKUP(F8,'05_Master KPI'!$B$5:$G$100,6,FALSE)="Kumulatif",INDEX('06_Target KPI'!$E$5:$P$100,MATCH(F8,'06_Target KPI'!$B$5:$B$100,0),MATCH(A8,'06_Target KPI'!$E$4:$P$4,0))*DAY(C8)/DAY(EOMONTH(C8,0)),INDEX('06_Target KPI'!$E$5:$P$100,MATCH(F8,'06_Target KPI'!$B$5:$B$100,0),MATCH(A8,'06_Target KPI'!$E$4:$P$4,0)))),0)</f>
        <v>25</v>
      </c>
      <c r="I8" s="20">
        <v>19.2</v>
      </c>
      <c r="J8" s="22">
        <f>IFERROR(MIN(IF(VLOOKUP(F8,'05_Master KPI'!$B$5:$G$100,5,FALSE)="Lower",H8/I8,I8/H8),1),0)</f>
        <v>0.76800000000000002</v>
      </c>
      <c r="K8" s="9">
        <f>IFERROR(VLOOKUP(F8,'05_Master KPI'!$B$5:$G$100,4,FALSE),0)</f>
        <v>20</v>
      </c>
      <c r="L8" s="23">
        <f t="shared" si="0"/>
        <v>15.36</v>
      </c>
      <c r="M8" s="9" t="str">
        <f>IF(D8="","",IF(J8&gt;='13_Setting'!$H$7,"Tercapai",IF(J8&gt;='13_Setting'!$H$6,"On Track","Tertinggal")))</f>
        <v>Tertinggal</v>
      </c>
      <c r="N8" s="20" t="s">
        <v>211</v>
      </c>
      <c r="O8" s="1"/>
      <c r="P8" s="1"/>
      <c r="Q8" s="1"/>
      <c r="R8" s="1"/>
      <c r="S8" s="1"/>
      <c r="T8" s="1"/>
      <c r="U8" s="1"/>
      <c r="V8" s="1"/>
      <c r="W8" s="1"/>
      <c r="X8" s="1"/>
      <c r="Y8" s="1"/>
      <c r="Z8" s="1"/>
    </row>
    <row r="9" spans="1:26">
      <c r="A9" s="20" t="s">
        <v>192</v>
      </c>
      <c r="B9" s="20">
        <v>2026</v>
      </c>
      <c r="C9" s="21">
        <v>46053</v>
      </c>
      <c r="D9" s="20" t="s">
        <v>98</v>
      </c>
      <c r="E9" s="9" t="str">
        <f>IFERROR(VLOOKUP(D9,'04_Master Karyawan'!$A$5:$F$50,2,FALSE),"")</f>
        <v>Admin AP (Ganti Nama)</v>
      </c>
      <c r="F9" s="20" t="s">
        <v>139</v>
      </c>
      <c r="G9" s="9" t="str">
        <f>IFERROR(VLOOKUP(F9,'05_Master KPI'!$B$5:$G$100,2,FALSE)&amp;" ("&amp;VLOOKUP(F9,'05_Master KPI'!$B$5:$G$100,3,FALSE)&amp;")","")</f>
        <v>Komplain Selesai (%)</v>
      </c>
      <c r="H9" s="9">
        <f>IFERROR(IF(B9&lt;&gt;'06_Target KPI'!$B$3,0,IF(VLOOKUP(F9,'05_Master KPI'!$B$5:$G$100,6,FALSE)="Kumulatif",INDEX('06_Target KPI'!$E$5:$P$100,MATCH(F9,'06_Target KPI'!$B$5:$B$100,0),MATCH(A9,'06_Target KPI'!$E$4:$P$4,0))*DAY(C9)/DAY(EOMONTH(C9,0)),INDEX('06_Target KPI'!$E$5:$P$100,MATCH(F9,'06_Target KPI'!$B$5:$B$100,0),MATCH(A9,'06_Target KPI'!$E$4:$P$4,0)))),0)</f>
        <v>95</v>
      </c>
      <c r="I9" s="20">
        <v>72.900000000000006</v>
      </c>
      <c r="J9" s="22">
        <f>IFERROR(MIN(IF(VLOOKUP(F9,'05_Master KPI'!$B$5:$G$100,5,FALSE)="Lower",H9/I9,I9/H9),1),0)</f>
        <v>0.76736842105263159</v>
      </c>
      <c r="K9" s="9">
        <f>IFERROR(VLOOKUP(F9,'05_Master KPI'!$B$5:$G$100,4,FALSE),0)</f>
        <v>15</v>
      </c>
      <c r="L9" s="23">
        <f t="shared" si="0"/>
        <v>11.510526315789473</v>
      </c>
      <c r="M9" s="9" t="str">
        <f>IF(D9="","",IF(J9&gt;='13_Setting'!$H$7,"Tercapai",IF(J9&gt;='13_Setting'!$H$6,"On Track","Tertinggal")))</f>
        <v>Tertinggal</v>
      </c>
      <c r="N9" s="20" t="s">
        <v>211</v>
      </c>
      <c r="O9" s="1"/>
      <c r="P9" s="1"/>
      <c r="Q9" s="1"/>
      <c r="R9" s="1"/>
      <c r="S9" s="1"/>
      <c r="T9" s="1"/>
      <c r="U9" s="1"/>
      <c r="V9" s="1"/>
      <c r="W9" s="1"/>
      <c r="X9" s="1"/>
      <c r="Y9" s="1"/>
      <c r="Z9" s="1"/>
    </row>
    <row r="10" spans="1:26">
      <c r="A10" s="20" t="s">
        <v>192</v>
      </c>
      <c r="B10" s="20">
        <v>2026</v>
      </c>
      <c r="C10" s="21">
        <v>46053</v>
      </c>
      <c r="D10" s="20" t="s">
        <v>98</v>
      </c>
      <c r="E10" s="9" t="str">
        <f>IFERROR(VLOOKUP(D10,'04_Master Karyawan'!$A$5:$F$50,2,FALSE),"")</f>
        <v>Admin AP (Ganti Nama)</v>
      </c>
      <c r="F10" s="20" t="s">
        <v>141</v>
      </c>
      <c r="G10" s="9" t="str">
        <f>IFERROR(VLOOKUP(F10,'05_Master KPI'!$B$5:$G$100,2,FALSE)&amp;" ("&amp;VLOOKUP(F10,'05_Master KPI'!$B$5:$G$100,3,FALSE)&amp;")","")</f>
        <v>Administrasi Lengkap (%)</v>
      </c>
      <c r="H10" s="9">
        <f>IFERROR(IF(B10&lt;&gt;'06_Target KPI'!$B$3,0,IF(VLOOKUP(F10,'05_Master KPI'!$B$5:$G$100,6,FALSE)="Kumulatif",INDEX('06_Target KPI'!$E$5:$P$100,MATCH(F10,'06_Target KPI'!$B$5:$B$100,0),MATCH(A10,'06_Target KPI'!$E$4:$P$4,0))*DAY(C10)/DAY(EOMONTH(C10,0)),INDEX('06_Target KPI'!$E$5:$P$100,MATCH(F10,'06_Target KPI'!$B$5:$B$100,0),MATCH(A10,'06_Target KPI'!$E$4:$P$4,0)))),0)</f>
        <v>100</v>
      </c>
      <c r="I10" s="20">
        <v>76.8</v>
      </c>
      <c r="J10" s="22">
        <f>IFERROR(MIN(IF(VLOOKUP(F10,'05_Master KPI'!$B$5:$G$100,5,FALSE)="Lower",H10/I10,I10/H10),1),0)</f>
        <v>0.76800000000000002</v>
      </c>
      <c r="K10" s="9">
        <f>IFERROR(VLOOKUP(F10,'05_Master KPI'!$B$5:$G$100,4,FALSE),0)</f>
        <v>10</v>
      </c>
      <c r="L10" s="23">
        <f t="shared" si="0"/>
        <v>7.68</v>
      </c>
      <c r="M10" s="9" t="str">
        <f>IF(D10="","",IF(J10&gt;='13_Setting'!$H$7,"Tercapai",IF(J10&gt;='13_Setting'!$H$6,"On Track","Tertinggal")))</f>
        <v>Tertinggal</v>
      </c>
      <c r="N10" s="20" t="s">
        <v>211</v>
      </c>
      <c r="O10" s="1"/>
      <c r="P10" s="1"/>
      <c r="Q10" s="1"/>
      <c r="R10" s="1"/>
      <c r="S10" s="1"/>
      <c r="T10" s="1"/>
      <c r="U10" s="1"/>
      <c r="V10" s="1"/>
      <c r="W10" s="1"/>
      <c r="X10" s="1"/>
      <c r="Y10" s="1"/>
      <c r="Z10" s="1"/>
    </row>
    <row r="11" spans="1:26">
      <c r="A11" s="20" t="s">
        <v>193</v>
      </c>
      <c r="B11" s="20">
        <v>2026</v>
      </c>
      <c r="C11" s="21">
        <v>46081</v>
      </c>
      <c r="D11" s="20" t="s">
        <v>98</v>
      </c>
      <c r="E11" s="9" t="str">
        <f>IFERROR(VLOOKUP(D11,'04_Master Karyawan'!$A$5:$F$50,2,FALSE),"")</f>
        <v>Admin AP (Ganti Nama)</v>
      </c>
      <c r="F11" s="20" t="s">
        <v>129</v>
      </c>
      <c r="G11" s="9" t="str">
        <f>IFERROR(VLOOKUP(F11,'05_Master KPI'!$B$5:$G$100,2,FALSE)&amp;" ("&amp;VLOOKUP(F11,'05_Master KPI'!$B$5:$G$100,3,FALSE)&amp;")","")</f>
        <v>Response Time WA (menit)</v>
      </c>
      <c r="H11" s="9">
        <f>IFERROR(IF(B11&lt;&gt;'06_Target KPI'!$B$3,0,IF(VLOOKUP(F11,'05_Master KPI'!$B$5:$G$100,6,FALSE)="Kumulatif",INDEX('06_Target KPI'!$E$5:$P$100,MATCH(F11,'06_Target KPI'!$B$5:$B$100,0),MATCH(A11,'06_Target KPI'!$E$4:$P$4,0))*DAY(C11)/DAY(EOMONTH(C11,0)),INDEX('06_Target KPI'!$E$5:$P$100,MATCH(F11,'06_Target KPI'!$B$5:$B$100,0),MATCH(A11,'06_Target KPI'!$E$4:$P$4,0)))),0)</f>
        <v>5</v>
      </c>
      <c r="I11" s="20">
        <v>6.2</v>
      </c>
      <c r="J11" s="22">
        <f>IFERROR(MIN(IF(VLOOKUP(F11,'05_Master KPI'!$B$5:$G$100,5,FALSE)="Lower",H11/I11,I11/H11),1),0)</f>
        <v>0.80645161290322576</v>
      </c>
      <c r="K11" s="9">
        <f>IFERROR(VLOOKUP(F11,'05_Master KPI'!$B$5:$G$100,4,FALSE),0)</f>
        <v>20</v>
      </c>
      <c r="L11" s="23">
        <f t="shared" si="0"/>
        <v>16.129032258064516</v>
      </c>
      <c r="M11" s="9" t="str">
        <f>IF(D11="","",IF(J11&gt;='13_Setting'!$H$7,"Tercapai",IF(J11&gt;='13_Setting'!$H$6,"On Track","Tertinggal")))</f>
        <v>Tertinggal</v>
      </c>
      <c r="N11" s="20" t="s">
        <v>211</v>
      </c>
      <c r="O11" s="1"/>
      <c r="P11" s="1"/>
      <c r="Q11" s="1"/>
      <c r="R11" s="1"/>
      <c r="S11" s="1"/>
      <c r="T11" s="1"/>
      <c r="U11" s="1"/>
      <c r="V11" s="1"/>
      <c r="W11" s="1"/>
      <c r="X11" s="1"/>
      <c r="Y11" s="1"/>
      <c r="Z11" s="1"/>
    </row>
    <row r="12" spans="1:26">
      <c r="A12" s="20" t="s">
        <v>193</v>
      </c>
      <c r="B12" s="20">
        <v>2026</v>
      </c>
      <c r="C12" s="21">
        <v>46081</v>
      </c>
      <c r="D12" s="20" t="s">
        <v>98</v>
      </c>
      <c r="E12" s="9" t="str">
        <f>IFERROR(VLOOKUP(D12,'04_Master Karyawan'!$A$5:$F$50,2,FALSE),"")</f>
        <v>Admin AP (Ganti Nama)</v>
      </c>
      <c r="F12" s="20" t="s">
        <v>133</v>
      </c>
      <c r="G12" s="9" t="str">
        <f>IFERROR(VLOOKUP(F12,'05_Master KPI'!$B$5:$G$100,2,FALSE)&amp;" ("&amp;VLOOKUP(F12,'05_Master KPI'!$B$5:$G$100,3,FALSE)&amp;")","")</f>
        <v>Input Worksheet Benar (%)</v>
      </c>
      <c r="H12" s="9">
        <f>IFERROR(IF(B12&lt;&gt;'06_Target KPI'!$B$3,0,IF(VLOOKUP(F12,'05_Master KPI'!$B$5:$G$100,6,FALSE)="Kumulatif",INDEX('06_Target KPI'!$E$5:$P$100,MATCH(F12,'06_Target KPI'!$B$5:$B$100,0),MATCH(A12,'06_Target KPI'!$E$4:$P$4,0))*DAY(C12)/DAY(EOMONTH(C12,0)),INDEX('06_Target KPI'!$E$5:$P$100,MATCH(F12,'06_Target KPI'!$B$5:$B$100,0),MATCH(A12,'06_Target KPI'!$E$4:$P$4,0)))),0)</f>
        <v>99</v>
      </c>
      <c r="I12" s="20">
        <v>79.900000000000006</v>
      </c>
      <c r="J12" s="22">
        <f>IFERROR(MIN(IF(VLOOKUP(F12,'05_Master KPI'!$B$5:$G$100,5,FALSE)="Lower",H12/I12,I12/H12),1),0)</f>
        <v>0.80707070707070716</v>
      </c>
      <c r="K12" s="9">
        <f>IFERROR(VLOOKUP(F12,'05_Master KPI'!$B$5:$G$100,4,FALSE),0)</f>
        <v>20</v>
      </c>
      <c r="L12" s="23">
        <f t="shared" si="0"/>
        <v>16.141414141414142</v>
      </c>
      <c r="M12" s="9" t="str">
        <f>IF(D12="","",IF(J12&gt;='13_Setting'!$H$7,"Tercapai",IF(J12&gt;='13_Setting'!$H$6,"On Track","Tertinggal")))</f>
        <v>Tertinggal</v>
      </c>
      <c r="N12" s="20" t="s">
        <v>211</v>
      </c>
      <c r="O12" s="1"/>
      <c r="P12" s="1"/>
      <c r="Q12" s="1"/>
      <c r="R12" s="1"/>
      <c r="S12" s="1"/>
      <c r="T12" s="1"/>
      <c r="U12" s="1"/>
      <c r="V12" s="1"/>
      <c r="W12" s="1"/>
      <c r="X12" s="1"/>
      <c r="Y12" s="1"/>
      <c r="Z12" s="1"/>
    </row>
    <row r="13" spans="1:26">
      <c r="A13" s="20" t="s">
        <v>193</v>
      </c>
      <c r="B13" s="20">
        <v>2026</v>
      </c>
      <c r="C13" s="21">
        <v>46081</v>
      </c>
      <c r="D13" s="20" t="s">
        <v>98</v>
      </c>
      <c r="E13" s="9" t="str">
        <f>IFERROR(VLOOKUP(D13,'04_Master Karyawan'!$A$5:$F$50,2,FALSE),"")</f>
        <v>Admin AP (Ganti Nama)</v>
      </c>
      <c r="F13" s="20" t="s">
        <v>135</v>
      </c>
      <c r="G13" s="9" t="str">
        <f>IFERROR(VLOOKUP(F13,'05_Master KPI'!$B$5:$G$100,2,FALSE)&amp;" ("&amp;VLOOKUP(F13,'05_Master KPI'!$B$5:$G$100,3,FALSE)&amp;")","")</f>
        <v>Follow-up Customer (%)</v>
      </c>
      <c r="H13" s="9">
        <f>IFERROR(IF(B13&lt;&gt;'06_Target KPI'!$B$3,0,IF(VLOOKUP(F13,'05_Master KPI'!$B$5:$G$100,6,FALSE)="Kumulatif",INDEX('06_Target KPI'!$E$5:$P$100,MATCH(F13,'06_Target KPI'!$B$5:$B$100,0),MATCH(A13,'06_Target KPI'!$E$4:$P$4,0))*DAY(C13)/DAY(EOMONTH(C13,0)),INDEX('06_Target KPI'!$E$5:$P$100,MATCH(F13,'06_Target KPI'!$B$5:$B$100,0),MATCH(A13,'06_Target KPI'!$E$4:$P$4,0)))),0)</f>
        <v>95</v>
      </c>
      <c r="I13" s="20">
        <v>76.7</v>
      </c>
      <c r="J13" s="22">
        <f>IFERROR(MIN(IF(VLOOKUP(F13,'05_Master KPI'!$B$5:$G$100,5,FALSE)="Lower",H13/I13,I13/H13),1),0)</f>
        <v>0.80736842105263162</v>
      </c>
      <c r="K13" s="9">
        <f>IFERROR(VLOOKUP(F13,'05_Master KPI'!$B$5:$G$100,4,FALSE),0)</f>
        <v>15</v>
      </c>
      <c r="L13" s="23">
        <f t="shared" si="0"/>
        <v>12.110526315789475</v>
      </c>
      <c r="M13" s="9" t="str">
        <f>IF(D13="","",IF(J13&gt;='13_Setting'!$H$7,"Tercapai",IF(J13&gt;='13_Setting'!$H$6,"On Track","Tertinggal")))</f>
        <v>Tertinggal</v>
      </c>
      <c r="N13" s="20" t="s">
        <v>211</v>
      </c>
      <c r="O13" s="1"/>
      <c r="P13" s="1"/>
      <c r="Q13" s="1"/>
      <c r="R13" s="1"/>
      <c r="S13" s="1"/>
      <c r="T13" s="1"/>
      <c r="U13" s="1"/>
      <c r="V13" s="1"/>
      <c r="W13" s="1"/>
      <c r="X13" s="1"/>
      <c r="Y13" s="1"/>
      <c r="Z13" s="1"/>
    </row>
    <row r="14" spans="1:26">
      <c r="A14" s="20" t="s">
        <v>193</v>
      </c>
      <c r="B14" s="20">
        <v>2026</v>
      </c>
      <c r="C14" s="21">
        <v>46081</v>
      </c>
      <c r="D14" s="20" t="s">
        <v>98</v>
      </c>
      <c r="E14" s="9" t="str">
        <f>IFERROR(VLOOKUP(D14,'04_Master Karyawan'!$A$5:$F$50,2,FALSE),"")</f>
        <v>Admin AP (Ganti Nama)</v>
      </c>
      <c r="F14" s="20" t="s">
        <v>137</v>
      </c>
      <c r="G14" s="9" t="str">
        <f>IFERROR(VLOOKUP(F14,'05_Master KPI'!$B$5:$G$100,2,FALSE)&amp;" ("&amp;VLOOKUP(F14,'05_Master KPI'!$B$5:$G$100,3,FALSE)&amp;")","")</f>
        <v>Closing Rate (%)</v>
      </c>
      <c r="H14" s="9">
        <f>IFERROR(IF(B14&lt;&gt;'06_Target KPI'!$B$3,0,IF(VLOOKUP(F14,'05_Master KPI'!$B$5:$G$100,6,FALSE)="Kumulatif",INDEX('06_Target KPI'!$E$5:$P$100,MATCH(F14,'06_Target KPI'!$B$5:$B$100,0),MATCH(A14,'06_Target KPI'!$E$4:$P$4,0))*DAY(C14)/DAY(EOMONTH(C14,0)),INDEX('06_Target KPI'!$E$5:$P$100,MATCH(F14,'06_Target KPI'!$B$5:$B$100,0),MATCH(A14,'06_Target KPI'!$E$4:$P$4,0)))),0)</f>
        <v>25</v>
      </c>
      <c r="I14" s="20">
        <v>20.2</v>
      </c>
      <c r="J14" s="22">
        <f>IFERROR(MIN(IF(VLOOKUP(F14,'05_Master KPI'!$B$5:$G$100,5,FALSE)="Lower",H14/I14,I14/H14),1),0)</f>
        <v>0.80799999999999994</v>
      </c>
      <c r="K14" s="9">
        <f>IFERROR(VLOOKUP(F14,'05_Master KPI'!$B$5:$G$100,4,FALSE),0)</f>
        <v>20</v>
      </c>
      <c r="L14" s="23">
        <f t="shared" si="0"/>
        <v>16.16</v>
      </c>
      <c r="M14" s="9" t="str">
        <f>IF(D14="","",IF(J14&gt;='13_Setting'!$H$7,"Tercapai",IF(J14&gt;='13_Setting'!$H$6,"On Track","Tertinggal")))</f>
        <v>Tertinggal</v>
      </c>
      <c r="N14" s="20" t="s">
        <v>211</v>
      </c>
      <c r="O14" s="1"/>
      <c r="P14" s="1"/>
      <c r="Q14" s="1"/>
      <c r="R14" s="1"/>
      <c r="S14" s="1"/>
      <c r="T14" s="1"/>
      <c r="U14" s="1"/>
      <c r="V14" s="1"/>
      <c r="W14" s="1"/>
      <c r="X14" s="1"/>
      <c r="Y14" s="1"/>
      <c r="Z14" s="1"/>
    </row>
    <row r="15" spans="1:26">
      <c r="A15" s="20" t="s">
        <v>193</v>
      </c>
      <c r="B15" s="20">
        <v>2026</v>
      </c>
      <c r="C15" s="21">
        <v>46081</v>
      </c>
      <c r="D15" s="20" t="s">
        <v>98</v>
      </c>
      <c r="E15" s="9" t="str">
        <f>IFERROR(VLOOKUP(D15,'04_Master Karyawan'!$A$5:$F$50,2,FALSE),"")</f>
        <v>Admin AP (Ganti Nama)</v>
      </c>
      <c r="F15" s="20" t="s">
        <v>139</v>
      </c>
      <c r="G15" s="9" t="str">
        <f>IFERROR(VLOOKUP(F15,'05_Master KPI'!$B$5:$G$100,2,FALSE)&amp;" ("&amp;VLOOKUP(F15,'05_Master KPI'!$B$5:$G$100,3,FALSE)&amp;")","")</f>
        <v>Komplain Selesai (%)</v>
      </c>
      <c r="H15" s="9">
        <f>IFERROR(IF(B15&lt;&gt;'06_Target KPI'!$B$3,0,IF(VLOOKUP(F15,'05_Master KPI'!$B$5:$G$100,6,FALSE)="Kumulatif",INDEX('06_Target KPI'!$E$5:$P$100,MATCH(F15,'06_Target KPI'!$B$5:$B$100,0),MATCH(A15,'06_Target KPI'!$E$4:$P$4,0))*DAY(C15)/DAY(EOMONTH(C15,0)),INDEX('06_Target KPI'!$E$5:$P$100,MATCH(F15,'06_Target KPI'!$B$5:$B$100,0),MATCH(A15,'06_Target KPI'!$E$4:$P$4,0)))),0)</f>
        <v>95</v>
      </c>
      <c r="I15" s="20">
        <v>76.7</v>
      </c>
      <c r="J15" s="22">
        <f>IFERROR(MIN(IF(VLOOKUP(F15,'05_Master KPI'!$B$5:$G$100,5,FALSE)="Lower",H15/I15,I15/H15),1),0)</f>
        <v>0.80736842105263162</v>
      </c>
      <c r="K15" s="9">
        <f>IFERROR(VLOOKUP(F15,'05_Master KPI'!$B$5:$G$100,4,FALSE),0)</f>
        <v>15</v>
      </c>
      <c r="L15" s="23">
        <f t="shared" si="0"/>
        <v>12.110526315789475</v>
      </c>
      <c r="M15" s="9" t="str">
        <f>IF(D15="","",IF(J15&gt;='13_Setting'!$H$7,"Tercapai",IF(J15&gt;='13_Setting'!$H$6,"On Track","Tertinggal")))</f>
        <v>Tertinggal</v>
      </c>
      <c r="N15" s="20" t="s">
        <v>211</v>
      </c>
      <c r="O15" s="1"/>
      <c r="P15" s="1"/>
      <c r="Q15" s="1"/>
      <c r="R15" s="1"/>
      <c r="S15" s="1"/>
      <c r="T15" s="1"/>
      <c r="U15" s="1"/>
      <c r="V15" s="1"/>
      <c r="W15" s="1"/>
      <c r="X15" s="1"/>
      <c r="Y15" s="1"/>
      <c r="Z15" s="1"/>
    </row>
    <row r="16" spans="1:26">
      <c r="A16" s="20" t="s">
        <v>193</v>
      </c>
      <c r="B16" s="20">
        <v>2026</v>
      </c>
      <c r="C16" s="21">
        <v>46081</v>
      </c>
      <c r="D16" s="20" t="s">
        <v>98</v>
      </c>
      <c r="E16" s="9" t="str">
        <f>IFERROR(VLOOKUP(D16,'04_Master Karyawan'!$A$5:$F$50,2,FALSE),"")</f>
        <v>Admin AP (Ganti Nama)</v>
      </c>
      <c r="F16" s="20" t="s">
        <v>141</v>
      </c>
      <c r="G16" s="9" t="str">
        <f>IFERROR(VLOOKUP(F16,'05_Master KPI'!$B$5:$G$100,2,FALSE)&amp;" ("&amp;VLOOKUP(F16,'05_Master KPI'!$B$5:$G$100,3,FALSE)&amp;")","")</f>
        <v>Administrasi Lengkap (%)</v>
      </c>
      <c r="H16" s="9">
        <f>IFERROR(IF(B16&lt;&gt;'06_Target KPI'!$B$3,0,IF(VLOOKUP(F16,'05_Master KPI'!$B$5:$G$100,6,FALSE)="Kumulatif",INDEX('06_Target KPI'!$E$5:$P$100,MATCH(F16,'06_Target KPI'!$B$5:$B$100,0),MATCH(A16,'06_Target KPI'!$E$4:$P$4,0))*DAY(C16)/DAY(EOMONTH(C16,0)),INDEX('06_Target KPI'!$E$5:$P$100,MATCH(F16,'06_Target KPI'!$B$5:$B$100,0),MATCH(A16,'06_Target KPI'!$E$4:$P$4,0)))),0)</f>
        <v>100</v>
      </c>
      <c r="I16" s="20">
        <v>80.8</v>
      </c>
      <c r="J16" s="22">
        <f>IFERROR(MIN(IF(VLOOKUP(F16,'05_Master KPI'!$B$5:$G$100,5,FALSE)="Lower",H16/I16,I16/H16),1),0)</f>
        <v>0.80799999999999994</v>
      </c>
      <c r="K16" s="9">
        <f>IFERROR(VLOOKUP(F16,'05_Master KPI'!$B$5:$G$100,4,FALSE),0)</f>
        <v>10</v>
      </c>
      <c r="L16" s="23">
        <f t="shared" si="0"/>
        <v>8.08</v>
      </c>
      <c r="M16" s="9" t="str">
        <f>IF(D16="","",IF(J16&gt;='13_Setting'!$H$7,"Tercapai",IF(J16&gt;='13_Setting'!$H$6,"On Track","Tertinggal")))</f>
        <v>Tertinggal</v>
      </c>
      <c r="N16" s="20" t="s">
        <v>211</v>
      </c>
      <c r="O16" s="1"/>
      <c r="P16" s="1"/>
      <c r="Q16" s="1"/>
      <c r="R16" s="1"/>
      <c r="S16" s="1"/>
      <c r="T16" s="1"/>
      <c r="U16" s="1"/>
      <c r="V16" s="1"/>
      <c r="W16" s="1"/>
      <c r="X16" s="1"/>
      <c r="Y16" s="1"/>
      <c r="Z16" s="1"/>
    </row>
    <row r="17" spans="1:26">
      <c r="A17" s="20" t="s">
        <v>194</v>
      </c>
      <c r="B17" s="20">
        <v>2026</v>
      </c>
      <c r="C17" s="21">
        <v>46112</v>
      </c>
      <c r="D17" s="20" t="s">
        <v>98</v>
      </c>
      <c r="E17" s="9" t="str">
        <f>IFERROR(VLOOKUP(D17,'04_Master Karyawan'!$A$5:$F$50,2,FALSE),"")</f>
        <v>Admin AP (Ganti Nama)</v>
      </c>
      <c r="F17" s="20" t="s">
        <v>129</v>
      </c>
      <c r="G17" s="9" t="str">
        <f>IFERROR(VLOOKUP(F17,'05_Master KPI'!$B$5:$G$100,2,FALSE)&amp;" ("&amp;VLOOKUP(F17,'05_Master KPI'!$B$5:$G$100,3,FALSE)&amp;")","")</f>
        <v>Response Time WA (menit)</v>
      </c>
      <c r="H17" s="9">
        <f>IFERROR(IF(B17&lt;&gt;'06_Target KPI'!$B$3,0,IF(VLOOKUP(F17,'05_Master KPI'!$B$5:$G$100,6,FALSE)="Kumulatif",INDEX('06_Target KPI'!$E$5:$P$100,MATCH(F17,'06_Target KPI'!$B$5:$B$100,0),MATCH(A17,'06_Target KPI'!$E$4:$P$4,0))*DAY(C17)/DAY(EOMONTH(C17,0)),INDEX('06_Target KPI'!$E$5:$P$100,MATCH(F17,'06_Target KPI'!$B$5:$B$100,0),MATCH(A17,'06_Target KPI'!$E$4:$P$4,0)))),0)</f>
        <v>5</v>
      </c>
      <c r="I17" s="20">
        <v>6</v>
      </c>
      <c r="J17" s="22">
        <f>IFERROR(MIN(IF(VLOOKUP(F17,'05_Master KPI'!$B$5:$G$100,5,FALSE)="Lower",H17/I17,I17/H17),1),0)</f>
        <v>0.83333333333333337</v>
      </c>
      <c r="K17" s="9">
        <f>IFERROR(VLOOKUP(F17,'05_Master KPI'!$B$5:$G$100,4,FALSE),0)</f>
        <v>20</v>
      </c>
      <c r="L17" s="23">
        <f t="shared" si="0"/>
        <v>16.666666666666668</v>
      </c>
      <c r="M17" s="9" t="str">
        <f>IF(D17="","",IF(J17&gt;='13_Setting'!$H$7,"Tercapai",IF(J17&gt;='13_Setting'!$H$6,"On Track","Tertinggal")))</f>
        <v>Tertinggal</v>
      </c>
      <c r="N17" s="20" t="s">
        <v>211</v>
      </c>
      <c r="O17" s="1"/>
      <c r="P17" s="1"/>
      <c r="Q17" s="1"/>
      <c r="R17" s="1"/>
      <c r="S17" s="1"/>
      <c r="T17" s="1"/>
      <c r="U17" s="1"/>
      <c r="V17" s="1"/>
      <c r="W17" s="1"/>
      <c r="X17" s="1"/>
      <c r="Y17" s="1"/>
      <c r="Z17" s="1"/>
    </row>
    <row r="18" spans="1:26">
      <c r="A18" s="20" t="s">
        <v>194</v>
      </c>
      <c r="B18" s="20">
        <v>2026</v>
      </c>
      <c r="C18" s="21">
        <v>46112</v>
      </c>
      <c r="D18" s="20" t="s">
        <v>98</v>
      </c>
      <c r="E18" s="9" t="str">
        <f>IFERROR(VLOOKUP(D18,'04_Master Karyawan'!$A$5:$F$50,2,FALSE),"")</f>
        <v>Admin AP (Ganti Nama)</v>
      </c>
      <c r="F18" s="20" t="s">
        <v>133</v>
      </c>
      <c r="G18" s="9" t="str">
        <f>IFERROR(VLOOKUP(F18,'05_Master KPI'!$B$5:$G$100,2,FALSE)&amp;" ("&amp;VLOOKUP(F18,'05_Master KPI'!$B$5:$G$100,3,FALSE)&amp;")","")</f>
        <v>Input Worksheet Benar (%)</v>
      </c>
      <c r="H18" s="9">
        <f>IFERROR(IF(B18&lt;&gt;'06_Target KPI'!$B$3,0,IF(VLOOKUP(F18,'05_Master KPI'!$B$5:$G$100,6,FALSE)="Kumulatif",INDEX('06_Target KPI'!$E$5:$P$100,MATCH(F18,'06_Target KPI'!$B$5:$B$100,0),MATCH(A18,'06_Target KPI'!$E$4:$P$4,0))*DAY(C18)/DAY(EOMONTH(C18,0)),INDEX('06_Target KPI'!$E$5:$P$100,MATCH(F18,'06_Target KPI'!$B$5:$B$100,0),MATCH(A18,'06_Target KPI'!$E$4:$P$4,0)))),0)</f>
        <v>99</v>
      </c>
      <c r="I18" s="20">
        <v>81.900000000000006</v>
      </c>
      <c r="J18" s="22">
        <f>IFERROR(MIN(IF(VLOOKUP(F18,'05_Master KPI'!$B$5:$G$100,5,FALSE)="Lower",H18/I18,I18/H18),1),0)</f>
        <v>0.82727272727272738</v>
      </c>
      <c r="K18" s="9">
        <f>IFERROR(VLOOKUP(F18,'05_Master KPI'!$B$5:$G$100,4,FALSE),0)</f>
        <v>20</v>
      </c>
      <c r="L18" s="23">
        <f t="shared" si="0"/>
        <v>16.545454545454547</v>
      </c>
      <c r="M18" s="9" t="str">
        <f>IF(D18="","",IF(J18&gt;='13_Setting'!$H$7,"Tercapai",IF(J18&gt;='13_Setting'!$H$6,"On Track","Tertinggal")))</f>
        <v>Tertinggal</v>
      </c>
      <c r="N18" s="20" t="s">
        <v>211</v>
      </c>
      <c r="O18" s="1"/>
      <c r="P18" s="1"/>
      <c r="Q18" s="1"/>
      <c r="R18" s="1"/>
      <c r="S18" s="1"/>
      <c r="T18" s="1"/>
      <c r="U18" s="1"/>
      <c r="V18" s="1"/>
      <c r="W18" s="1"/>
      <c r="X18" s="1"/>
      <c r="Y18" s="1"/>
      <c r="Z18" s="1"/>
    </row>
    <row r="19" spans="1:26">
      <c r="A19" s="20" t="s">
        <v>194</v>
      </c>
      <c r="B19" s="20">
        <v>2026</v>
      </c>
      <c r="C19" s="21">
        <v>46112</v>
      </c>
      <c r="D19" s="20" t="s">
        <v>98</v>
      </c>
      <c r="E19" s="9" t="str">
        <f>IFERROR(VLOOKUP(D19,'04_Master Karyawan'!$A$5:$F$50,2,FALSE),"")</f>
        <v>Admin AP (Ganti Nama)</v>
      </c>
      <c r="F19" s="20" t="s">
        <v>135</v>
      </c>
      <c r="G19" s="9" t="str">
        <f>IFERROR(VLOOKUP(F19,'05_Master KPI'!$B$5:$G$100,2,FALSE)&amp;" ("&amp;VLOOKUP(F19,'05_Master KPI'!$B$5:$G$100,3,FALSE)&amp;")","")</f>
        <v>Follow-up Customer (%)</v>
      </c>
      <c r="H19" s="9">
        <f>IFERROR(IF(B19&lt;&gt;'06_Target KPI'!$B$3,0,IF(VLOOKUP(F19,'05_Master KPI'!$B$5:$G$100,6,FALSE)="Kumulatif",INDEX('06_Target KPI'!$E$5:$P$100,MATCH(F19,'06_Target KPI'!$B$5:$B$100,0),MATCH(A19,'06_Target KPI'!$E$4:$P$4,0))*DAY(C19)/DAY(EOMONTH(C19,0)),INDEX('06_Target KPI'!$E$5:$P$100,MATCH(F19,'06_Target KPI'!$B$5:$B$100,0),MATCH(A19,'06_Target KPI'!$E$4:$P$4,0)))),0)</f>
        <v>95</v>
      </c>
      <c r="I19" s="20">
        <v>78.599999999999994</v>
      </c>
      <c r="J19" s="22">
        <f>IFERROR(MIN(IF(VLOOKUP(F19,'05_Master KPI'!$B$5:$G$100,5,FALSE)="Lower",H19/I19,I19/H19),1),0)</f>
        <v>0.82736842105263153</v>
      </c>
      <c r="K19" s="9">
        <f>IFERROR(VLOOKUP(F19,'05_Master KPI'!$B$5:$G$100,4,FALSE),0)</f>
        <v>15</v>
      </c>
      <c r="L19" s="23">
        <f t="shared" si="0"/>
        <v>12.410526315789474</v>
      </c>
      <c r="M19" s="9" t="str">
        <f>IF(D19="","",IF(J19&gt;='13_Setting'!$H$7,"Tercapai",IF(J19&gt;='13_Setting'!$H$6,"On Track","Tertinggal")))</f>
        <v>Tertinggal</v>
      </c>
      <c r="N19" s="20" t="s">
        <v>211</v>
      </c>
      <c r="O19" s="1"/>
      <c r="P19" s="1"/>
      <c r="Q19" s="1"/>
      <c r="R19" s="1"/>
      <c r="S19" s="1"/>
      <c r="T19" s="1"/>
      <c r="U19" s="1"/>
      <c r="V19" s="1"/>
      <c r="W19" s="1"/>
      <c r="X19" s="1"/>
      <c r="Y19" s="1"/>
      <c r="Z19" s="1"/>
    </row>
    <row r="20" spans="1:26">
      <c r="A20" s="20" t="s">
        <v>194</v>
      </c>
      <c r="B20" s="20">
        <v>2026</v>
      </c>
      <c r="C20" s="21">
        <v>46112</v>
      </c>
      <c r="D20" s="20" t="s">
        <v>98</v>
      </c>
      <c r="E20" s="9" t="str">
        <f>IFERROR(VLOOKUP(D20,'04_Master Karyawan'!$A$5:$F$50,2,FALSE),"")</f>
        <v>Admin AP (Ganti Nama)</v>
      </c>
      <c r="F20" s="20" t="s">
        <v>137</v>
      </c>
      <c r="G20" s="9" t="str">
        <f>IFERROR(VLOOKUP(F20,'05_Master KPI'!$B$5:$G$100,2,FALSE)&amp;" ("&amp;VLOOKUP(F20,'05_Master KPI'!$B$5:$G$100,3,FALSE)&amp;")","")</f>
        <v>Closing Rate (%)</v>
      </c>
      <c r="H20" s="9">
        <f>IFERROR(IF(B20&lt;&gt;'06_Target KPI'!$B$3,0,IF(VLOOKUP(F20,'05_Master KPI'!$B$5:$G$100,6,FALSE)="Kumulatif",INDEX('06_Target KPI'!$E$5:$P$100,MATCH(F20,'06_Target KPI'!$B$5:$B$100,0),MATCH(A20,'06_Target KPI'!$E$4:$P$4,0))*DAY(C20)/DAY(EOMONTH(C20,0)),INDEX('06_Target KPI'!$E$5:$P$100,MATCH(F20,'06_Target KPI'!$B$5:$B$100,0),MATCH(A20,'06_Target KPI'!$E$4:$P$4,0)))),0)</f>
        <v>25</v>
      </c>
      <c r="I20" s="20">
        <v>20.7</v>
      </c>
      <c r="J20" s="22">
        <f>IFERROR(MIN(IF(VLOOKUP(F20,'05_Master KPI'!$B$5:$G$100,5,FALSE)="Lower",H20/I20,I20/H20),1),0)</f>
        <v>0.82799999999999996</v>
      </c>
      <c r="K20" s="9">
        <f>IFERROR(VLOOKUP(F20,'05_Master KPI'!$B$5:$G$100,4,FALSE),0)</f>
        <v>20</v>
      </c>
      <c r="L20" s="23">
        <f t="shared" si="0"/>
        <v>16.559999999999999</v>
      </c>
      <c r="M20" s="9" t="str">
        <f>IF(D20="","",IF(J20&gt;='13_Setting'!$H$7,"Tercapai",IF(J20&gt;='13_Setting'!$H$6,"On Track","Tertinggal")))</f>
        <v>Tertinggal</v>
      </c>
      <c r="N20" s="20" t="s">
        <v>211</v>
      </c>
      <c r="O20" s="1"/>
      <c r="P20" s="1"/>
      <c r="Q20" s="1"/>
      <c r="R20" s="1"/>
      <c r="S20" s="1"/>
      <c r="T20" s="1"/>
      <c r="U20" s="1"/>
      <c r="V20" s="1"/>
      <c r="W20" s="1"/>
      <c r="X20" s="1"/>
      <c r="Y20" s="1"/>
      <c r="Z20" s="1"/>
    </row>
    <row r="21" spans="1:26">
      <c r="A21" s="20" t="s">
        <v>194</v>
      </c>
      <c r="B21" s="20">
        <v>2026</v>
      </c>
      <c r="C21" s="21">
        <v>46112</v>
      </c>
      <c r="D21" s="20" t="s">
        <v>98</v>
      </c>
      <c r="E21" s="9" t="str">
        <f>IFERROR(VLOOKUP(D21,'04_Master Karyawan'!$A$5:$F$50,2,FALSE),"")</f>
        <v>Admin AP (Ganti Nama)</v>
      </c>
      <c r="F21" s="20" t="s">
        <v>139</v>
      </c>
      <c r="G21" s="9" t="str">
        <f>IFERROR(VLOOKUP(F21,'05_Master KPI'!$B$5:$G$100,2,FALSE)&amp;" ("&amp;VLOOKUP(F21,'05_Master KPI'!$B$5:$G$100,3,FALSE)&amp;")","")</f>
        <v>Komplain Selesai (%)</v>
      </c>
      <c r="H21" s="9">
        <f>IFERROR(IF(B21&lt;&gt;'06_Target KPI'!$B$3,0,IF(VLOOKUP(F21,'05_Master KPI'!$B$5:$G$100,6,FALSE)="Kumulatif",INDEX('06_Target KPI'!$E$5:$P$100,MATCH(F21,'06_Target KPI'!$B$5:$B$100,0),MATCH(A21,'06_Target KPI'!$E$4:$P$4,0))*DAY(C21)/DAY(EOMONTH(C21,0)),INDEX('06_Target KPI'!$E$5:$P$100,MATCH(F21,'06_Target KPI'!$B$5:$B$100,0),MATCH(A21,'06_Target KPI'!$E$4:$P$4,0)))),0)</f>
        <v>95</v>
      </c>
      <c r="I21" s="20">
        <v>78.599999999999994</v>
      </c>
      <c r="J21" s="22">
        <f>IFERROR(MIN(IF(VLOOKUP(F21,'05_Master KPI'!$B$5:$G$100,5,FALSE)="Lower",H21/I21,I21/H21),1),0)</f>
        <v>0.82736842105263153</v>
      </c>
      <c r="K21" s="9">
        <f>IFERROR(VLOOKUP(F21,'05_Master KPI'!$B$5:$G$100,4,FALSE),0)</f>
        <v>15</v>
      </c>
      <c r="L21" s="23">
        <f t="shared" si="0"/>
        <v>12.410526315789474</v>
      </c>
      <c r="M21" s="9" t="str">
        <f>IF(D21="","",IF(J21&gt;='13_Setting'!$H$7,"Tercapai",IF(J21&gt;='13_Setting'!$H$6,"On Track","Tertinggal")))</f>
        <v>Tertinggal</v>
      </c>
      <c r="N21" s="20" t="s">
        <v>211</v>
      </c>
      <c r="O21" s="1"/>
      <c r="P21" s="1"/>
      <c r="Q21" s="1"/>
      <c r="R21" s="1"/>
      <c r="S21" s="1"/>
      <c r="T21" s="1"/>
      <c r="U21" s="1"/>
      <c r="V21" s="1"/>
      <c r="W21" s="1"/>
      <c r="X21" s="1"/>
      <c r="Y21" s="1"/>
      <c r="Z21" s="1"/>
    </row>
    <row r="22" spans="1:26">
      <c r="A22" s="20" t="s">
        <v>194</v>
      </c>
      <c r="B22" s="20">
        <v>2026</v>
      </c>
      <c r="C22" s="21">
        <v>46112</v>
      </c>
      <c r="D22" s="20" t="s">
        <v>98</v>
      </c>
      <c r="E22" s="9" t="str">
        <f>IFERROR(VLOOKUP(D22,'04_Master Karyawan'!$A$5:$F$50,2,FALSE),"")</f>
        <v>Admin AP (Ganti Nama)</v>
      </c>
      <c r="F22" s="20" t="s">
        <v>141</v>
      </c>
      <c r="G22" s="9" t="str">
        <f>IFERROR(VLOOKUP(F22,'05_Master KPI'!$B$5:$G$100,2,FALSE)&amp;" ("&amp;VLOOKUP(F22,'05_Master KPI'!$B$5:$G$100,3,FALSE)&amp;")","")</f>
        <v>Administrasi Lengkap (%)</v>
      </c>
      <c r="H22" s="9">
        <f>IFERROR(IF(B22&lt;&gt;'06_Target KPI'!$B$3,0,IF(VLOOKUP(F22,'05_Master KPI'!$B$5:$G$100,6,FALSE)="Kumulatif",INDEX('06_Target KPI'!$E$5:$P$100,MATCH(F22,'06_Target KPI'!$B$5:$B$100,0),MATCH(A22,'06_Target KPI'!$E$4:$P$4,0))*DAY(C22)/DAY(EOMONTH(C22,0)),INDEX('06_Target KPI'!$E$5:$P$100,MATCH(F22,'06_Target KPI'!$B$5:$B$100,0),MATCH(A22,'06_Target KPI'!$E$4:$P$4,0)))),0)</f>
        <v>100</v>
      </c>
      <c r="I22" s="20">
        <v>82.8</v>
      </c>
      <c r="J22" s="22">
        <f>IFERROR(MIN(IF(VLOOKUP(F22,'05_Master KPI'!$B$5:$G$100,5,FALSE)="Lower",H22/I22,I22/H22),1),0)</f>
        <v>0.82799999999999996</v>
      </c>
      <c r="K22" s="9">
        <f>IFERROR(VLOOKUP(F22,'05_Master KPI'!$B$5:$G$100,4,FALSE),0)</f>
        <v>10</v>
      </c>
      <c r="L22" s="23">
        <f t="shared" si="0"/>
        <v>8.2799999999999994</v>
      </c>
      <c r="M22" s="9" t="str">
        <f>IF(D22="","",IF(J22&gt;='13_Setting'!$H$7,"Tercapai",IF(J22&gt;='13_Setting'!$H$6,"On Track","Tertinggal")))</f>
        <v>Tertinggal</v>
      </c>
      <c r="N22" s="20" t="s">
        <v>211</v>
      </c>
      <c r="O22" s="1"/>
      <c r="P22" s="1"/>
      <c r="Q22" s="1"/>
      <c r="R22" s="1"/>
      <c r="S22" s="1"/>
      <c r="T22" s="1"/>
      <c r="U22" s="1"/>
      <c r="V22" s="1"/>
      <c r="W22" s="1"/>
      <c r="X22" s="1"/>
      <c r="Y22" s="1"/>
      <c r="Z22" s="1"/>
    </row>
    <row r="23" spans="1:26">
      <c r="A23" s="20" t="s">
        <v>195</v>
      </c>
      <c r="B23" s="20">
        <v>2026</v>
      </c>
      <c r="C23" s="21">
        <v>46142</v>
      </c>
      <c r="D23" s="20" t="s">
        <v>98</v>
      </c>
      <c r="E23" s="9" t="str">
        <f>IFERROR(VLOOKUP(D23,'04_Master Karyawan'!$A$5:$F$50,2,FALSE),"")</f>
        <v>Admin AP (Ganti Nama)</v>
      </c>
      <c r="F23" s="20" t="s">
        <v>129</v>
      </c>
      <c r="G23" s="9" t="str">
        <f>IFERROR(VLOOKUP(F23,'05_Master KPI'!$B$5:$G$100,2,FALSE)&amp;" ("&amp;VLOOKUP(F23,'05_Master KPI'!$B$5:$G$100,3,FALSE)&amp;")","")</f>
        <v>Response Time WA (menit)</v>
      </c>
      <c r="H23" s="9">
        <f>IFERROR(IF(B23&lt;&gt;'06_Target KPI'!$B$3,0,IF(VLOOKUP(F23,'05_Master KPI'!$B$5:$G$100,6,FALSE)="Kumulatif",INDEX('06_Target KPI'!$E$5:$P$100,MATCH(F23,'06_Target KPI'!$B$5:$B$100,0),MATCH(A23,'06_Target KPI'!$E$4:$P$4,0))*DAY(C23)/DAY(EOMONTH(C23,0)),INDEX('06_Target KPI'!$E$5:$P$100,MATCH(F23,'06_Target KPI'!$B$5:$B$100,0),MATCH(A23,'06_Target KPI'!$E$4:$P$4,0)))),0)</f>
        <v>5</v>
      </c>
      <c r="I23" s="20">
        <v>5.8</v>
      </c>
      <c r="J23" s="22">
        <f>IFERROR(MIN(IF(VLOOKUP(F23,'05_Master KPI'!$B$5:$G$100,5,FALSE)="Lower",H23/I23,I23/H23),1),0)</f>
        <v>0.86206896551724144</v>
      </c>
      <c r="K23" s="9">
        <f>IFERROR(VLOOKUP(F23,'05_Master KPI'!$B$5:$G$100,4,FALSE),0)</f>
        <v>20</v>
      </c>
      <c r="L23" s="23">
        <f t="shared" si="0"/>
        <v>17.241379310344829</v>
      </c>
      <c r="M23" s="9" t="str">
        <f>IF(D23="","",IF(J23&gt;='13_Setting'!$H$7,"Tercapai",IF(J23&gt;='13_Setting'!$H$6,"On Track","Tertinggal")))</f>
        <v>On Track</v>
      </c>
      <c r="N23" s="20" t="s">
        <v>211</v>
      </c>
      <c r="O23" s="1"/>
      <c r="P23" s="1"/>
      <c r="Q23" s="1"/>
      <c r="R23" s="1"/>
      <c r="S23" s="1"/>
      <c r="T23" s="1"/>
      <c r="U23" s="1"/>
      <c r="V23" s="1"/>
      <c r="W23" s="1"/>
      <c r="X23" s="1"/>
      <c r="Y23" s="1"/>
      <c r="Z23" s="1"/>
    </row>
    <row r="24" spans="1:26">
      <c r="A24" s="20" t="s">
        <v>195</v>
      </c>
      <c r="B24" s="20">
        <v>2026</v>
      </c>
      <c r="C24" s="21">
        <v>46142</v>
      </c>
      <c r="D24" s="20" t="s">
        <v>98</v>
      </c>
      <c r="E24" s="9" t="str">
        <f>IFERROR(VLOOKUP(D24,'04_Master Karyawan'!$A$5:$F$50,2,FALSE),"")</f>
        <v>Admin AP (Ganti Nama)</v>
      </c>
      <c r="F24" s="20" t="s">
        <v>133</v>
      </c>
      <c r="G24" s="9" t="str">
        <f>IFERROR(VLOOKUP(F24,'05_Master KPI'!$B$5:$G$100,2,FALSE)&amp;" ("&amp;VLOOKUP(F24,'05_Master KPI'!$B$5:$G$100,3,FALSE)&amp;")","")</f>
        <v>Input Worksheet Benar (%)</v>
      </c>
      <c r="H24" s="9">
        <f>IFERROR(IF(B24&lt;&gt;'06_Target KPI'!$B$3,0,IF(VLOOKUP(F24,'05_Master KPI'!$B$5:$G$100,6,FALSE)="Kumulatif",INDEX('06_Target KPI'!$E$5:$P$100,MATCH(F24,'06_Target KPI'!$B$5:$B$100,0),MATCH(A24,'06_Target KPI'!$E$4:$P$4,0))*DAY(C24)/DAY(EOMONTH(C24,0)),INDEX('06_Target KPI'!$E$5:$P$100,MATCH(F24,'06_Target KPI'!$B$5:$B$100,0),MATCH(A24,'06_Target KPI'!$E$4:$P$4,0)))),0)</f>
        <v>99</v>
      </c>
      <c r="I24" s="20">
        <v>84.9</v>
      </c>
      <c r="J24" s="22">
        <f>IFERROR(MIN(IF(VLOOKUP(F24,'05_Master KPI'!$B$5:$G$100,5,FALSE)="Lower",H24/I24,I24/H24),1),0)</f>
        <v>0.85757575757575766</v>
      </c>
      <c r="K24" s="9">
        <f>IFERROR(VLOOKUP(F24,'05_Master KPI'!$B$5:$G$100,4,FALSE),0)</f>
        <v>20</v>
      </c>
      <c r="L24" s="23">
        <f t="shared" si="0"/>
        <v>17.151515151515152</v>
      </c>
      <c r="M24" s="9" t="str">
        <f>IF(D24="","",IF(J24&gt;='13_Setting'!$H$7,"Tercapai",IF(J24&gt;='13_Setting'!$H$6,"On Track","Tertinggal")))</f>
        <v>On Track</v>
      </c>
      <c r="N24" s="20" t="s">
        <v>211</v>
      </c>
      <c r="O24" s="1"/>
      <c r="P24" s="1"/>
      <c r="Q24" s="1"/>
      <c r="R24" s="1"/>
      <c r="S24" s="1"/>
      <c r="T24" s="1"/>
      <c r="U24" s="1"/>
      <c r="V24" s="1"/>
      <c r="W24" s="1"/>
      <c r="X24" s="1"/>
      <c r="Y24" s="1"/>
      <c r="Z24" s="1"/>
    </row>
    <row r="25" spans="1:26">
      <c r="A25" s="20" t="s">
        <v>195</v>
      </c>
      <c r="B25" s="20">
        <v>2026</v>
      </c>
      <c r="C25" s="21">
        <v>46142</v>
      </c>
      <c r="D25" s="20" t="s">
        <v>98</v>
      </c>
      <c r="E25" s="9" t="str">
        <f>IFERROR(VLOOKUP(D25,'04_Master Karyawan'!$A$5:$F$50,2,FALSE),"")</f>
        <v>Admin AP (Ganti Nama)</v>
      </c>
      <c r="F25" s="20" t="s">
        <v>135</v>
      </c>
      <c r="G25" s="9" t="str">
        <f>IFERROR(VLOOKUP(F25,'05_Master KPI'!$B$5:$G$100,2,FALSE)&amp;" ("&amp;VLOOKUP(F25,'05_Master KPI'!$B$5:$G$100,3,FALSE)&amp;")","")</f>
        <v>Follow-up Customer (%)</v>
      </c>
      <c r="H25" s="9">
        <f>IFERROR(IF(B25&lt;&gt;'06_Target KPI'!$B$3,0,IF(VLOOKUP(F25,'05_Master KPI'!$B$5:$G$100,6,FALSE)="Kumulatif",INDEX('06_Target KPI'!$E$5:$P$100,MATCH(F25,'06_Target KPI'!$B$5:$B$100,0),MATCH(A25,'06_Target KPI'!$E$4:$P$4,0))*DAY(C25)/DAY(EOMONTH(C25,0)),INDEX('06_Target KPI'!$E$5:$P$100,MATCH(F25,'06_Target KPI'!$B$5:$B$100,0),MATCH(A25,'06_Target KPI'!$E$4:$P$4,0)))),0)</f>
        <v>95</v>
      </c>
      <c r="I25" s="20">
        <v>81.5</v>
      </c>
      <c r="J25" s="22">
        <f>IFERROR(MIN(IF(VLOOKUP(F25,'05_Master KPI'!$B$5:$G$100,5,FALSE)="Lower",H25/I25,I25/H25),1),0)</f>
        <v>0.85789473684210527</v>
      </c>
      <c r="K25" s="9">
        <f>IFERROR(VLOOKUP(F25,'05_Master KPI'!$B$5:$G$100,4,FALSE),0)</f>
        <v>15</v>
      </c>
      <c r="L25" s="23">
        <f t="shared" si="0"/>
        <v>12.868421052631579</v>
      </c>
      <c r="M25" s="9" t="str">
        <f>IF(D25="","",IF(J25&gt;='13_Setting'!$H$7,"Tercapai",IF(J25&gt;='13_Setting'!$H$6,"On Track","Tertinggal")))</f>
        <v>On Track</v>
      </c>
      <c r="N25" s="20" t="s">
        <v>211</v>
      </c>
      <c r="O25" s="1"/>
      <c r="P25" s="1"/>
      <c r="Q25" s="1"/>
      <c r="R25" s="1"/>
      <c r="S25" s="1"/>
      <c r="T25" s="1"/>
      <c r="U25" s="1"/>
      <c r="V25" s="1"/>
      <c r="W25" s="1"/>
      <c r="X25" s="1"/>
      <c r="Y25" s="1"/>
      <c r="Z25" s="1"/>
    </row>
    <row r="26" spans="1:26">
      <c r="A26" s="20" t="s">
        <v>195</v>
      </c>
      <c r="B26" s="20">
        <v>2026</v>
      </c>
      <c r="C26" s="21">
        <v>46142</v>
      </c>
      <c r="D26" s="20" t="s">
        <v>98</v>
      </c>
      <c r="E26" s="9" t="str">
        <f>IFERROR(VLOOKUP(D26,'04_Master Karyawan'!$A$5:$F$50,2,FALSE),"")</f>
        <v>Admin AP (Ganti Nama)</v>
      </c>
      <c r="F26" s="20" t="s">
        <v>137</v>
      </c>
      <c r="G26" s="9" t="str">
        <f>IFERROR(VLOOKUP(F26,'05_Master KPI'!$B$5:$G$100,2,FALSE)&amp;" ("&amp;VLOOKUP(F26,'05_Master KPI'!$B$5:$G$100,3,FALSE)&amp;")","")</f>
        <v>Closing Rate (%)</v>
      </c>
      <c r="H26" s="9">
        <f>IFERROR(IF(B26&lt;&gt;'06_Target KPI'!$B$3,0,IF(VLOOKUP(F26,'05_Master KPI'!$B$5:$G$100,6,FALSE)="Kumulatif",INDEX('06_Target KPI'!$E$5:$P$100,MATCH(F26,'06_Target KPI'!$B$5:$B$100,0),MATCH(A26,'06_Target KPI'!$E$4:$P$4,0))*DAY(C26)/DAY(EOMONTH(C26,0)),INDEX('06_Target KPI'!$E$5:$P$100,MATCH(F26,'06_Target KPI'!$B$5:$B$100,0),MATCH(A26,'06_Target KPI'!$E$4:$P$4,0)))),0)</f>
        <v>25</v>
      </c>
      <c r="I26" s="20">
        <v>21.4</v>
      </c>
      <c r="J26" s="22">
        <f>IFERROR(MIN(IF(VLOOKUP(F26,'05_Master KPI'!$B$5:$G$100,5,FALSE)="Lower",H26/I26,I26/H26),1),0)</f>
        <v>0.85599999999999998</v>
      </c>
      <c r="K26" s="9">
        <f>IFERROR(VLOOKUP(F26,'05_Master KPI'!$B$5:$G$100,4,FALSE),0)</f>
        <v>20</v>
      </c>
      <c r="L26" s="23">
        <f t="shared" si="0"/>
        <v>17.12</v>
      </c>
      <c r="M26" s="9" t="str">
        <f>IF(D26="","",IF(J26&gt;='13_Setting'!$H$7,"Tercapai",IF(J26&gt;='13_Setting'!$H$6,"On Track","Tertinggal")))</f>
        <v>On Track</v>
      </c>
      <c r="N26" s="20" t="s">
        <v>211</v>
      </c>
      <c r="O26" s="1"/>
      <c r="P26" s="1"/>
      <c r="Q26" s="1"/>
      <c r="R26" s="1"/>
      <c r="S26" s="1"/>
      <c r="T26" s="1"/>
      <c r="U26" s="1"/>
      <c r="V26" s="1"/>
      <c r="W26" s="1"/>
      <c r="X26" s="1"/>
      <c r="Y26" s="1"/>
      <c r="Z26" s="1"/>
    </row>
    <row r="27" spans="1:26">
      <c r="A27" s="20" t="s">
        <v>195</v>
      </c>
      <c r="B27" s="20">
        <v>2026</v>
      </c>
      <c r="C27" s="21">
        <v>46142</v>
      </c>
      <c r="D27" s="20" t="s">
        <v>98</v>
      </c>
      <c r="E27" s="9" t="str">
        <f>IFERROR(VLOOKUP(D27,'04_Master Karyawan'!$A$5:$F$50,2,FALSE),"")</f>
        <v>Admin AP (Ganti Nama)</v>
      </c>
      <c r="F27" s="20" t="s">
        <v>139</v>
      </c>
      <c r="G27" s="9" t="str">
        <f>IFERROR(VLOOKUP(F27,'05_Master KPI'!$B$5:$G$100,2,FALSE)&amp;" ("&amp;VLOOKUP(F27,'05_Master KPI'!$B$5:$G$100,3,FALSE)&amp;")","")</f>
        <v>Komplain Selesai (%)</v>
      </c>
      <c r="H27" s="9">
        <f>IFERROR(IF(B27&lt;&gt;'06_Target KPI'!$B$3,0,IF(VLOOKUP(F27,'05_Master KPI'!$B$5:$G$100,6,FALSE)="Kumulatif",INDEX('06_Target KPI'!$E$5:$P$100,MATCH(F27,'06_Target KPI'!$B$5:$B$100,0),MATCH(A27,'06_Target KPI'!$E$4:$P$4,0))*DAY(C27)/DAY(EOMONTH(C27,0)),INDEX('06_Target KPI'!$E$5:$P$100,MATCH(F27,'06_Target KPI'!$B$5:$B$100,0),MATCH(A27,'06_Target KPI'!$E$4:$P$4,0)))),0)</f>
        <v>95</v>
      </c>
      <c r="I27" s="20">
        <v>81.5</v>
      </c>
      <c r="J27" s="22">
        <f>IFERROR(MIN(IF(VLOOKUP(F27,'05_Master KPI'!$B$5:$G$100,5,FALSE)="Lower",H27/I27,I27/H27),1),0)</f>
        <v>0.85789473684210527</v>
      </c>
      <c r="K27" s="9">
        <f>IFERROR(VLOOKUP(F27,'05_Master KPI'!$B$5:$G$100,4,FALSE),0)</f>
        <v>15</v>
      </c>
      <c r="L27" s="23">
        <f t="shared" si="0"/>
        <v>12.868421052631579</v>
      </c>
      <c r="M27" s="9" t="str">
        <f>IF(D27="","",IF(J27&gt;='13_Setting'!$H$7,"Tercapai",IF(J27&gt;='13_Setting'!$H$6,"On Track","Tertinggal")))</f>
        <v>On Track</v>
      </c>
      <c r="N27" s="20" t="s">
        <v>211</v>
      </c>
      <c r="O27" s="1"/>
      <c r="P27" s="1"/>
      <c r="Q27" s="1"/>
      <c r="R27" s="1"/>
      <c r="S27" s="1"/>
      <c r="T27" s="1"/>
      <c r="U27" s="1"/>
      <c r="V27" s="1"/>
      <c r="W27" s="1"/>
      <c r="X27" s="1"/>
      <c r="Y27" s="1"/>
      <c r="Z27" s="1"/>
    </row>
    <row r="28" spans="1:26">
      <c r="A28" s="20" t="s">
        <v>195</v>
      </c>
      <c r="B28" s="20">
        <v>2026</v>
      </c>
      <c r="C28" s="21">
        <v>46142</v>
      </c>
      <c r="D28" s="20" t="s">
        <v>98</v>
      </c>
      <c r="E28" s="9" t="str">
        <f>IFERROR(VLOOKUP(D28,'04_Master Karyawan'!$A$5:$F$50,2,FALSE),"")</f>
        <v>Admin AP (Ganti Nama)</v>
      </c>
      <c r="F28" s="20" t="s">
        <v>141</v>
      </c>
      <c r="G28" s="9" t="str">
        <f>IFERROR(VLOOKUP(F28,'05_Master KPI'!$B$5:$G$100,2,FALSE)&amp;" ("&amp;VLOOKUP(F28,'05_Master KPI'!$B$5:$G$100,3,FALSE)&amp;")","")</f>
        <v>Administrasi Lengkap (%)</v>
      </c>
      <c r="H28" s="9">
        <f>IFERROR(IF(B28&lt;&gt;'06_Target KPI'!$B$3,0,IF(VLOOKUP(F28,'05_Master KPI'!$B$5:$G$100,6,FALSE)="Kumulatif",INDEX('06_Target KPI'!$E$5:$P$100,MATCH(F28,'06_Target KPI'!$B$5:$B$100,0),MATCH(A28,'06_Target KPI'!$E$4:$P$4,0))*DAY(C28)/DAY(EOMONTH(C28,0)),INDEX('06_Target KPI'!$E$5:$P$100,MATCH(F28,'06_Target KPI'!$B$5:$B$100,0),MATCH(A28,'06_Target KPI'!$E$4:$P$4,0)))),0)</f>
        <v>100</v>
      </c>
      <c r="I28" s="20">
        <v>85.8</v>
      </c>
      <c r="J28" s="22">
        <f>IFERROR(MIN(IF(VLOOKUP(F28,'05_Master KPI'!$B$5:$G$100,5,FALSE)="Lower",H28/I28,I28/H28),1),0)</f>
        <v>0.85799999999999998</v>
      </c>
      <c r="K28" s="9">
        <f>IFERROR(VLOOKUP(F28,'05_Master KPI'!$B$5:$G$100,4,FALSE),0)</f>
        <v>10</v>
      </c>
      <c r="L28" s="23">
        <f t="shared" si="0"/>
        <v>8.58</v>
      </c>
      <c r="M28" s="9" t="str">
        <f>IF(D28="","",IF(J28&gt;='13_Setting'!$H$7,"Tercapai",IF(J28&gt;='13_Setting'!$H$6,"On Track","Tertinggal")))</f>
        <v>On Track</v>
      </c>
      <c r="N28" s="20" t="s">
        <v>211</v>
      </c>
      <c r="O28" s="1"/>
      <c r="P28" s="1"/>
      <c r="Q28" s="1"/>
      <c r="R28" s="1"/>
      <c r="S28" s="1"/>
      <c r="T28" s="1"/>
      <c r="U28" s="1"/>
      <c r="V28" s="1"/>
      <c r="W28" s="1"/>
      <c r="X28" s="1"/>
      <c r="Y28" s="1"/>
      <c r="Z28" s="1"/>
    </row>
    <row r="29" spans="1:26">
      <c r="A29" s="20" t="s">
        <v>40</v>
      </c>
      <c r="B29" s="20">
        <v>2026</v>
      </c>
      <c r="C29" s="21">
        <v>46173</v>
      </c>
      <c r="D29" s="20" t="s">
        <v>98</v>
      </c>
      <c r="E29" s="9" t="str">
        <f>IFERROR(VLOOKUP(D29,'04_Master Karyawan'!$A$5:$F$50,2,FALSE),"")</f>
        <v>Admin AP (Ganti Nama)</v>
      </c>
      <c r="F29" s="20" t="s">
        <v>129</v>
      </c>
      <c r="G29" s="9" t="str">
        <f>IFERROR(VLOOKUP(F29,'05_Master KPI'!$B$5:$G$100,2,FALSE)&amp;" ("&amp;VLOOKUP(F29,'05_Master KPI'!$B$5:$G$100,3,FALSE)&amp;")","")</f>
        <v>Response Time WA (menit)</v>
      </c>
      <c r="H29" s="9">
        <f>IFERROR(IF(B29&lt;&gt;'06_Target KPI'!$B$3,0,IF(VLOOKUP(F29,'05_Master KPI'!$B$5:$G$100,6,FALSE)="Kumulatif",INDEX('06_Target KPI'!$E$5:$P$100,MATCH(F29,'06_Target KPI'!$B$5:$B$100,0),MATCH(A29,'06_Target KPI'!$E$4:$P$4,0))*DAY(C29)/DAY(EOMONTH(C29,0)),INDEX('06_Target KPI'!$E$5:$P$100,MATCH(F29,'06_Target KPI'!$B$5:$B$100,0),MATCH(A29,'06_Target KPI'!$E$4:$P$4,0)))),0)</f>
        <v>5</v>
      </c>
      <c r="I29" s="20">
        <v>5.9</v>
      </c>
      <c r="J29" s="22">
        <f>IFERROR(MIN(IF(VLOOKUP(F29,'05_Master KPI'!$B$5:$G$100,5,FALSE)="Lower",H29/I29,I29/H29),1),0)</f>
        <v>0.84745762711864403</v>
      </c>
      <c r="K29" s="9">
        <f>IFERROR(VLOOKUP(F29,'05_Master KPI'!$B$5:$G$100,4,FALSE),0)</f>
        <v>20</v>
      </c>
      <c r="L29" s="23">
        <f t="shared" si="0"/>
        <v>16.949152542372879</v>
      </c>
      <c r="M29" s="9" t="str">
        <f>IF(D29="","",IF(J29&gt;='13_Setting'!$H$7,"Tercapai",IF(J29&gt;='13_Setting'!$H$6,"On Track","Tertinggal")))</f>
        <v>Tertinggal</v>
      </c>
      <c r="N29" s="20" t="s">
        <v>211</v>
      </c>
      <c r="O29" s="1"/>
      <c r="P29" s="1"/>
      <c r="Q29" s="1"/>
      <c r="R29" s="1"/>
      <c r="S29" s="1"/>
      <c r="T29" s="1"/>
      <c r="U29" s="1"/>
      <c r="V29" s="1"/>
      <c r="W29" s="1"/>
      <c r="X29" s="1"/>
      <c r="Y29" s="1"/>
      <c r="Z29" s="1"/>
    </row>
    <row r="30" spans="1:26">
      <c r="A30" s="20" t="s">
        <v>40</v>
      </c>
      <c r="B30" s="20">
        <v>2026</v>
      </c>
      <c r="C30" s="21">
        <v>46173</v>
      </c>
      <c r="D30" s="20" t="s">
        <v>98</v>
      </c>
      <c r="E30" s="9" t="str">
        <f>IFERROR(VLOOKUP(D30,'04_Master Karyawan'!$A$5:$F$50,2,FALSE),"")</f>
        <v>Admin AP (Ganti Nama)</v>
      </c>
      <c r="F30" s="20" t="s">
        <v>133</v>
      </c>
      <c r="G30" s="9" t="str">
        <f>IFERROR(VLOOKUP(F30,'05_Master KPI'!$B$5:$G$100,2,FALSE)&amp;" ("&amp;VLOOKUP(F30,'05_Master KPI'!$B$5:$G$100,3,FALSE)&amp;")","")</f>
        <v>Input Worksheet Benar (%)</v>
      </c>
      <c r="H30" s="9">
        <f>IFERROR(IF(B30&lt;&gt;'06_Target KPI'!$B$3,0,IF(VLOOKUP(F30,'05_Master KPI'!$B$5:$G$100,6,FALSE)="Kumulatif",INDEX('06_Target KPI'!$E$5:$P$100,MATCH(F30,'06_Target KPI'!$B$5:$B$100,0),MATCH(A30,'06_Target KPI'!$E$4:$P$4,0))*DAY(C30)/DAY(EOMONTH(C30,0)),INDEX('06_Target KPI'!$E$5:$P$100,MATCH(F30,'06_Target KPI'!$B$5:$B$100,0),MATCH(A30,'06_Target KPI'!$E$4:$P$4,0)))),0)</f>
        <v>99</v>
      </c>
      <c r="I30" s="20">
        <v>83.9</v>
      </c>
      <c r="J30" s="22">
        <f>IFERROR(MIN(IF(VLOOKUP(F30,'05_Master KPI'!$B$5:$G$100,5,FALSE)="Lower",H30/I30,I30/H30),1),0)</f>
        <v>0.84747474747474749</v>
      </c>
      <c r="K30" s="9">
        <f>IFERROR(VLOOKUP(F30,'05_Master KPI'!$B$5:$G$100,4,FALSE),0)</f>
        <v>20</v>
      </c>
      <c r="L30" s="23">
        <f t="shared" si="0"/>
        <v>16.949494949494948</v>
      </c>
      <c r="M30" s="9" t="str">
        <f>IF(D30="","",IF(J30&gt;='13_Setting'!$H$7,"Tercapai",IF(J30&gt;='13_Setting'!$H$6,"On Track","Tertinggal")))</f>
        <v>Tertinggal</v>
      </c>
      <c r="N30" s="20" t="s">
        <v>211</v>
      </c>
      <c r="O30" s="1"/>
      <c r="P30" s="1"/>
      <c r="Q30" s="1"/>
      <c r="R30" s="1"/>
      <c r="S30" s="1"/>
      <c r="T30" s="1"/>
      <c r="U30" s="1"/>
      <c r="V30" s="1"/>
      <c r="W30" s="1"/>
      <c r="X30" s="1"/>
      <c r="Y30" s="1"/>
      <c r="Z30" s="1"/>
    </row>
    <row r="31" spans="1:26">
      <c r="A31" s="20" t="s">
        <v>40</v>
      </c>
      <c r="B31" s="20">
        <v>2026</v>
      </c>
      <c r="C31" s="21">
        <v>46173</v>
      </c>
      <c r="D31" s="20" t="s">
        <v>98</v>
      </c>
      <c r="E31" s="9" t="str">
        <f>IFERROR(VLOOKUP(D31,'04_Master Karyawan'!$A$5:$F$50,2,FALSE),"")</f>
        <v>Admin AP (Ganti Nama)</v>
      </c>
      <c r="F31" s="20" t="s">
        <v>135</v>
      </c>
      <c r="G31" s="9" t="str">
        <f>IFERROR(VLOOKUP(F31,'05_Master KPI'!$B$5:$G$100,2,FALSE)&amp;" ("&amp;VLOOKUP(F31,'05_Master KPI'!$B$5:$G$100,3,FALSE)&amp;")","")</f>
        <v>Follow-up Customer (%)</v>
      </c>
      <c r="H31" s="9">
        <f>IFERROR(IF(B31&lt;&gt;'06_Target KPI'!$B$3,0,IF(VLOOKUP(F31,'05_Master KPI'!$B$5:$G$100,6,FALSE)="Kumulatif",INDEX('06_Target KPI'!$E$5:$P$100,MATCH(F31,'06_Target KPI'!$B$5:$B$100,0),MATCH(A31,'06_Target KPI'!$E$4:$P$4,0))*DAY(C31)/DAY(EOMONTH(C31,0)),INDEX('06_Target KPI'!$E$5:$P$100,MATCH(F31,'06_Target KPI'!$B$5:$B$100,0),MATCH(A31,'06_Target KPI'!$E$4:$P$4,0)))),0)</f>
        <v>95</v>
      </c>
      <c r="I31" s="20">
        <v>80.5</v>
      </c>
      <c r="J31" s="22">
        <f>IFERROR(MIN(IF(VLOOKUP(F31,'05_Master KPI'!$B$5:$G$100,5,FALSE)="Lower",H31/I31,I31/H31),1),0)</f>
        <v>0.84736842105263155</v>
      </c>
      <c r="K31" s="9">
        <f>IFERROR(VLOOKUP(F31,'05_Master KPI'!$B$5:$G$100,4,FALSE),0)</f>
        <v>15</v>
      </c>
      <c r="L31" s="23">
        <f t="shared" si="0"/>
        <v>12.710526315789473</v>
      </c>
      <c r="M31" s="9" t="str">
        <f>IF(D31="","",IF(J31&gt;='13_Setting'!$H$7,"Tercapai",IF(J31&gt;='13_Setting'!$H$6,"On Track","Tertinggal")))</f>
        <v>Tertinggal</v>
      </c>
      <c r="N31" s="20" t="s">
        <v>211</v>
      </c>
      <c r="O31" s="1"/>
      <c r="P31" s="1"/>
      <c r="Q31" s="1"/>
      <c r="R31" s="1"/>
      <c r="S31" s="1"/>
      <c r="T31" s="1"/>
      <c r="U31" s="1"/>
      <c r="V31" s="1"/>
      <c r="W31" s="1"/>
      <c r="X31" s="1"/>
      <c r="Y31" s="1"/>
      <c r="Z31" s="1"/>
    </row>
    <row r="32" spans="1:26">
      <c r="A32" s="20" t="s">
        <v>40</v>
      </c>
      <c r="B32" s="20">
        <v>2026</v>
      </c>
      <c r="C32" s="21">
        <v>46173</v>
      </c>
      <c r="D32" s="20" t="s">
        <v>98</v>
      </c>
      <c r="E32" s="9" t="str">
        <f>IFERROR(VLOOKUP(D32,'04_Master Karyawan'!$A$5:$F$50,2,FALSE),"")</f>
        <v>Admin AP (Ganti Nama)</v>
      </c>
      <c r="F32" s="20" t="s">
        <v>137</v>
      </c>
      <c r="G32" s="9" t="str">
        <f>IFERROR(VLOOKUP(F32,'05_Master KPI'!$B$5:$G$100,2,FALSE)&amp;" ("&amp;VLOOKUP(F32,'05_Master KPI'!$B$5:$G$100,3,FALSE)&amp;")","")</f>
        <v>Closing Rate (%)</v>
      </c>
      <c r="H32" s="9">
        <f>IFERROR(IF(B32&lt;&gt;'06_Target KPI'!$B$3,0,IF(VLOOKUP(F32,'05_Master KPI'!$B$5:$G$100,6,FALSE)="Kumulatif",INDEX('06_Target KPI'!$E$5:$P$100,MATCH(F32,'06_Target KPI'!$B$5:$B$100,0),MATCH(A32,'06_Target KPI'!$E$4:$P$4,0))*DAY(C32)/DAY(EOMONTH(C32,0)),INDEX('06_Target KPI'!$E$5:$P$100,MATCH(F32,'06_Target KPI'!$B$5:$B$100,0),MATCH(A32,'06_Target KPI'!$E$4:$P$4,0)))),0)</f>
        <v>25</v>
      </c>
      <c r="I32" s="20">
        <v>21.2</v>
      </c>
      <c r="J32" s="22">
        <f>IFERROR(MIN(IF(VLOOKUP(F32,'05_Master KPI'!$B$5:$G$100,5,FALSE)="Lower",H32/I32,I32/H32),1),0)</f>
        <v>0.84799999999999998</v>
      </c>
      <c r="K32" s="9">
        <f>IFERROR(VLOOKUP(F32,'05_Master KPI'!$B$5:$G$100,4,FALSE),0)</f>
        <v>20</v>
      </c>
      <c r="L32" s="23">
        <f t="shared" si="0"/>
        <v>16.96</v>
      </c>
      <c r="M32" s="9" t="str">
        <f>IF(D32="","",IF(J32&gt;='13_Setting'!$H$7,"Tercapai",IF(J32&gt;='13_Setting'!$H$6,"On Track","Tertinggal")))</f>
        <v>Tertinggal</v>
      </c>
      <c r="N32" s="20" t="s">
        <v>211</v>
      </c>
      <c r="O32" s="1"/>
      <c r="P32" s="1"/>
      <c r="Q32" s="1"/>
      <c r="R32" s="1"/>
      <c r="S32" s="1"/>
      <c r="T32" s="1"/>
      <c r="U32" s="1"/>
      <c r="V32" s="1"/>
      <c r="W32" s="1"/>
      <c r="X32" s="1"/>
      <c r="Y32" s="1"/>
      <c r="Z32" s="1"/>
    </row>
    <row r="33" spans="1:26">
      <c r="A33" s="20" t="s">
        <v>40</v>
      </c>
      <c r="B33" s="20">
        <v>2026</v>
      </c>
      <c r="C33" s="21">
        <v>46173</v>
      </c>
      <c r="D33" s="20" t="s">
        <v>98</v>
      </c>
      <c r="E33" s="9" t="str">
        <f>IFERROR(VLOOKUP(D33,'04_Master Karyawan'!$A$5:$F$50,2,FALSE),"")</f>
        <v>Admin AP (Ganti Nama)</v>
      </c>
      <c r="F33" s="20" t="s">
        <v>139</v>
      </c>
      <c r="G33" s="9" t="str">
        <f>IFERROR(VLOOKUP(F33,'05_Master KPI'!$B$5:$G$100,2,FALSE)&amp;" ("&amp;VLOOKUP(F33,'05_Master KPI'!$B$5:$G$100,3,FALSE)&amp;")","")</f>
        <v>Komplain Selesai (%)</v>
      </c>
      <c r="H33" s="9">
        <f>IFERROR(IF(B33&lt;&gt;'06_Target KPI'!$B$3,0,IF(VLOOKUP(F33,'05_Master KPI'!$B$5:$G$100,6,FALSE)="Kumulatif",INDEX('06_Target KPI'!$E$5:$P$100,MATCH(F33,'06_Target KPI'!$B$5:$B$100,0),MATCH(A33,'06_Target KPI'!$E$4:$P$4,0))*DAY(C33)/DAY(EOMONTH(C33,0)),INDEX('06_Target KPI'!$E$5:$P$100,MATCH(F33,'06_Target KPI'!$B$5:$B$100,0),MATCH(A33,'06_Target KPI'!$E$4:$P$4,0)))),0)</f>
        <v>95</v>
      </c>
      <c r="I33" s="20">
        <v>80.5</v>
      </c>
      <c r="J33" s="22">
        <f>IFERROR(MIN(IF(VLOOKUP(F33,'05_Master KPI'!$B$5:$G$100,5,FALSE)="Lower",H33/I33,I33/H33),1),0)</f>
        <v>0.84736842105263155</v>
      </c>
      <c r="K33" s="9">
        <f>IFERROR(VLOOKUP(F33,'05_Master KPI'!$B$5:$G$100,4,FALSE),0)</f>
        <v>15</v>
      </c>
      <c r="L33" s="23">
        <f t="shared" si="0"/>
        <v>12.710526315789473</v>
      </c>
      <c r="M33" s="9" t="str">
        <f>IF(D33="","",IF(J33&gt;='13_Setting'!$H$7,"Tercapai",IF(J33&gt;='13_Setting'!$H$6,"On Track","Tertinggal")))</f>
        <v>Tertinggal</v>
      </c>
      <c r="N33" s="20" t="s">
        <v>211</v>
      </c>
      <c r="O33" s="1"/>
      <c r="P33" s="1"/>
      <c r="Q33" s="1"/>
      <c r="R33" s="1"/>
      <c r="S33" s="1"/>
      <c r="T33" s="1"/>
      <c r="U33" s="1"/>
      <c r="V33" s="1"/>
      <c r="W33" s="1"/>
      <c r="X33" s="1"/>
      <c r="Y33" s="1"/>
      <c r="Z33" s="1"/>
    </row>
    <row r="34" spans="1:26">
      <c r="A34" s="20" t="s">
        <v>40</v>
      </c>
      <c r="B34" s="20">
        <v>2026</v>
      </c>
      <c r="C34" s="21">
        <v>46173</v>
      </c>
      <c r="D34" s="20" t="s">
        <v>98</v>
      </c>
      <c r="E34" s="9" t="str">
        <f>IFERROR(VLOOKUP(D34,'04_Master Karyawan'!$A$5:$F$50,2,FALSE),"")</f>
        <v>Admin AP (Ganti Nama)</v>
      </c>
      <c r="F34" s="20" t="s">
        <v>141</v>
      </c>
      <c r="G34" s="9" t="str">
        <f>IFERROR(VLOOKUP(F34,'05_Master KPI'!$B$5:$G$100,2,FALSE)&amp;" ("&amp;VLOOKUP(F34,'05_Master KPI'!$B$5:$G$100,3,FALSE)&amp;")","")</f>
        <v>Administrasi Lengkap (%)</v>
      </c>
      <c r="H34" s="9">
        <f>IFERROR(IF(B34&lt;&gt;'06_Target KPI'!$B$3,0,IF(VLOOKUP(F34,'05_Master KPI'!$B$5:$G$100,6,FALSE)="Kumulatif",INDEX('06_Target KPI'!$E$5:$P$100,MATCH(F34,'06_Target KPI'!$B$5:$B$100,0),MATCH(A34,'06_Target KPI'!$E$4:$P$4,0))*DAY(C34)/DAY(EOMONTH(C34,0)),INDEX('06_Target KPI'!$E$5:$P$100,MATCH(F34,'06_Target KPI'!$B$5:$B$100,0),MATCH(A34,'06_Target KPI'!$E$4:$P$4,0)))),0)</f>
        <v>100</v>
      </c>
      <c r="I34" s="20">
        <v>84.8</v>
      </c>
      <c r="J34" s="22">
        <f>IFERROR(MIN(IF(VLOOKUP(F34,'05_Master KPI'!$B$5:$G$100,5,FALSE)="Lower",H34/I34,I34/H34),1),0)</f>
        <v>0.84799999999999998</v>
      </c>
      <c r="K34" s="9">
        <f>IFERROR(VLOOKUP(F34,'05_Master KPI'!$B$5:$G$100,4,FALSE),0)</f>
        <v>10</v>
      </c>
      <c r="L34" s="23">
        <f t="shared" si="0"/>
        <v>8.48</v>
      </c>
      <c r="M34" s="9" t="str">
        <f>IF(D34="","",IF(J34&gt;='13_Setting'!$H$7,"Tercapai",IF(J34&gt;='13_Setting'!$H$6,"On Track","Tertinggal")))</f>
        <v>Tertinggal</v>
      </c>
      <c r="N34" s="20" t="s">
        <v>211</v>
      </c>
      <c r="O34" s="1"/>
      <c r="P34" s="1"/>
      <c r="Q34" s="1"/>
      <c r="R34" s="1"/>
      <c r="S34" s="1"/>
      <c r="T34" s="1"/>
      <c r="U34" s="1"/>
      <c r="V34" s="1"/>
      <c r="W34" s="1"/>
      <c r="X34" s="1"/>
      <c r="Y34" s="1"/>
      <c r="Z34" s="1"/>
    </row>
    <row r="35" spans="1:26">
      <c r="A35" s="20" t="s">
        <v>196</v>
      </c>
      <c r="B35" s="20">
        <v>2026</v>
      </c>
      <c r="C35" s="21">
        <v>46203</v>
      </c>
      <c r="D35" s="20" t="s">
        <v>98</v>
      </c>
      <c r="E35" s="9" t="str">
        <f>IFERROR(VLOOKUP(D35,'04_Master Karyawan'!$A$5:$F$50,2,FALSE),"")</f>
        <v>Admin AP (Ganti Nama)</v>
      </c>
      <c r="F35" s="20" t="s">
        <v>129</v>
      </c>
      <c r="G35" s="9" t="str">
        <f>IFERROR(VLOOKUP(F35,'05_Master KPI'!$B$5:$G$100,2,FALSE)&amp;" ("&amp;VLOOKUP(F35,'05_Master KPI'!$B$5:$G$100,3,FALSE)&amp;")","")</f>
        <v>Response Time WA (menit)</v>
      </c>
      <c r="H35" s="9">
        <f>IFERROR(IF(B35&lt;&gt;'06_Target KPI'!$B$3,0,IF(VLOOKUP(F35,'05_Master KPI'!$B$5:$G$100,6,FALSE)="Kumulatif",INDEX('06_Target KPI'!$E$5:$P$100,MATCH(F35,'06_Target KPI'!$B$5:$B$100,0),MATCH(A35,'06_Target KPI'!$E$4:$P$4,0))*DAY(C35)/DAY(EOMONTH(C35,0)),INDEX('06_Target KPI'!$E$5:$P$100,MATCH(F35,'06_Target KPI'!$B$5:$B$100,0),MATCH(A35,'06_Target KPI'!$E$4:$P$4,0)))),0)</f>
        <v>5</v>
      </c>
      <c r="I35" s="20">
        <v>5.7</v>
      </c>
      <c r="J35" s="22">
        <f>IFERROR(MIN(IF(VLOOKUP(F35,'05_Master KPI'!$B$5:$G$100,5,FALSE)="Lower",H35/I35,I35/H35),1),0)</f>
        <v>0.8771929824561403</v>
      </c>
      <c r="K35" s="9">
        <f>IFERROR(VLOOKUP(F35,'05_Master KPI'!$B$5:$G$100,4,FALSE),0)</f>
        <v>20</v>
      </c>
      <c r="L35" s="23">
        <f t="shared" si="0"/>
        <v>17.543859649122805</v>
      </c>
      <c r="M35" s="9" t="str">
        <f>IF(D35="","",IF(J35&gt;='13_Setting'!$H$7,"Tercapai",IF(J35&gt;='13_Setting'!$H$6,"On Track","Tertinggal")))</f>
        <v>On Track</v>
      </c>
      <c r="N35" s="20" t="s">
        <v>211</v>
      </c>
      <c r="O35" s="1"/>
      <c r="P35" s="1"/>
      <c r="Q35" s="1"/>
      <c r="R35" s="1"/>
      <c r="S35" s="1"/>
      <c r="T35" s="1"/>
      <c r="U35" s="1"/>
      <c r="V35" s="1"/>
      <c r="W35" s="1"/>
      <c r="X35" s="1"/>
      <c r="Y35" s="1"/>
      <c r="Z35" s="1"/>
    </row>
    <row r="36" spans="1:26">
      <c r="A36" s="20" t="s">
        <v>196</v>
      </c>
      <c r="B36" s="20">
        <v>2026</v>
      </c>
      <c r="C36" s="21">
        <v>46203</v>
      </c>
      <c r="D36" s="20" t="s">
        <v>98</v>
      </c>
      <c r="E36" s="9" t="str">
        <f>IFERROR(VLOOKUP(D36,'04_Master Karyawan'!$A$5:$F$50,2,FALSE),"")</f>
        <v>Admin AP (Ganti Nama)</v>
      </c>
      <c r="F36" s="20" t="s">
        <v>133</v>
      </c>
      <c r="G36" s="9" t="str">
        <f>IFERROR(VLOOKUP(F36,'05_Master KPI'!$B$5:$G$100,2,FALSE)&amp;" ("&amp;VLOOKUP(F36,'05_Master KPI'!$B$5:$G$100,3,FALSE)&amp;")","")</f>
        <v>Input Worksheet Benar (%)</v>
      </c>
      <c r="H36" s="9">
        <f>IFERROR(IF(B36&lt;&gt;'06_Target KPI'!$B$3,0,IF(VLOOKUP(F36,'05_Master KPI'!$B$5:$G$100,6,FALSE)="Kumulatif",INDEX('06_Target KPI'!$E$5:$P$100,MATCH(F36,'06_Target KPI'!$B$5:$B$100,0),MATCH(A36,'06_Target KPI'!$E$4:$P$4,0))*DAY(C36)/DAY(EOMONTH(C36,0)),INDEX('06_Target KPI'!$E$5:$P$100,MATCH(F36,'06_Target KPI'!$B$5:$B$100,0),MATCH(A36,'06_Target KPI'!$E$4:$P$4,0)))),0)</f>
        <v>99</v>
      </c>
      <c r="I36" s="20">
        <v>86.9</v>
      </c>
      <c r="J36" s="22">
        <f>IFERROR(MIN(IF(VLOOKUP(F36,'05_Master KPI'!$B$5:$G$100,5,FALSE)="Lower",H36/I36,I36/H36),1),0)</f>
        <v>0.87777777777777788</v>
      </c>
      <c r="K36" s="9">
        <f>IFERROR(VLOOKUP(F36,'05_Master KPI'!$B$5:$G$100,4,FALSE),0)</f>
        <v>20</v>
      </c>
      <c r="L36" s="23">
        <f t="shared" si="0"/>
        <v>17.555555555555557</v>
      </c>
      <c r="M36" s="9" t="str">
        <f>IF(D36="","",IF(J36&gt;='13_Setting'!$H$7,"Tercapai",IF(J36&gt;='13_Setting'!$H$6,"On Track","Tertinggal")))</f>
        <v>On Track</v>
      </c>
      <c r="N36" s="20" t="s">
        <v>211</v>
      </c>
      <c r="O36" s="1"/>
      <c r="P36" s="1"/>
      <c r="Q36" s="1"/>
      <c r="R36" s="1"/>
      <c r="S36" s="1"/>
      <c r="T36" s="1"/>
      <c r="U36" s="1"/>
      <c r="V36" s="1"/>
      <c r="W36" s="1"/>
      <c r="X36" s="1"/>
      <c r="Y36" s="1"/>
      <c r="Z36" s="1"/>
    </row>
    <row r="37" spans="1:26">
      <c r="A37" s="20" t="s">
        <v>196</v>
      </c>
      <c r="B37" s="20">
        <v>2026</v>
      </c>
      <c r="C37" s="21">
        <v>46203</v>
      </c>
      <c r="D37" s="20" t="s">
        <v>98</v>
      </c>
      <c r="E37" s="9" t="str">
        <f>IFERROR(VLOOKUP(D37,'04_Master Karyawan'!$A$5:$F$50,2,FALSE),"")</f>
        <v>Admin AP (Ganti Nama)</v>
      </c>
      <c r="F37" s="20" t="s">
        <v>135</v>
      </c>
      <c r="G37" s="9" t="str">
        <f>IFERROR(VLOOKUP(F37,'05_Master KPI'!$B$5:$G$100,2,FALSE)&amp;" ("&amp;VLOOKUP(F37,'05_Master KPI'!$B$5:$G$100,3,FALSE)&amp;")","")</f>
        <v>Follow-up Customer (%)</v>
      </c>
      <c r="H37" s="9">
        <f>IFERROR(IF(B37&lt;&gt;'06_Target KPI'!$B$3,0,IF(VLOOKUP(F37,'05_Master KPI'!$B$5:$G$100,6,FALSE)="Kumulatif",INDEX('06_Target KPI'!$E$5:$P$100,MATCH(F37,'06_Target KPI'!$B$5:$B$100,0),MATCH(A37,'06_Target KPI'!$E$4:$P$4,0))*DAY(C37)/DAY(EOMONTH(C37,0)),INDEX('06_Target KPI'!$E$5:$P$100,MATCH(F37,'06_Target KPI'!$B$5:$B$100,0),MATCH(A37,'06_Target KPI'!$E$4:$P$4,0)))),0)</f>
        <v>95</v>
      </c>
      <c r="I37" s="20">
        <v>83.4</v>
      </c>
      <c r="J37" s="22">
        <f>IFERROR(MIN(IF(VLOOKUP(F37,'05_Master KPI'!$B$5:$G$100,5,FALSE)="Lower",H37/I37,I37/H37),1),0)</f>
        <v>0.87789473684210528</v>
      </c>
      <c r="K37" s="9">
        <f>IFERROR(VLOOKUP(F37,'05_Master KPI'!$B$5:$G$100,4,FALSE),0)</f>
        <v>15</v>
      </c>
      <c r="L37" s="23">
        <f t="shared" si="0"/>
        <v>13.168421052631579</v>
      </c>
      <c r="M37" s="9" t="str">
        <f>IF(D37="","",IF(J37&gt;='13_Setting'!$H$7,"Tercapai",IF(J37&gt;='13_Setting'!$H$6,"On Track","Tertinggal")))</f>
        <v>On Track</v>
      </c>
      <c r="N37" s="20" t="s">
        <v>211</v>
      </c>
      <c r="O37" s="1"/>
      <c r="P37" s="1"/>
      <c r="Q37" s="1"/>
      <c r="R37" s="1"/>
      <c r="S37" s="1"/>
      <c r="T37" s="1"/>
      <c r="U37" s="1"/>
      <c r="V37" s="1"/>
      <c r="W37" s="1"/>
      <c r="X37" s="1"/>
      <c r="Y37" s="1"/>
      <c r="Z37" s="1"/>
    </row>
    <row r="38" spans="1:26">
      <c r="A38" s="20" t="s">
        <v>196</v>
      </c>
      <c r="B38" s="20">
        <v>2026</v>
      </c>
      <c r="C38" s="21">
        <v>46203</v>
      </c>
      <c r="D38" s="20" t="s">
        <v>98</v>
      </c>
      <c r="E38" s="9" t="str">
        <f>IFERROR(VLOOKUP(D38,'04_Master Karyawan'!$A$5:$F$50,2,FALSE),"")</f>
        <v>Admin AP (Ganti Nama)</v>
      </c>
      <c r="F38" s="20" t="s">
        <v>137</v>
      </c>
      <c r="G38" s="9" t="str">
        <f>IFERROR(VLOOKUP(F38,'05_Master KPI'!$B$5:$G$100,2,FALSE)&amp;" ("&amp;VLOOKUP(F38,'05_Master KPI'!$B$5:$G$100,3,FALSE)&amp;")","")</f>
        <v>Closing Rate (%)</v>
      </c>
      <c r="H38" s="9">
        <f>IFERROR(IF(B38&lt;&gt;'06_Target KPI'!$B$3,0,IF(VLOOKUP(F38,'05_Master KPI'!$B$5:$G$100,6,FALSE)="Kumulatif",INDEX('06_Target KPI'!$E$5:$P$100,MATCH(F38,'06_Target KPI'!$B$5:$B$100,0),MATCH(A38,'06_Target KPI'!$E$4:$P$4,0))*DAY(C38)/DAY(EOMONTH(C38,0)),INDEX('06_Target KPI'!$E$5:$P$100,MATCH(F38,'06_Target KPI'!$B$5:$B$100,0),MATCH(A38,'06_Target KPI'!$E$4:$P$4,0)))),0)</f>
        <v>25</v>
      </c>
      <c r="I38" s="20">
        <v>21.9</v>
      </c>
      <c r="J38" s="22">
        <f>IFERROR(MIN(IF(VLOOKUP(F38,'05_Master KPI'!$B$5:$G$100,5,FALSE)="Lower",H38/I38,I38/H38),1),0)</f>
        <v>0.87599999999999989</v>
      </c>
      <c r="K38" s="9">
        <f>IFERROR(VLOOKUP(F38,'05_Master KPI'!$B$5:$G$100,4,FALSE),0)</f>
        <v>20</v>
      </c>
      <c r="L38" s="23">
        <f t="shared" si="0"/>
        <v>17.519999999999996</v>
      </c>
      <c r="M38" s="9" t="str">
        <f>IF(D38="","",IF(J38&gt;='13_Setting'!$H$7,"Tercapai",IF(J38&gt;='13_Setting'!$H$6,"On Track","Tertinggal")))</f>
        <v>On Track</v>
      </c>
      <c r="N38" s="20" t="s">
        <v>211</v>
      </c>
      <c r="O38" s="1"/>
      <c r="P38" s="1"/>
      <c r="Q38" s="1"/>
      <c r="R38" s="1"/>
      <c r="S38" s="1"/>
      <c r="T38" s="1"/>
      <c r="U38" s="1"/>
      <c r="V38" s="1"/>
      <c r="W38" s="1"/>
      <c r="X38" s="1"/>
      <c r="Y38" s="1"/>
      <c r="Z38" s="1"/>
    </row>
    <row r="39" spans="1:26">
      <c r="A39" s="20" t="s">
        <v>196</v>
      </c>
      <c r="B39" s="20">
        <v>2026</v>
      </c>
      <c r="C39" s="21">
        <v>46203</v>
      </c>
      <c r="D39" s="20" t="s">
        <v>98</v>
      </c>
      <c r="E39" s="9" t="str">
        <f>IFERROR(VLOOKUP(D39,'04_Master Karyawan'!$A$5:$F$50,2,FALSE),"")</f>
        <v>Admin AP (Ganti Nama)</v>
      </c>
      <c r="F39" s="20" t="s">
        <v>139</v>
      </c>
      <c r="G39" s="9" t="str">
        <f>IFERROR(VLOOKUP(F39,'05_Master KPI'!$B$5:$G$100,2,FALSE)&amp;" ("&amp;VLOOKUP(F39,'05_Master KPI'!$B$5:$G$100,3,FALSE)&amp;")","")</f>
        <v>Komplain Selesai (%)</v>
      </c>
      <c r="H39" s="9">
        <f>IFERROR(IF(B39&lt;&gt;'06_Target KPI'!$B$3,0,IF(VLOOKUP(F39,'05_Master KPI'!$B$5:$G$100,6,FALSE)="Kumulatif",INDEX('06_Target KPI'!$E$5:$P$100,MATCH(F39,'06_Target KPI'!$B$5:$B$100,0),MATCH(A39,'06_Target KPI'!$E$4:$P$4,0))*DAY(C39)/DAY(EOMONTH(C39,0)),INDEX('06_Target KPI'!$E$5:$P$100,MATCH(F39,'06_Target KPI'!$B$5:$B$100,0),MATCH(A39,'06_Target KPI'!$E$4:$P$4,0)))),0)</f>
        <v>95</v>
      </c>
      <c r="I39" s="20">
        <v>83.4</v>
      </c>
      <c r="J39" s="22">
        <f>IFERROR(MIN(IF(VLOOKUP(F39,'05_Master KPI'!$B$5:$G$100,5,FALSE)="Lower",H39/I39,I39/H39),1),0)</f>
        <v>0.87789473684210528</v>
      </c>
      <c r="K39" s="9">
        <f>IFERROR(VLOOKUP(F39,'05_Master KPI'!$B$5:$G$100,4,FALSE),0)</f>
        <v>15</v>
      </c>
      <c r="L39" s="23">
        <f t="shared" si="0"/>
        <v>13.168421052631579</v>
      </c>
      <c r="M39" s="9" t="str">
        <f>IF(D39="","",IF(J39&gt;='13_Setting'!$H$7,"Tercapai",IF(J39&gt;='13_Setting'!$H$6,"On Track","Tertinggal")))</f>
        <v>On Track</v>
      </c>
      <c r="N39" s="20" t="s">
        <v>211</v>
      </c>
      <c r="O39" s="1"/>
      <c r="P39" s="1"/>
      <c r="Q39" s="1"/>
      <c r="R39" s="1"/>
      <c r="S39" s="1"/>
      <c r="T39" s="1"/>
      <c r="U39" s="1"/>
      <c r="V39" s="1"/>
      <c r="W39" s="1"/>
      <c r="X39" s="1"/>
      <c r="Y39" s="1"/>
      <c r="Z39" s="1"/>
    </row>
    <row r="40" spans="1:26">
      <c r="A40" s="20" t="s">
        <v>196</v>
      </c>
      <c r="B40" s="20">
        <v>2026</v>
      </c>
      <c r="C40" s="21">
        <v>46203</v>
      </c>
      <c r="D40" s="20" t="s">
        <v>98</v>
      </c>
      <c r="E40" s="9" t="str">
        <f>IFERROR(VLOOKUP(D40,'04_Master Karyawan'!$A$5:$F$50,2,FALSE),"")</f>
        <v>Admin AP (Ganti Nama)</v>
      </c>
      <c r="F40" s="20" t="s">
        <v>141</v>
      </c>
      <c r="G40" s="9" t="str">
        <f>IFERROR(VLOOKUP(F40,'05_Master KPI'!$B$5:$G$100,2,FALSE)&amp;" ("&amp;VLOOKUP(F40,'05_Master KPI'!$B$5:$G$100,3,FALSE)&amp;")","")</f>
        <v>Administrasi Lengkap (%)</v>
      </c>
      <c r="H40" s="9">
        <f>IFERROR(IF(B40&lt;&gt;'06_Target KPI'!$B$3,0,IF(VLOOKUP(F40,'05_Master KPI'!$B$5:$G$100,6,FALSE)="Kumulatif",INDEX('06_Target KPI'!$E$5:$P$100,MATCH(F40,'06_Target KPI'!$B$5:$B$100,0),MATCH(A40,'06_Target KPI'!$E$4:$P$4,0))*DAY(C40)/DAY(EOMONTH(C40,0)),INDEX('06_Target KPI'!$E$5:$P$100,MATCH(F40,'06_Target KPI'!$B$5:$B$100,0),MATCH(A40,'06_Target KPI'!$E$4:$P$4,0)))),0)</f>
        <v>100</v>
      </c>
      <c r="I40" s="20">
        <v>87.8</v>
      </c>
      <c r="J40" s="22">
        <f>IFERROR(MIN(IF(VLOOKUP(F40,'05_Master KPI'!$B$5:$G$100,5,FALSE)="Lower",H40/I40,I40/H40),1),0)</f>
        <v>0.878</v>
      </c>
      <c r="K40" s="9">
        <f>IFERROR(VLOOKUP(F40,'05_Master KPI'!$B$5:$G$100,4,FALSE),0)</f>
        <v>10</v>
      </c>
      <c r="L40" s="23">
        <f t="shared" si="0"/>
        <v>8.7799999999999994</v>
      </c>
      <c r="M40" s="9" t="str">
        <f>IF(D40="","",IF(J40&gt;='13_Setting'!$H$7,"Tercapai",IF(J40&gt;='13_Setting'!$H$6,"On Track","Tertinggal")))</f>
        <v>On Track</v>
      </c>
      <c r="N40" s="20" t="s">
        <v>211</v>
      </c>
      <c r="O40" s="1"/>
      <c r="P40" s="1"/>
      <c r="Q40" s="1"/>
      <c r="R40" s="1"/>
      <c r="S40" s="1"/>
      <c r="T40" s="1"/>
      <c r="U40" s="1"/>
      <c r="V40" s="1"/>
      <c r="W40" s="1"/>
      <c r="X40" s="1"/>
      <c r="Y40" s="1"/>
      <c r="Z40" s="1"/>
    </row>
    <row r="41" spans="1:26">
      <c r="A41" s="20" t="s">
        <v>197</v>
      </c>
      <c r="B41" s="20">
        <v>2026</v>
      </c>
      <c r="C41" s="21">
        <v>46234</v>
      </c>
      <c r="D41" s="20" t="s">
        <v>98</v>
      </c>
      <c r="E41" s="9" t="str">
        <f>IFERROR(VLOOKUP(D41,'04_Master Karyawan'!$A$5:$F$50,2,FALSE),"")</f>
        <v>Admin AP (Ganti Nama)</v>
      </c>
      <c r="F41" s="20" t="s">
        <v>129</v>
      </c>
      <c r="G41" s="9" t="str">
        <f>IFERROR(VLOOKUP(F41,'05_Master KPI'!$B$5:$G$100,2,FALSE)&amp;" ("&amp;VLOOKUP(F41,'05_Master KPI'!$B$5:$G$100,3,FALSE)&amp;")","")</f>
        <v>Response Time WA (menit)</v>
      </c>
      <c r="H41" s="9">
        <f>IFERROR(IF(B41&lt;&gt;'06_Target KPI'!$B$3,0,IF(VLOOKUP(F41,'05_Master KPI'!$B$5:$G$100,6,FALSE)="Kumulatif",INDEX('06_Target KPI'!$E$5:$P$100,MATCH(F41,'06_Target KPI'!$B$5:$B$100,0),MATCH(A41,'06_Target KPI'!$E$4:$P$4,0))*DAY(C41)/DAY(EOMONTH(C41,0)),INDEX('06_Target KPI'!$E$5:$P$100,MATCH(F41,'06_Target KPI'!$B$5:$B$100,0),MATCH(A41,'06_Target KPI'!$E$4:$P$4,0)))),0)</f>
        <v>5</v>
      </c>
      <c r="I41" s="20">
        <v>5.6</v>
      </c>
      <c r="J41" s="22">
        <f>IFERROR(MIN(IF(VLOOKUP(F41,'05_Master KPI'!$B$5:$G$100,5,FALSE)="Lower",H41/I41,I41/H41),1),0)</f>
        <v>0.8928571428571429</v>
      </c>
      <c r="K41" s="9">
        <f>IFERROR(VLOOKUP(F41,'05_Master KPI'!$B$5:$G$100,4,FALSE),0)</f>
        <v>20</v>
      </c>
      <c r="L41" s="23">
        <f t="shared" si="0"/>
        <v>17.857142857142858</v>
      </c>
      <c r="M41" s="9" t="str">
        <f>IF(D41="","",IF(J41&gt;='13_Setting'!$H$7,"Tercapai",IF(J41&gt;='13_Setting'!$H$6,"On Track","Tertinggal")))</f>
        <v>On Track</v>
      </c>
      <c r="N41" s="20" t="s">
        <v>211</v>
      </c>
      <c r="O41" s="1"/>
      <c r="P41" s="1"/>
      <c r="Q41" s="1"/>
      <c r="R41" s="1"/>
      <c r="S41" s="1"/>
      <c r="T41" s="1"/>
      <c r="U41" s="1"/>
      <c r="V41" s="1"/>
      <c r="W41" s="1"/>
      <c r="X41" s="1"/>
      <c r="Y41" s="1"/>
      <c r="Z41" s="1"/>
    </row>
    <row r="42" spans="1:26">
      <c r="A42" s="20" t="s">
        <v>197</v>
      </c>
      <c r="B42" s="20">
        <v>2026</v>
      </c>
      <c r="C42" s="21">
        <v>46234</v>
      </c>
      <c r="D42" s="20" t="s">
        <v>98</v>
      </c>
      <c r="E42" s="9" t="str">
        <f>IFERROR(VLOOKUP(D42,'04_Master Karyawan'!$A$5:$F$50,2,FALSE),"")</f>
        <v>Admin AP (Ganti Nama)</v>
      </c>
      <c r="F42" s="20" t="s">
        <v>133</v>
      </c>
      <c r="G42" s="9" t="str">
        <f>IFERROR(VLOOKUP(F42,'05_Master KPI'!$B$5:$G$100,2,FALSE)&amp;" ("&amp;VLOOKUP(F42,'05_Master KPI'!$B$5:$G$100,3,FALSE)&amp;")","")</f>
        <v>Input Worksheet Benar (%)</v>
      </c>
      <c r="H42" s="9">
        <f>IFERROR(IF(B42&lt;&gt;'06_Target KPI'!$B$3,0,IF(VLOOKUP(F42,'05_Master KPI'!$B$5:$G$100,6,FALSE)="Kumulatif",INDEX('06_Target KPI'!$E$5:$P$100,MATCH(F42,'06_Target KPI'!$B$5:$B$100,0),MATCH(A42,'06_Target KPI'!$E$4:$P$4,0))*DAY(C42)/DAY(EOMONTH(C42,0)),INDEX('06_Target KPI'!$E$5:$P$100,MATCH(F42,'06_Target KPI'!$B$5:$B$100,0),MATCH(A42,'06_Target KPI'!$E$4:$P$4,0)))),0)</f>
        <v>99</v>
      </c>
      <c r="I42" s="20">
        <v>88.9</v>
      </c>
      <c r="J42" s="22">
        <f>IFERROR(MIN(IF(VLOOKUP(F42,'05_Master KPI'!$B$5:$G$100,5,FALSE)="Lower",H42/I42,I42/H42),1),0)</f>
        <v>0.89797979797979799</v>
      </c>
      <c r="K42" s="9">
        <f>IFERROR(VLOOKUP(F42,'05_Master KPI'!$B$5:$G$100,4,FALSE),0)</f>
        <v>20</v>
      </c>
      <c r="L42" s="23">
        <f t="shared" si="0"/>
        <v>17.959595959595958</v>
      </c>
      <c r="M42" s="9" t="str">
        <f>IF(D42="","",IF(J42&gt;='13_Setting'!$H$7,"Tercapai",IF(J42&gt;='13_Setting'!$H$6,"On Track","Tertinggal")))</f>
        <v>On Track</v>
      </c>
      <c r="N42" s="20" t="s">
        <v>211</v>
      </c>
      <c r="O42" s="1"/>
      <c r="P42" s="1"/>
      <c r="Q42" s="1"/>
      <c r="R42" s="1"/>
      <c r="S42" s="1"/>
      <c r="T42" s="1"/>
      <c r="U42" s="1"/>
      <c r="V42" s="1"/>
      <c r="W42" s="1"/>
      <c r="X42" s="1"/>
      <c r="Y42" s="1"/>
      <c r="Z42" s="1"/>
    </row>
    <row r="43" spans="1:26">
      <c r="A43" s="20" t="s">
        <v>197</v>
      </c>
      <c r="B43" s="20">
        <v>2026</v>
      </c>
      <c r="C43" s="21">
        <v>46234</v>
      </c>
      <c r="D43" s="20" t="s">
        <v>98</v>
      </c>
      <c r="E43" s="9" t="str">
        <f>IFERROR(VLOOKUP(D43,'04_Master Karyawan'!$A$5:$F$50,2,FALSE),"")</f>
        <v>Admin AP (Ganti Nama)</v>
      </c>
      <c r="F43" s="20" t="s">
        <v>135</v>
      </c>
      <c r="G43" s="9" t="str">
        <f>IFERROR(VLOOKUP(F43,'05_Master KPI'!$B$5:$G$100,2,FALSE)&amp;" ("&amp;VLOOKUP(F43,'05_Master KPI'!$B$5:$G$100,3,FALSE)&amp;")","")</f>
        <v>Follow-up Customer (%)</v>
      </c>
      <c r="H43" s="9">
        <f>IFERROR(IF(B43&lt;&gt;'06_Target KPI'!$B$3,0,IF(VLOOKUP(F43,'05_Master KPI'!$B$5:$G$100,6,FALSE)="Kumulatif",INDEX('06_Target KPI'!$E$5:$P$100,MATCH(F43,'06_Target KPI'!$B$5:$B$100,0),MATCH(A43,'06_Target KPI'!$E$4:$P$4,0))*DAY(C43)/DAY(EOMONTH(C43,0)),INDEX('06_Target KPI'!$E$5:$P$100,MATCH(F43,'06_Target KPI'!$B$5:$B$100,0),MATCH(A43,'06_Target KPI'!$E$4:$P$4,0)))),0)</f>
        <v>95</v>
      </c>
      <c r="I43" s="20">
        <v>85.3</v>
      </c>
      <c r="J43" s="22">
        <f>IFERROR(MIN(IF(VLOOKUP(F43,'05_Master KPI'!$B$5:$G$100,5,FALSE)="Lower",H43/I43,I43/H43),1),0)</f>
        <v>0.89789473684210519</v>
      </c>
      <c r="K43" s="9">
        <f>IFERROR(VLOOKUP(F43,'05_Master KPI'!$B$5:$G$100,4,FALSE),0)</f>
        <v>15</v>
      </c>
      <c r="L43" s="23">
        <f t="shared" si="0"/>
        <v>13.468421052631578</v>
      </c>
      <c r="M43" s="9" t="str">
        <f>IF(D43="","",IF(J43&gt;='13_Setting'!$H$7,"Tercapai",IF(J43&gt;='13_Setting'!$H$6,"On Track","Tertinggal")))</f>
        <v>On Track</v>
      </c>
      <c r="N43" s="20" t="s">
        <v>211</v>
      </c>
      <c r="O43" s="1"/>
      <c r="P43" s="1"/>
      <c r="Q43" s="1"/>
      <c r="R43" s="1"/>
      <c r="S43" s="1"/>
      <c r="T43" s="1"/>
      <c r="U43" s="1"/>
      <c r="V43" s="1"/>
      <c r="W43" s="1"/>
      <c r="X43" s="1"/>
      <c r="Y43" s="1"/>
      <c r="Z43" s="1"/>
    </row>
    <row r="44" spans="1:26">
      <c r="A44" s="20" t="s">
        <v>197</v>
      </c>
      <c r="B44" s="20">
        <v>2026</v>
      </c>
      <c r="C44" s="21">
        <v>46234</v>
      </c>
      <c r="D44" s="20" t="s">
        <v>98</v>
      </c>
      <c r="E44" s="9" t="str">
        <f>IFERROR(VLOOKUP(D44,'04_Master Karyawan'!$A$5:$F$50,2,FALSE),"")</f>
        <v>Admin AP (Ganti Nama)</v>
      </c>
      <c r="F44" s="20" t="s">
        <v>137</v>
      </c>
      <c r="G44" s="9" t="str">
        <f>IFERROR(VLOOKUP(F44,'05_Master KPI'!$B$5:$G$100,2,FALSE)&amp;" ("&amp;VLOOKUP(F44,'05_Master KPI'!$B$5:$G$100,3,FALSE)&amp;")","")</f>
        <v>Closing Rate (%)</v>
      </c>
      <c r="H44" s="9">
        <f>IFERROR(IF(B44&lt;&gt;'06_Target KPI'!$B$3,0,IF(VLOOKUP(F44,'05_Master KPI'!$B$5:$G$100,6,FALSE)="Kumulatif",INDEX('06_Target KPI'!$E$5:$P$100,MATCH(F44,'06_Target KPI'!$B$5:$B$100,0),MATCH(A44,'06_Target KPI'!$E$4:$P$4,0))*DAY(C44)/DAY(EOMONTH(C44,0)),INDEX('06_Target KPI'!$E$5:$P$100,MATCH(F44,'06_Target KPI'!$B$5:$B$100,0),MATCH(A44,'06_Target KPI'!$E$4:$P$4,0)))),0)</f>
        <v>25</v>
      </c>
      <c r="I44" s="20">
        <v>22.4</v>
      </c>
      <c r="J44" s="22">
        <f>IFERROR(MIN(IF(VLOOKUP(F44,'05_Master KPI'!$B$5:$G$100,5,FALSE)="Lower",H44/I44,I44/H44),1),0)</f>
        <v>0.89599999999999991</v>
      </c>
      <c r="K44" s="9">
        <f>IFERROR(VLOOKUP(F44,'05_Master KPI'!$B$5:$G$100,4,FALSE),0)</f>
        <v>20</v>
      </c>
      <c r="L44" s="23">
        <f t="shared" si="0"/>
        <v>17.919999999999998</v>
      </c>
      <c r="M44" s="9" t="str">
        <f>IF(D44="","",IF(J44&gt;='13_Setting'!$H$7,"Tercapai",IF(J44&gt;='13_Setting'!$H$6,"On Track","Tertinggal")))</f>
        <v>On Track</v>
      </c>
      <c r="N44" s="20" t="s">
        <v>211</v>
      </c>
      <c r="O44" s="1"/>
      <c r="P44" s="1"/>
      <c r="Q44" s="1"/>
      <c r="R44" s="1"/>
      <c r="S44" s="1"/>
      <c r="T44" s="1"/>
      <c r="U44" s="1"/>
      <c r="V44" s="1"/>
      <c r="W44" s="1"/>
      <c r="X44" s="1"/>
      <c r="Y44" s="1"/>
      <c r="Z44" s="1"/>
    </row>
    <row r="45" spans="1:26">
      <c r="A45" s="20" t="s">
        <v>197</v>
      </c>
      <c r="B45" s="20">
        <v>2026</v>
      </c>
      <c r="C45" s="21">
        <v>46234</v>
      </c>
      <c r="D45" s="20" t="s">
        <v>98</v>
      </c>
      <c r="E45" s="9" t="str">
        <f>IFERROR(VLOOKUP(D45,'04_Master Karyawan'!$A$5:$F$50,2,FALSE),"")</f>
        <v>Admin AP (Ganti Nama)</v>
      </c>
      <c r="F45" s="20" t="s">
        <v>139</v>
      </c>
      <c r="G45" s="9" t="str">
        <f>IFERROR(VLOOKUP(F45,'05_Master KPI'!$B$5:$G$100,2,FALSE)&amp;" ("&amp;VLOOKUP(F45,'05_Master KPI'!$B$5:$G$100,3,FALSE)&amp;")","")</f>
        <v>Komplain Selesai (%)</v>
      </c>
      <c r="H45" s="9">
        <f>IFERROR(IF(B45&lt;&gt;'06_Target KPI'!$B$3,0,IF(VLOOKUP(F45,'05_Master KPI'!$B$5:$G$100,6,FALSE)="Kumulatif",INDEX('06_Target KPI'!$E$5:$P$100,MATCH(F45,'06_Target KPI'!$B$5:$B$100,0),MATCH(A45,'06_Target KPI'!$E$4:$P$4,0))*DAY(C45)/DAY(EOMONTH(C45,0)),INDEX('06_Target KPI'!$E$5:$P$100,MATCH(F45,'06_Target KPI'!$B$5:$B$100,0),MATCH(A45,'06_Target KPI'!$E$4:$P$4,0)))),0)</f>
        <v>95</v>
      </c>
      <c r="I45" s="20">
        <v>85.3</v>
      </c>
      <c r="J45" s="22">
        <f>IFERROR(MIN(IF(VLOOKUP(F45,'05_Master KPI'!$B$5:$G$100,5,FALSE)="Lower",H45/I45,I45/H45),1),0)</f>
        <v>0.89789473684210519</v>
      </c>
      <c r="K45" s="9">
        <f>IFERROR(VLOOKUP(F45,'05_Master KPI'!$B$5:$G$100,4,FALSE),0)</f>
        <v>15</v>
      </c>
      <c r="L45" s="23">
        <f t="shared" si="0"/>
        <v>13.468421052631578</v>
      </c>
      <c r="M45" s="9" t="str">
        <f>IF(D45="","",IF(J45&gt;='13_Setting'!$H$7,"Tercapai",IF(J45&gt;='13_Setting'!$H$6,"On Track","Tertinggal")))</f>
        <v>On Track</v>
      </c>
      <c r="N45" s="20" t="s">
        <v>211</v>
      </c>
      <c r="O45" s="1"/>
      <c r="P45" s="1"/>
      <c r="Q45" s="1"/>
      <c r="R45" s="1"/>
      <c r="S45" s="1"/>
      <c r="T45" s="1"/>
      <c r="U45" s="1"/>
      <c r="V45" s="1"/>
      <c r="W45" s="1"/>
      <c r="X45" s="1"/>
      <c r="Y45" s="1"/>
      <c r="Z45" s="1"/>
    </row>
    <row r="46" spans="1:26">
      <c r="A46" s="20" t="s">
        <v>197</v>
      </c>
      <c r="B46" s="20">
        <v>2026</v>
      </c>
      <c r="C46" s="21">
        <v>46234</v>
      </c>
      <c r="D46" s="20" t="s">
        <v>98</v>
      </c>
      <c r="E46" s="9" t="str">
        <f>IFERROR(VLOOKUP(D46,'04_Master Karyawan'!$A$5:$F$50,2,FALSE),"")</f>
        <v>Admin AP (Ganti Nama)</v>
      </c>
      <c r="F46" s="20" t="s">
        <v>141</v>
      </c>
      <c r="G46" s="9" t="str">
        <f>IFERROR(VLOOKUP(F46,'05_Master KPI'!$B$5:$G$100,2,FALSE)&amp;" ("&amp;VLOOKUP(F46,'05_Master KPI'!$B$5:$G$100,3,FALSE)&amp;")","")</f>
        <v>Administrasi Lengkap (%)</v>
      </c>
      <c r="H46" s="9">
        <f>IFERROR(IF(B46&lt;&gt;'06_Target KPI'!$B$3,0,IF(VLOOKUP(F46,'05_Master KPI'!$B$5:$G$100,6,FALSE)="Kumulatif",INDEX('06_Target KPI'!$E$5:$P$100,MATCH(F46,'06_Target KPI'!$B$5:$B$100,0),MATCH(A46,'06_Target KPI'!$E$4:$P$4,0))*DAY(C46)/DAY(EOMONTH(C46,0)),INDEX('06_Target KPI'!$E$5:$P$100,MATCH(F46,'06_Target KPI'!$B$5:$B$100,0),MATCH(A46,'06_Target KPI'!$E$4:$P$4,0)))),0)</f>
        <v>100</v>
      </c>
      <c r="I46" s="20">
        <v>89.8</v>
      </c>
      <c r="J46" s="22">
        <f>IFERROR(MIN(IF(VLOOKUP(F46,'05_Master KPI'!$B$5:$G$100,5,FALSE)="Lower",H46/I46,I46/H46),1),0)</f>
        <v>0.89800000000000002</v>
      </c>
      <c r="K46" s="9">
        <f>IFERROR(VLOOKUP(F46,'05_Master KPI'!$B$5:$G$100,4,FALSE),0)</f>
        <v>10</v>
      </c>
      <c r="L46" s="23">
        <f t="shared" si="0"/>
        <v>8.98</v>
      </c>
      <c r="M46" s="9" t="str">
        <f>IF(D46="","",IF(J46&gt;='13_Setting'!$H$7,"Tercapai",IF(J46&gt;='13_Setting'!$H$6,"On Track","Tertinggal")))</f>
        <v>On Track</v>
      </c>
      <c r="N46" s="20" t="s">
        <v>211</v>
      </c>
      <c r="O46" s="1"/>
      <c r="P46" s="1"/>
      <c r="Q46" s="1"/>
      <c r="R46" s="1"/>
      <c r="S46" s="1"/>
      <c r="T46" s="1"/>
      <c r="U46" s="1"/>
      <c r="V46" s="1"/>
      <c r="W46" s="1"/>
      <c r="X46" s="1"/>
      <c r="Y46" s="1"/>
      <c r="Z46" s="1"/>
    </row>
    <row r="47" spans="1:26">
      <c r="A47" s="20" t="s">
        <v>3</v>
      </c>
      <c r="B47" s="20">
        <v>2026</v>
      </c>
      <c r="C47" s="21">
        <v>46239</v>
      </c>
      <c r="D47" s="20" t="s">
        <v>98</v>
      </c>
      <c r="E47" s="9" t="str">
        <f>IFERROR(VLOOKUP(D47,'04_Master Karyawan'!$A$5:$F$50,2,FALSE),"")</f>
        <v>Admin AP (Ganti Nama)</v>
      </c>
      <c r="F47" s="20" t="s">
        <v>129</v>
      </c>
      <c r="G47" s="9" t="str">
        <f>IFERROR(VLOOKUP(F47,'05_Master KPI'!$B$5:$G$100,2,FALSE)&amp;" ("&amp;VLOOKUP(F47,'05_Master KPI'!$B$5:$G$100,3,FALSE)&amp;")","")</f>
        <v>Response Time WA (menit)</v>
      </c>
      <c r="H47" s="9">
        <f>IFERROR(IF(B47&lt;&gt;'06_Target KPI'!$B$3,0,IF(VLOOKUP(F47,'05_Master KPI'!$B$5:$G$100,6,FALSE)="Kumulatif",INDEX('06_Target KPI'!$E$5:$P$100,MATCH(F47,'06_Target KPI'!$B$5:$B$100,0),MATCH(A47,'06_Target KPI'!$E$4:$P$4,0))*DAY(C47)/DAY(EOMONTH(C47,0)),INDEX('06_Target KPI'!$E$5:$P$100,MATCH(F47,'06_Target KPI'!$B$5:$B$100,0),MATCH(A47,'06_Target KPI'!$E$4:$P$4,0)))),0)</f>
        <v>5</v>
      </c>
      <c r="I47" s="20">
        <v>5.8</v>
      </c>
      <c r="J47" s="22">
        <f>IFERROR(MIN(IF(VLOOKUP(F47,'05_Master KPI'!$B$5:$G$100,5,FALSE)="Lower",H47/I47,I47/H47),1),0)</f>
        <v>0.86206896551724144</v>
      </c>
      <c r="K47" s="9">
        <f>IFERROR(VLOOKUP(F47,'05_Master KPI'!$B$5:$G$100,4,FALSE),0)</f>
        <v>20</v>
      </c>
      <c r="L47" s="23">
        <f t="shared" si="0"/>
        <v>17.241379310344829</v>
      </c>
      <c r="M47" s="9" t="str">
        <f>IF(D47="","",IF(J47&gt;='13_Setting'!$H$7,"Tercapai",IF(J47&gt;='13_Setting'!$H$6,"On Track","Tertinggal")))</f>
        <v>On Track</v>
      </c>
      <c r="N47" s="20" t="s">
        <v>212</v>
      </c>
      <c r="O47" s="1"/>
      <c r="P47" s="1"/>
      <c r="Q47" s="1"/>
      <c r="R47" s="1"/>
      <c r="S47" s="1"/>
      <c r="T47" s="1"/>
      <c r="U47" s="1"/>
      <c r="V47" s="1"/>
      <c r="W47" s="1"/>
      <c r="X47" s="1"/>
      <c r="Y47" s="1"/>
      <c r="Z47" s="1"/>
    </row>
    <row r="48" spans="1:26">
      <c r="A48" s="20" t="s">
        <v>3</v>
      </c>
      <c r="B48" s="20">
        <v>2026</v>
      </c>
      <c r="C48" s="21">
        <v>46239</v>
      </c>
      <c r="D48" s="20" t="s">
        <v>98</v>
      </c>
      <c r="E48" s="9" t="str">
        <f>IFERROR(VLOOKUP(D48,'04_Master Karyawan'!$A$5:$F$50,2,FALSE),"")</f>
        <v>Admin AP (Ganti Nama)</v>
      </c>
      <c r="F48" s="20" t="s">
        <v>133</v>
      </c>
      <c r="G48" s="9" t="str">
        <f>IFERROR(VLOOKUP(F48,'05_Master KPI'!$B$5:$G$100,2,FALSE)&amp;" ("&amp;VLOOKUP(F48,'05_Master KPI'!$B$5:$G$100,3,FALSE)&amp;")","")</f>
        <v>Input Worksheet Benar (%)</v>
      </c>
      <c r="H48" s="9">
        <f>IFERROR(IF(B48&lt;&gt;'06_Target KPI'!$B$3,0,IF(VLOOKUP(F48,'05_Master KPI'!$B$5:$G$100,6,FALSE)="Kumulatif",INDEX('06_Target KPI'!$E$5:$P$100,MATCH(F48,'06_Target KPI'!$B$5:$B$100,0),MATCH(A48,'06_Target KPI'!$E$4:$P$4,0))*DAY(C48)/DAY(EOMONTH(C48,0)),INDEX('06_Target KPI'!$E$5:$P$100,MATCH(F48,'06_Target KPI'!$B$5:$B$100,0),MATCH(A48,'06_Target KPI'!$E$4:$P$4,0)))),0)</f>
        <v>99</v>
      </c>
      <c r="I48" s="20">
        <v>85.9</v>
      </c>
      <c r="J48" s="22">
        <f>IFERROR(MIN(IF(VLOOKUP(F48,'05_Master KPI'!$B$5:$G$100,5,FALSE)="Lower",H48/I48,I48/H48),1),0)</f>
        <v>0.86767676767676771</v>
      </c>
      <c r="K48" s="9">
        <f>IFERROR(VLOOKUP(F48,'05_Master KPI'!$B$5:$G$100,4,FALSE),0)</f>
        <v>20</v>
      </c>
      <c r="L48" s="23">
        <f t="shared" si="0"/>
        <v>17.353535353535353</v>
      </c>
      <c r="M48" s="9" t="str">
        <f>IF(D48="","",IF(J48&gt;='13_Setting'!$H$7,"Tercapai",IF(J48&gt;='13_Setting'!$H$6,"On Track","Tertinggal")))</f>
        <v>On Track</v>
      </c>
      <c r="N48" s="20" t="s">
        <v>212</v>
      </c>
      <c r="O48" s="1"/>
      <c r="P48" s="1"/>
      <c r="Q48" s="1"/>
      <c r="R48" s="1"/>
      <c r="S48" s="1"/>
      <c r="T48" s="1"/>
      <c r="U48" s="1"/>
      <c r="V48" s="1"/>
      <c r="W48" s="1"/>
      <c r="X48" s="1"/>
      <c r="Y48" s="1"/>
      <c r="Z48" s="1"/>
    </row>
    <row r="49" spans="1:26">
      <c r="A49" s="20" t="s">
        <v>3</v>
      </c>
      <c r="B49" s="20">
        <v>2026</v>
      </c>
      <c r="C49" s="21">
        <v>46239</v>
      </c>
      <c r="D49" s="20" t="s">
        <v>98</v>
      </c>
      <c r="E49" s="9" t="str">
        <f>IFERROR(VLOOKUP(D49,'04_Master Karyawan'!$A$5:$F$50,2,FALSE),"")</f>
        <v>Admin AP (Ganti Nama)</v>
      </c>
      <c r="F49" s="20" t="s">
        <v>135</v>
      </c>
      <c r="G49" s="9" t="str">
        <f>IFERROR(VLOOKUP(F49,'05_Master KPI'!$B$5:$G$100,2,FALSE)&amp;" ("&amp;VLOOKUP(F49,'05_Master KPI'!$B$5:$G$100,3,FALSE)&amp;")","")</f>
        <v>Follow-up Customer (%)</v>
      </c>
      <c r="H49" s="9">
        <f>IFERROR(IF(B49&lt;&gt;'06_Target KPI'!$B$3,0,IF(VLOOKUP(F49,'05_Master KPI'!$B$5:$G$100,6,FALSE)="Kumulatif",INDEX('06_Target KPI'!$E$5:$P$100,MATCH(F49,'06_Target KPI'!$B$5:$B$100,0),MATCH(A49,'06_Target KPI'!$E$4:$P$4,0))*DAY(C49)/DAY(EOMONTH(C49,0)),INDEX('06_Target KPI'!$E$5:$P$100,MATCH(F49,'06_Target KPI'!$B$5:$B$100,0),MATCH(A49,'06_Target KPI'!$E$4:$P$4,0)))),0)</f>
        <v>95</v>
      </c>
      <c r="I49" s="20">
        <v>82.4</v>
      </c>
      <c r="J49" s="22">
        <f>IFERROR(MIN(IF(VLOOKUP(F49,'05_Master KPI'!$B$5:$G$100,5,FALSE)="Lower",H49/I49,I49/H49),1),0)</f>
        <v>0.86736842105263168</v>
      </c>
      <c r="K49" s="9">
        <f>IFERROR(VLOOKUP(F49,'05_Master KPI'!$B$5:$G$100,4,FALSE),0)</f>
        <v>15</v>
      </c>
      <c r="L49" s="23">
        <f t="shared" si="0"/>
        <v>13.010526315789475</v>
      </c>
      <c r="M49" s="9" t="str">
        <f>IF(D49="","",IF(J49&gt;='13_Setting'!$H$7,"Tercapai",IF(J49&gt;='13_Setting'!$H$6,"On Track","Tertinggal")))</f>
        <v>On Track</v>
      </c>
      <c r="N49" s="20" t="s">
        <v>212</v>
      </c>
      <c r="O49" s="1"/>
      <c r="P49" s="1"/>
      <c r="Q49" s="1"/>
      <c r="R49" s="1"/>
      <c r="S49" s="1"/>
      <c r="T49" s="1"/>
      <c r="U49" s="1"/>
      <c r="V49" s="1"/>
      <c r="W49" s="1"/>
      <c r="X49" s="1"/>
      <c r="Y49" s="1"/>
      <c r="Z49" s="1"/>
    </row>
    <row r="50" spans="1:26">
      <c r="A50" s="20" t="s">
        <v>3</v>
      </c>
      <c r="B50" s="20">
        <v>2026</v>
      </c>
      <c r="C50" s="21">
        <v>46239</v>
      </c>
      <c r="D50" s="20" t="s">
        <v>98</v>
      </c>
      <c r="E50" s="9" t="str">
        <f>IFERROR(VLOOKUP(D50,'04_Master Karyawan'!$A$5:$F$50,2,FALSE),"")</f>
        <v>Admin AP (Ganti Nama)</v>
      </c>
      <c r="F50" s="20" t="s">
        <v>137</v>
      </c>
      <c r="G50" s="9" t="str">
        <f>IFERROR(VLOOKUP(F50,'05_Master KPI'!$B$5:$G$100,2,FALSE)&amp;" ("&amp;VLOOKUP(F50,'05_Master KPI'!$B$5:$G$100,3,FALSE)&amp;")","")</f>
        <v>Closing Rate (%)</v>
      </c>
      <c r="H50" s="9">
        <f>IFERROR(IF(B50&lt;&gt;'06_Target KPI'!$B$3,0,IF(VLOOKUP(F50,'05_Master KPI'!$B$5:$G$100,6,FALSE)="Kumulatif",INDEX('06_Target KPI'!$E$5:$P$100,MATCH(F50,'06_Target KPI'!$B$5:$B$100,0),MATCH(A50,'06_Target KPI'!$E$4:$P$4,0))*DAY(C50)/DAY(EOMONTH(C50,0)),INDEX('06_Target KPI'!$E$5:$P$100,MATCH(F50,'06_Target KPI'!$B$5:$B$100,0),MATCH(A50,'06_Target KPI'!$E$4:$P$4,0)))),0)</f>
        <v>25</v>
      </c>
      <c r="I50" s="20">
        <v>21.7</v>
      </c>
      <c r="J50" s="22">
        <f>IFERROR(MIN(IF(VLOOKUP(F50,'05_Master KPI'!$B$5:$G$100,5,FALSE)="Lower",H50/I50,I50/H50),1),0)</f>
        <v>0.86799999999999999</v>
      </c>
      <c r="K50" s="9">
        <f>IFERROR(VLOOKUP(F50,'05_Master KPI'!$B$5:$G$100,4,FALSE),0)</f>
        <v>20</v>
      </c>
      <c r="L50" s="23">
        <f t="shared" si="0"/>
        <v>17.36</v>
      </c>
      <c r="M50" s="9" t="str">
        <f>IF(D50="","",IF(J50&gt;='13_Setting'!$H$7,"Tercapai",IF(J50&gt;='13_Setting'!$H$6,"On Track","Tertinggal")))</f>
        <v>On Track</v>
      </c>
      <c r="N50" s="20" t="s">
        <v>212</v>
      </c>
      <c r="O50" s="1"/>
      <c r="P50" s="1"/>
      <c r="Q50" s="1"/>
      <c r="R50" s="1"/>
      <c r="S50" s="1"/>
      <c r="T50" s="1"/>
      <c r="U50" s="1"/>
      <c r="V50" s="1"/>
      <c r="W50" s="1"/>
      <c r="X50" s="1"/>
      <c r="Y50" s="1"/>
      <c r="Z50" s="1"/>
    </row>
    <row r="51" spans="1:26">
      <c r="A51" s="20" t="s">
        <v>3</v>
      </c>
      <c r="B51" s="20">
        <v>2026</v>
      </c>
      <c r="C51" s="21">
        <v>46239</v>
      </c>
      <c r="D51" s="20" t="s">
        <v>98</v>
      </c>
      <c r="E51" s="9" t="str">
        <f>IFERROR(VLOOKUP(D51,'04_Master Karyawan'!$A$5:$F$50,2,FALSE),"")</f>
        <v>Admin AP (Ganti Nama)</v>
      </c>
      <c r="F51" s="20" t="s">
        <v>139</v>
      </c>
      <c r="G51" s="9" t="str">
        <f>IFERROR(VLOOKUP(F51,'05_Master KPI'!$B$5:$G$100,2,FALSE)&amp;" ("&amp;VLOOKUP(F51,'05_Master KPI'!$B$5:$G$100,3,FALSE)&amp;")","")</f>
        <v>Komplain Selesai (%)</v>
      </c>
      <c r="H51" s="9">
        <f>IFERROR(IF(B51&lt;&gt;'06_Target KPI'!$B$3,0,IF(VLOOKUP(F51,'05_Master KPI'!$B$5:$G$100,6,FALSE)="Kumulatif",INDEX('06_Target KPI'!$E$5:$P$100,MATCH(F51,'06_Target KPI'!$B$5:$B$100,0),MATCH(A51,'06_Target KPI'!$E$4:$P$4,0))*DAY(C51)/DAY(EOMONTH(C51,0)),INDEX('06_Target KPI'!$E$5:$P$100,MATCH(F51,'06_Target KPI'!$B$5:$B$100,0),MATCH(A51,'06_Target KPI'!$E$4:$P$4,0)))),0)</f>
        <v>95</v>
      </c>
      <c r="I51" s="20">
        <v>82.4</v>
      </c>
      <c r="J51" s="22">
        <f>IFERROR(MIN(IF(VLOOKUP(F51,'05_Master KPI'!$B$5:$G$100,5,FALSE)="Lower",H51/I51,I51/H51),1),0)</f>
        <v>0.86736842105263168</v>
      </c>
      <c r="K51" s="9">
        <f>IFERROR(VLOOKUP(F51,'05_Master KPI'!$B$5:$G$100,4,FALSE),0)</f>
        <v>15</v>
      </c>
      <c r="L51" s="23">
        <f t="shared" si="0"/>
        <v>13.010526315789475</v>
      </c>
      <c r="M51" s="9" t="str">
        <f>IF(D51="","",IF(J51&gt;='13_Setting'!$H$7,"Tercapai",IF(J51&gt;='13_Setting'!$H$6,"On Track","Tertinggal")))</f>
        <v>On Track</v>
      </c>
      <c r="N51" s="20" t="s">
        <v>212</v>
      </c>
      <c r="O51" s="1"/>
      <c r="P51" s="1"/>
      <c r="Q51" s="1"/>
      <c r="R51" s="1"/>
      <c r="S51" s="1"/>
      <c r="T51" s="1"/>
      <c r="U51" s="1"/>
      <c r="V51" s="1"/>
      <c r="W51" s="1"/>
      <c r="X51" s="1"/>
      <c r="Y51" s="1"/>
      <c r="Z51" s="1"/>
    </row>
    <row r="52" spans="1:26">
      <c r="A52" s="20" t="s">
        <v>3</v>
      </c>
      <c r="B52" s="20">
        <v>2026</v>
      </c>
      <c r="C52" s="21">
        <v>46239</v>
      </c>
      <c r="D52" s="20" t="s">
        <v>98</v>
      </c>
      <c r="E52" s="9" t="str">
        <f>IFERROR(VLOOKUP(D52,'04_Master Karyawan'!$A$5:$F$50,2,FALSE),"")</f>
        <v>Admin AP (Ganti Nama)</v>
      </c>
      <c r="F52" s="20" t="s">
        <v>141</v>
      </c>
      <c r="G52" s="9" t="str">
        <f>IFERROR(VLOOKUP(F52,'05_Master KPI'!$B$5:$G$100,2,FALSE)&amp;" ("&amp;VLOOKUP(F52,'05_Master KPI'!$B$5:$G$100,3,FALSE)&amp;")","")</f>
        <v>Administrasi Lengkap (%)</v>
      </c>
      <c r="H52" s="9">
        <f>IFERROR(IF(B52&lt;&gt;'06_Target KPI'!$B$3,0,IF(VLOOKUP(F52,'05_Master KPI'!$B$5:$G$100,6,FALSE)="Kumulatif",INDEX('06_Target KPI'!$E$5:$P$100,MATCH(F52,'06_Target KPI'!$B$5:$B$100,0),MATCH(A52,'06_Target KPI'!$E$4:$P$4,0))*DAY(C52)/DAY(EOMONTH(C52,0)),INDEX('06_Target KPI'!$E$5:$P$100,MATCH(F52,'06_Target KPI'!$B$5:$B$100,0),MATCH(A52,'06_Target KPI'!$E$4:$P$4,0)))),0)</f>
        <v>100</v>
      </c>
      <c r="I52" s="20">
        <v>86.8</v>
      </c>
      <c r="J52" s="22">
        <f>IFERROR(MIN(IF(VLOOKUP(F52,'05_Master KPI'!$B$5:$G$100,5,FALSE)="Lower",H52/I52,I52/H52),1),0)</f>
        <v>0.86799999999999999</v>
      </c>
      <c r="K52" s="9">
        <f>IFERROR(VLOOKUP(F52,'05_Master KPI'!$B$5:$G$100,4,FALSE),0)</f>
        <v>10</v>
      </c>
      <c r="L52" s="23">
        <f t="shared" si="0"/>
        <v>8.68</v>
      </c>
      <c r="M52" s="9" t="str">
        <f>IF(D52="","",IF(J52&gt;='13_Setting'!$H$7,"Tercapai",IF(J52&gt;='13_Setting'!$H$6,"On Track","Tertinggal")))</f>
        <v>On Track</v>
      </c>
      <c r="N52" s="20" t="s">
        <v>212</v>
      </c>
      <c r="O52" s="1"/>
      <c r="P52" s="1"/>
      <c r="Q52" s="1"/>
      <c r="R52" s="1"/>
      <c r="S52" s="1"/>
      <c r="T52" s="1"/>
      <c r="U52" s="1"/>
      <c r="V52" s="1"/>
      <c r="W52" s="1"/>
      <c r="X52" s="1"/>
      <c r="Y52" s="1"/>
      <c r="Z52" s="1"/>
    </row>
    <row r="53" spans="1:26">
      <c r="A53" s="20"/>
      <c r="B53" s="20"/>
      <c r="C53" s="21"/>
      <c r="D53" s="20"/>
      <c r="E53" s="9" t="str">
        <f>IFERROR(VLOOKUP(D53,'04_Master Karyawan'!$A$5:$F$50,2,FALSE),"")</f>
        <v/>
      </c>
      <c r="F53" s="20"/>
      <c r="G53" s="9" t="str">
        <f>IFERROR(VLOOKUP(F53,'05_Master KPI'!$B$5:$G$100,2,FALSE)&amp;" ("&amp;VLOOKUP(F53,'05_Master KPI'!$B$5:$G$100,3,FALSE)&amp;")","")</f>
        <v/>
      </c>
      <c r="H53" s="9">
        <f>IFERROR(IF(B53&lt;&gt;'06_Target KPI'!$B$3,0,IF(VLOOKUP(F53,'05_Master KPI'!$B$5:$G$100,6,FALSE)="Kumulatif",INDEX('06_Target KPI'!$E$5:$P$100,MATCH(F53,'06_Target KPI'!$B$5:$B$100,0),MATCH(A53,'06_Target KPI'!$E$4:$P$4,0))*DAY(C53)/DAY(EOMONTH(C53,0)),INDEX('06_Target KPI'!$E$5:$P$100,MATCH(F53,'06_Target KPI'!$B$5:$B$100,0),MATCH(A53,'06_Target KPI'!$E$4:$P$4,0)))),0)</f>
        <v>0</v>
      </c>
      <c r="I53" s="20"/>
      <c r="J53" s="22">
        <f>IFERROR(MIN(IF(VLOOKUP(F53,'05_Master KPI'!$B$5:$G$100,5,FALSE)="Lower",H53/I53,I53/H53),1),0)</f>
        <v>0</v>
      </c>
      <c r="K53" s="9">
        <f>IFERROR(VLOOKUP(F53,'05_Master KPI'!$B$5:$G$100,4,FALSE),0)</f>
        <v>0</v>
      </c>
      <c r="L53" s="23">
        <f t="shared" si="0"/>
        <v>0</v>
      </c>
      <c r="M53" s="9" t="str">
        <f>IF(D53="","",IF(J53&gt;='13_Setting'!$H$7,"Tercapai",IF(J53&gt;='13_Setting'!$H$6,"On Track","Tertinggal")))</f>
        <v/>
      </c>
      <c r="N53" s="20"/>
      <c r="O53" s="1"/>
      <c r="P53" s="1"/>
      <c r="Q53" s="1"/>
      <c r="R53" s="1"/>
      <c r="S53" s="1"/>
      <c r="T53" s="1"/>
      <c r="U53" s="1"/>
      <c r="V53" s="1"/>
      <c r="W53" s="1"/>
      <c r="X53" s="1"/>
      <c r="Y53" s="1"/>
      <c r="Z53" s="1"/>
    </row>
    <row r="54" spans="1:26">
      <c r="A54" s="20"/>
      <c r="B54" s="20"/>
      <c r="C54" s="21"/>
      <c r="D54" s="20"/>
      <c r="E54" s="9" t="str">
        <f>IFERROR(VLOOKUP(D54,'04_Master Karyawan'!$A$5:$F$50,2,FALSE),"")</f>
        <v/>
      </c>
      <c r="F54" s="20"/>
      <c r="G54" s="9" t="str">
        <f>IFERROR(VLOOKUP(F54,'05_Master KPI'!$B$5:$G$100,2,FALSE)&amp;" ("&amp;VLOOKUP(F54,'05_Master KPI'!$B$5:$G$100,3,FALSE)&amp;")","")</f>
        <v/>
      </c>
      <c r="H54" s="9">
        <f>IFERROR(IF(B54&lt;&gt;'06_Target KPI'!$B$3,0,IF(VLOOKUP(F54,'05_Master KPI'!$B$5:$G$100,6,FALSE)="Kumulatif",INDEX('06_Target KPI'!$E$5:$P$100,MATCH(F54,'06_Target KPI'!$B$5:$B$100,0),MATCH(A54,'06_Target KPI'!$E$4:$P$4,0))*DAY(C54)/DAY(EOMONTH(C54,0)),INDEX('06_Target KPI'!$E$5:$P$100,MATCH(F54,'06_Target KPI'!$B$5:$B$100,0),MATCH(A54,'06_Target KPI'!$E$4:$P$4,0)))),0)</f>
        <v>0</v>
      </c>
      <c r="I54" s="20"/>
      <c r="J54" s="22">
        <f>IFERROR(MIN(IF(VLOOKUP(F54,'05_Master KPI'!$B$5:$G$100,5,FALSE)="Lower",H54/I54,I54/H54),1),0)</f>
        <v>0</v>
      </c>
      <c r="K54" s="9">
        <f>IFERROR(VLOOKUP(F54,'05_Master KPI'!$B$5:$G$100,4,FALSE),0)</f>
        <v>0</v>
      </c>
      <c r="L54" s="23">
        <f t="shared" si="0"/>
        <v>0</v>
      </c>
      <c r="M54" s="9" t="str">
        <f>IF(D54="","",IF(J54&gt;='13_Setting'!$H$7,"Tercapai",IF(J54&gt;='13_Setting'!$H$6,"On Track","Tertinggal")))</f>
        <v/>
      </c>
      <c r="N54" s="20"/>
      <c r="O54" s="1"/>
      <c r="P54" s="1"/>
      <c r="Q54" s="1"/>
      <c r="R54" s="1"/>
      <c r="S54" s="1"/>
      <c r="T54" s="1"/>
      <c r="U54" s="1"/>
      <c r="V54" s="1"/>
      <c r="W54" s="1"/>
      <c r="X54" s="1"/>
      <c r="Y54" s="1"/>
      <c r="Z54" s="1"/>
    </row>
    <row r="55" spans="1:26">
      <c r="A55" s="20"/>
      <c r="B55" s="20"/>
      <c r="C55" s="21"/>
      <c r="D55" s="20"/>
      <c r="E55" s="9" t="str">
        <f>IFERROR(VLOOKUP(D55,'04_Master Karyawan'!$A$5:$F$50,2,FALSE),"")</f>
        <v/>
      </c>
      <c r="F55" s="20"/>
      <c r="G55" s="9" t="str">
        <f>IFERROR(VLOOKUP(F55,'05_Master KPI'!$B$5:$G$100,2,FALSE)&amp;" ("&amp;VLOOKUP(F55,'05_Master KPI'!$B$5:$G$100,3,FALSE)&amp;")","")</f>
        <v/>
      </c>
      <c r="H55" s="9">
        <f>IFERROR(IF(B55&lt;&gt;'06_Target KPI'!$B$3,0,IF(VLOOKUP(F55,'05_Master KPI'!$B$5:$G$100,6,FALSE)="Kumulatif",INDEX('06_Target KPI'!$E$5:$P$100,MATCH(F55,'06_Target KPI'!$B$5:$B$100,0),MATCH(A55,'06_Target KPI'!$E$4:$P$4,0))*DAY(C55)/DAY(EOMONTH(C55,0)),INDEX('06_Target KPI'!$E$5:$P$100,MATCH(F55,'06_Target KPI'!$B$5:$B$100,0),MATCH(A55,'06_Target KPI'!$E$4:$P$4,0)))),0)</f>
        <v>0</v>
      </c>
      <c r="I55" s="20"/>
      <c r="J55" s="22">
        <f>IFERROR(MIN(IF(VLOOKUP(F55,'05_Master KPI'!$B$5:$G$100,5,FALSE)="Lower",H55/I55,I55/H55),1),0)</f>
        <v>0</v>
      </c>
      <c r="K55" s="9">
        <f>IFERROR(VLOOKUP(F55,'05_Master KPI'!$B$5:$G$100,4,FALSE),0)</f>
        <v>0</v>
      </c>
      <c r="L55" s="23">
        <f t="shared" si="0"/>
        <v>0</v>
      </c>
      <c r="M55" s="9" t="str">
        <f>IF(D55="","",IF(J55&gt;='13_Setting'!$H$7,"Tercapai",IF(J55&gt;='13_Setting'!$H$6,"On Track","Tertinggal")))</f>
        <v/>
      </c>
      <c r="N55" s="20"/>
      <c r="O55" s="1"/>
      <c r="P55" s="1"/>
      <c r="Q55" s="1"/>
      <c r="R55" s="1"/>
      <c r="S55" s="1"/>
      <c r="T55" s="1"/>
      <c r="U55" s="1"/>
      <c r="V55" s="1"/>
      <c r="W55" s="1"/>
      <c r="X55" s="1"/>
      <c r="Y55" s="1"/>
      <c r="Z55" s="1"/>
    </row>
    <row r="56" spans="1:26">
      <c r="A56" s="20"/>
      <c r="B56" s="20"/>
      <c r="C56" s="21"/>
      <c r="D56" s="20"/>
      <c r="E56" s="9" t="str">
        <f>IFERROR(VLOOKUP(D56,'04_Master Karyawan'!$A$5:$F$50,2,FALSE),"")</f>
        <v/>
      </c>
      <c r="F56" s="20"/>
      <c r="G56" s="9" t="str">
        <f>IFERROR(VLOOKUP(F56,'05_Master KPI'!$B$5:$G$100,2,FALSE)&amp;" ("&amp;VLOOKUP(F56,'05_Master KPI'!$B$5:$G$100,3,FALSE)&amp;")","")</f>
        <v/>
      </c>
      <c r="H56" s="9">
        <f>IFERROR(IF(B56&lt;&gt;'06_Target KPI'!$B$3,0,IF(VLOOKUP(F56,'05_Master KPI'!$B$5:$G$100,6,FALSE)="Kumulatif",INDEX('06_Target KPI'!$E$5:$P$100,MATCH(F56,'06_Target KPI'!$B$5:$B$100,0),MATCH(A56,'06_Target KPI'!$E$4:$P$4,0))*DAY(C56)/DAY(EOMONTH(C56,0)),INDEX('06_Target KPI'!$E$5:$P$100,MATCH(F56,'06_Target KPI'!$B$5:$B$100,0),MATCH(A56,'06_Target KPI'!$E$4:$P$4,0)))),0)</f>
        <v>0</v>
      </c>
      <c r="I56" s="20"/>
      <c r="J56" s="22">
        <f>IFERROR(MIN(IF(VLOOKUP(F56,'05_Master KPI'!$B$5:$G$100,5,FALSE)="Lower",H56/I56,I56/H56),1),0)</f>
        <v>0</v>
      </c>
      <c r="K56" s="9">
        <f>IFERROR(VLOOKUP(F56,'05_Master KPI'!$B$5:$G$100,4,FALSE),0)</f>
        <v>0</v>
      </c>
      <c r="L56" s="23">
        <f t="shared" si="0"/>
        <v>0</v>
      </c>
      <c r="M56" s="9" t="str">
        <f>IF(D56="","",IF(J56&gt;='13_Setting'!$H$7,"Tercapai",IF(J56&gt;='13_Setting'!$H$6,"On Track","Tertinggal")))</f>
        <v/>
      </c>
      <c r="N56" s="20"/>
      <c r="O56" s="1"/>
      <c r="P56" s="1"/>
      <c r="Q56" s="1"/>
      <c r="R56" s="1"/>
      <c r="S56" s="1"/>
      <c r="T56" s="1"/>
      <c r="U56" s="1"/>
      <c r="V56" s="1"/>
      <c r="W56" s="1"/>
      <c r="X56" s="1"/>
      <c r="Y56" s="1"/>
      <c r="Z56" s="1"/>
    </row>
    <row r="57" spans="1:26">
      <c r="A57" s="20"/>
      <c r="B57" s="20"/>
      <c r="C57" s="21"/>
      <c r="D57" s="20"/>
      <c r="E57" s="9" t="str">
        <f>IFERROR(VLOOKUP(D57,'04_Master Karyawan'!$A$5:$F$50,2,FALSE),"")</f>
        <v/>
      </c>
      <c r="F57" s="20"/>
      <c r="G57" s="9" t="str">
        <f>IFERROR(VLOOKUP(F57,'05_Master KPI'!$B$5:$G$100,2,FALSE)&amp;" ("&amp;VLOOKUP(F57,'05_Master KPI'!$B$5:$G$100,3,FALSE)&amp;")","")</f>
        <v/>
      </c>
      <c r="H57" s="9">
        <f>IFERROR(IF(B57&lt;&gt;'06_Target KPI'!$B$3,0,IF(VLOOKUP(F57,'05_Master KPI'!$B$5:$G$100,6,FALSE)="Kumulatif",INDEX('06_Target KPI'!$E$5:$P$100,MATCH(F57,'06_Target KPI'!$B$5:$B$100,0),MATCH(A57,'06_Target KPI'!$E$4:$P$4,0))*DAY(C57)/DAY(EOMONTH(C57,0)),INDEX('06_Target KPI'!$E$5:$P$100,MATCH(F57,'06_Target KPI'!$B$5:$B$100,0),MATCH(A57,'06_Target KPI'!$E$4:$P$4,0)))),0)</f>
        <v>0</v>
      </c>
      <c r="I57" s="20"/>
      <c r="J57" s="22">
        <f>IFERROR(MIN(IF(VLOOKUP(F57,'05_Master KPI'!$B$5:$G$100,5,FALSE)="Lower",H57/I57,I57/H57),1),0)</f>
        <v>0</v>
      </c>
      <c r="K57" s="9">
        <f>IFERROR(VLOOKUP(F57,'05_Master KPI'!$B$5:$G$100,4,FALSE),0)</f>
        <v>0</v>
      </c>
      <c r="L57" s="23">
        <f t="shared" si="0"/>
        <v>0</v>
      </c>
      <c r="M57" s="9" t="str">
        <f>IF(D57="","",IF(J57&gt;='13_Setting'!$H$7,"Tercapai",IF(J57&gt;='13_Setting'!$H$6,"On Track","Tertinggal")))</f>
        <v/>
      </c>
      <c r="N57" s="20"/>
      <c r="O57" s="1"/>
      <c r="P57" s="1"/>
      <c r="Q57" s="1"/>
      <c r="R57" s="1"/>
      <c r="S57" s="1"/>
      <c r="T57" s="1"/>
      <c r="U57" s="1"/>
      <c r="V57" s="1"/>
      <c r="W57" s="1"/>
      <c r="X57" s="1"/>
      <c r="Y57" s="1"/>
      <c r="Z57" s="1"/>
    </row>
    <row r="58" spans="1:26">
      <c r="A58" s="20"/>
      <c r="B58" s="20"/>
      <c r="C58" s="21"/>
      <c r="D58" s="20"/>
      <c r="E58" s="9" t="str">
        <f>IFERROR(VLOOKUP(D58,'04_Master Karyawan'!$A$5:$F$50,2,FALSE),"")</f>
        <v/>
      </c>
      <c r="F58" s="20"/>
      <c r="G58" s="9" t="str">
        <f>IFERROR(VLOOKUP(F58,'05_Master KPI'!$B$5:$G$100,2,FALSE)&amp;" ("&amp;VLOOKUP(F58,'05_Master KPI'!$B$5:$G$100,3,FALSE)&amp;")","")</f>
        <v/>
      </c>
      <c r="H58" s="9">
        <f>IFERROR(IF(B58&lt;&gt;'06_Target KPI'!$B$3,0,IF(VLOOKUP(F58,'05_Master KPI'!$B$5:$G$100,6,FALSE)="Kumulatif",INDEX('06_Target KPI'!$E$5:$P$100,MATCH(F58,'06_Target KPI'!$B$5:$B$100,0),MATCH(A58,'06_Target KPI'!$E$4:$P$4,0))*DAY(C58)/DAY(EOMONTH(C58,0)),INDEX('06_Target KPI'!$E$5:$P$100,MATCH(F58,'06_Target KPI'!$B$5:$B$100,0),MATCH(A58,'06_Target KPI'!$E$4:$P$4,0)))),0)</f>
        <v>0</v>
      </c>
      <c r="I58" s="20"/>
      <c r="J58" s="22">
        <f>IFERROR(MIN(IF(VLOOKUP(F58,'05_Master KPI'!$B$5:$G$100,5,FALSE)="Lower",H58/I58,I58/H58),1),0)</f>
        <v>0</v>
      </c>
      <c r="K58" s="9">
        <f>IFERROR(VLOOKUP(F58,'05_Master KPI'!$B$5:$G$100,4,FALSE),0)</f>
        <v>0</v>
      </c>
      <c r="L58" s="23">
        <f t="shared" si="0"/>
        <v>0</v>
      </c>
      <c r="M58" s="9" t="str">
        <f>IF(D58="","",IF(J58&gt;='13_Setting'!$H$7,"Tercapai",IF(J58&gt;='13_Setting'!$H$6,"On Track","Tertinggal")))</f>
        <v/>
      </c>
      <c r="N58" s="20"/>
      <c r="O58" s="1"/>
      <c r="P58" s="1"/>
      <c r="Q58" s="1"/>
      <c r="R58" s="1"/>
      <c r="S58" s="1"/>
      <c r="T58" s="1"/>
      <c r="U58" s="1"/>
      <c r="V58" s="1"/>
      <c r="W58" s="1"/>
      <c r="X58" s="1"/>
      <c r="Y58" s="1"/>
      <c r="Z58" s="1"/>
    </row>
    <row r="59" spans="1:26">
      <c r="A59" s="20"/>
      <c r="B59" s="20"/>
      <c r="C59" s="21"/>
      <c r="D59" s="20"/>
      <c r="E59" s="9" t="str">
        <f>IFERROR(VLOOKUP(D59,'04_Master Karyawan'!$A$5:$F$50,2,FALSE),"")</f>
        <v/>
      </c>
      <c r="F59" s="20"/>
      <c r="G59" s="9" t="str">
        <f>IFERROR(VLOOKUP(F59,'05_Master KPI'!$B$5:$G$100,2,FALSE)&amp;" ("&amp;VLOOKUP(F59,'05_Master KPI'!$B$5:$G$100,3,FALSE)&amp;")","")</f>
        <v/>
      </c>
      <c r="H59" s="9">
        <f>IFERROR(IF(B59&lt;&gt;'06_Target KPI'!$B$3,0,IF(VLOOKUP(F59,'05_Master KPI'!$B$5:$G$100,6,FALSE)="Kumulatif",INDEX('06_Target KPI'!$E$5:$P$100,MATCH(F59,'06_Target KPI'!$B$5:$B$100,0),MATCH(A59,'06_Target KPI'!$E$4:$P$4,0))*DAY(C59)/DAY(EOMONTH(C59,0)),INDEX('06_Target KPI'!$E$5:$P$100,MATCH(F59,'06_Target KPI'!$B$5:$B$100,0),MATCH(A59,'06_Target KPI'!$E$4:$P$4,0)))),0)</f>
        <v>0</v>
      </c>
      <c r="I59" s="20"/>
      <c r="J59" s="22">
        <f>IFERROR(MIN(IF(VLOOKUP(F59,'05_Master KPI'!$B$5:$G$100,5,FALSE)="Lower",H59/I59,I59/H59),1),0)</f>
        <v>0</v>
      </c>
      <c r="K59" s="9">
        <f>IFERROR(VLOOKUP(F59,'05_Master KPI'!$B$5:$G$100,4,FALSE),0)</f>
        <v>0</v>
      </c>
      <c r="L59" s="23">
        <f t="shared" si="0"/>
        <v>0</v>
      </c>
      <c r="M59" s="9" t="str">
        <f>IF(D59="","",IF(J59&gt;='13_Setting'!$H$7,"Tercapai",IF(J59&gt;='13_Setting'!$H$6,"On Track","Tertinggal")))</f>
        <v/>
      </c>
      <c r="N59" s="20"/>
      <c r="O59" s="1"/>
      <c r="P59" s="1"/>
      <c r="Q59" s="1"/>
      <c r="R59" s="1"/>
      <c r="S59" s="1"/>
      <c r="T59" s="1"/>
      <c r="U59" s="1"/>
      <c r="V59" s="1"/>
      <c r="W59" s="1"/>
      <c r="X59" s="1"/>
      <c r="Y59" s="1"/>
      <c r="Z59" s="1"/>
    </row>
    <row r="60" spans="1:26">
      <c r="A60" s="20"/>
      <c r="B60" s="20"/>
      <c r="C60" s="21"/>
      <c r="D60" s="20"/>
      <c r="E60" s="9" t="str">
        <f>IFERROR(VLOOKUP(D60,'04_Master Karyawan'!$A$5:$F$50,2,FALSE),"")</f>
        <v/>
      </c>
      <c r="F60" s="20"/>
      <c r="G60" s="9" t="str">
        <f>IFERROR(VLOOKUP(F60,'05_Master KPI'!$B$5:$G$100,2,FALSE)&amp;" ("&amp;VLOOKUP(F60,'05_Master KPI'!$B$5:$G$100,3,FALSE)&amp;")","")</f>
        <v/>
      </c>
      <c r="H60" s="9">
        <f>IFERROR(IF(B60&lt;&gt;'06_Target KPI'!$B$3,0,IF(VLOOKUP(F60,'05_Master KPI'!$B$5:$G$100,6,FALSE)="Kumulatif",INDEX('06_Target KPI'!$E$5:$P$100,MATCH(F60,'06_Target KPI'!$B$5:$B$100,0),MATCH(A60,'06_Target KPI'!$E$4:$P$4,0))*DAY(C60)/DAY(EOMONTH(C60,0)),INDEX('06_Target KPI'!$E$5:$P$100,MATCH(F60,'06_Target KPI'!$B$5:$B$100,0),MATCH(A60,'06_Target KPI'!$E$4:$P$4,0)))),0)</f>
        <v>0</v>
      </c>
      <c r="I60" s="20"/>
      <c r="J60" s="22">
        <f>IFERROR(MIN(IF(VLOOKUP(F60,'05_Master KPI'!$B$5:$G$100,5,FALSE)="Lower",H60/I60,I60/H60),1),0)</f>
        <v>0</v>
      </c>
      <c r="K60" s="9">
        <f>IFERROR(VLOOKUP(F60,'05_Master KPI'!$B$5:$G$100,4,FALSE),0)</f>
        <v>0</v>
      </c>
      <c r="L60" s="23">
        <f t="shared" si="0"/>
        <v>0</v>
      </c>
      <c r="M60" s="9" t="str">
        <f>IF(D60="","",IF(J60&gt;='13_Setting'!$H$7,"Tercapai",IF(J60&gt;='13_Setting'!$H$6,"On Track","Tertinggal")))</f>
        <v/>
      </c>
      <c r="N60" s="20"/>
      <c r="O60" s="1"/>
      <c r="P60" s="1"/>
      <c r="Q60" s="1"/>
      <c r="R60" s="1"/>
      <c r="S60" s="1"/>
      <c r="T60" s="1"/>
      <c r="U60" s="1"/>
      <c r="V60" s="1"/>
      <c r="W60" s="1"/>
      <c r="X60" s="1"/>
      <c r="Y60" s="1"/>
      <c r="Z60" s="1"/>
    </row>
    <row r="61" spans="1:26">
      <c r="A61" s="20"/>
      <c r="B61" s="20"/>
      <c r="C61" s="21"/>
      <c r="D61" s="20"/>
      <c r="E61" s="9" t="str">
        <f>IFERROR(VLOOKUP(D61,'04_Master Karyawan'!$A$5:$F$50,2,FALSE),"")</f>
        <v/>
      </c>
      <c r="F61" s="20"/>
      <c r="G61" s="9" t="str">
        <f>IFERROR(VLOOKUP(F61,'05_Master KPI'!$B$5:$G$100,2,FALSE)&amp;" ("&amp;VLOOKUP(F61,'05_Master KPI'!$B$5:$G$100,3,FALSE)&amp;")","")</f>
        <v/>
      </c>
      <c r="H61" s="9">
        <f>IFERROR(IF(B61&lt;&gt;'06_Target KPI'!$B$3,0,IF(VLOOKUP(F61,'05_Master KPI'!$B$5:$G$100,6,FALSE)="Kumulatif",INDEX('06_Target KPI'!$E$5:$P$100,MATCH(F61,'06_Target KPI'!$B$5:$B$100,0),MATCH(A61,'06_Target KPI'!$E$4:$P$4,0))*DAY(C61)/DAY(EOMONTH(C61,0)),INDEX('06_Target KPI'!$E$5:$P$100,MATCH(F61,'06_Target KPI'!$B$5:$B$100,0),MATCH(A61,'06_Target KPI'!$E$4:$P$4,0)))),0)</f>
        <v>0</v>
      </c>
      <c r="I61" s="20"/>
      <c r="J61" s="22">
        <f>IFERROR(MIN(IF(VLOOKUP(F61,'05_Master KPI'!$B$5:$G$100,5,FALSE)="Lower",H61/I61,I61/H61),1),0)</f>
        <v>0</v>
      </c>
      <c r="K61" s="9">
        <f>IFERROR(VLOOKUP(F61,'05_Master KPI'!$B$5:$G$100,4,FALSE),0)</f>
        <v>0</v>
      </c>
      <c r="L61" s="23">
        <f t="shared" si="0"/>
        <v>0</v>
      </c>
      <c r="M61" s="9" t="str">
        <f>IF(D61="","",IF(J61&gt;='13_Setting'!$H$7,"Tercapai",IF(J61&gt;='13_Setting'!$H$6,"On Track","Tertinggal")))</f>
        <v/>
      </c>
      <c r="N61" s="20"/>
      <c r="O61" s="1"/>
      <c r="P61" s="1"/>
      <c r="Q61" s="1"/>
      <c r="R61" s="1"/>
      <c r="S61" s="1"/>
      <c r="T61" s="1"/>
      <c r="U61" s="1"/>
      <c r="V61" s="1"/>
      <c r="W61" s="1"/>
      <c r="X61" s="1"/>
      <c r="Y61" s="1"/>
      <c r="Z61" s="1"/>
    </row>
    <row r="62" spans="1:26">
      <c r="A62" s="20"/>
      <c r="B62" s="20"/>
      <c r="C62" s="21"/>
      <c r="D62" s="20"/>
      <c r="E62" s="9" t="str">
        <f>IFERROR(VLOOKUP(D62,'04_Master Karyawan'!$A$5:$F$50,2,FALSE),"")</f>
        <v/>
      </c>
      <c r="F62" s="20"/>
      <c r="G62" s="9" t="str">
        <f>IFERROR(VLOOKUP(F62,'05_Master KPI'!$B$5:$G$100,2,FALSE)&amp;" ("&amp;VLOOKUP(F62,'05_Master KPI'!$B$5:$G$100,3,FALSE)&amp;")","")</f>
        <v/>
      </c>
      <c r="H62" s="9">
        <f>IFERROR(IF(B62&lt;&gt;'06_Target KPI'!$B$3,0,IF(VLOOKUP(F62,'05_Master KPI'!$B$5:$G$100,6,FALSE)="Kumulatif",INDEX('06_Target KPI'!$E$5:$P$100,MATCH(F62,'06_Target KPI'!$B$5:$B$100,0),MATCH(A62,'06_Target KPI'!$E$4:$P$4,0))*DAY(C62)/DAY(EOMONTH(C62,0)),INDEX('06_Target KPI'!$E$5:$P$100,MATCH(F62,'06_Target KPI'!$B$5:$B$100,0),MATCH(A62,'06_Target KPI'!$E$4:$P$4,0)))),0)</f>
        <v>0</v>
      </c>
      <c r="I62" s="20"/>
      <c r="J62" s="22">
        <f>IFERROR(MIN(IF(VLOOKUP(F62,'05_Master KPI'!$B$5:$G$100,5,FALSE)="Lower",H62/I62,I62/H62),1),0)</f>
        <v>0</v>
      </c>
      <c r="K62" s="9">
        <f>IFERROR(VLOOKUP(F62,'05_Master KPI'!$B$5:$G$100,4,FALSE),0)</f>
        <v>0</v>
      </c>
      <c r="L62" s="23">
        <f t="shared" si="0"/>
        <v>0</v>
      </c>
      <c r="M62" s="9" t="str">
        <f>IF(D62="","",IF(J62&gt;='13_Setting'!$H$7,"Tercapai",IF(J62&gt;='13_Setting'!$H$6,"On Track","Tertinggal")))</f>
        <v/>
      </c>
      <c r="N62" s="20"/>
      <c r="O62" s="1"/>
      <c r="P62" s="1"/>
      <c r="Q62" s="1"/>
      <c r="R62" s="1"/>
      <c r="S62" s="1"/>
      <c r="T62" s="1"/>
      <c r="U62" s="1"/>
      <c r="V62" s="1"/>
      <c r="W62" s="1"/>
      <c r="X62" s="1"/>
      <c r="Y62" s="1"/>
      <c r="Z62" s="1"/>
    </row>
    <row r="63" spans="1:26">
      <c r="A63" s="20"/>
      <c r="B63" s="20"/>
      <c r="C63" s="21"/>
      <c r="D63" s="20"/>
      <c r="E63" s="9" t="str">
        <f>IFERROR(VLOOKUP(D63,'04_Master Karyawan'!$A$5:$F$50,2,FALSE),"")</f>
        <v/>
      </c>
      <c r="F63" s="20"/>
      <c r="G63" s="9" t="str">
        <f>IFERROR(VLOOKUP(F63,'05_Master KPI'!$B$5:$G$100,2,FALSE)&amp;" ("&amp;VLOOKUP(F63,'05_Master KPI'!$B$5:$G$100,3,FALSE)&amp;")","")</f>
        <v/>
      </c>
      <c r="H63" s="9">
        <f>IFERROR(IF(B63&lt;&gt;'06_Target KPI'!$B$3,0,IF(VLOOKUP(F63,'05_Master KPI'!$B$5:$G$100,6,FALSE)="Kumulatif",INDEX('06_Target KPI'!$E$5:$P$100,MATCH(F63,'06_Target KPI'!$B$5:$B$100,0),MATCH(A63,'06_Target KPI'!$E$4:$P$4,0))*DAY(C63)/DAY(EOMONTH(C63,0)),INDEX('06_Target KPI'!$E$5:$P$100,MATCH(F63,'06_Target KPI'!$B$5:$B$100,0),MATCH(A63,'06_Target KPI'!$E$4:$P$4,0)))),0)</f>
        <v>0</v>
      </c>
      <c r="I63" s="20"/>
      <c r="J63" s="22">
        <f>IFERROR(MIN(IF(VLOOKUP(F63,'05_Master KPI'!$B$5:$G$100,5,FALSE)="Lower",H63/I63,I63/H63),1),0)</f>
        <v>0</v>
      </c>
      <c r="K63" s="9">
        <f>IFERROR(VLOOKUP(F63,'05_Master KPI'!$B$5:$G$100,4,FALSE),0)</f>
        <v>0</v>
      </c>
      <c r="L63" s="23">
        <f t="shared" si="0"/>
        <v>0</v>
      </c>
      <c r="M63" s="9" t="str">
        <f>IF(D63="","",IF(J63&gt;='13_Setting'!$H$7,"Tercapai",IF(J63&gt;='13_Setting'!$H$6,"On Track","Tertinggal")))</f>
        <v/>
      </c>
      <c r="N63" s="20"/>
      <c r="O63" s="1"/>
      <c r="P63" s="1"/>
      <c r="Q63" s="1"/>
      <c r="R63" s="1"/>
      <c r="S63" s="1"/>
      <c r="T63" s="1"/>
      <c r="U63" s="1"/>
      <c r="V63" s="1"/>
      <c r="W63" s="1"/>
      <c r="X63" s="1"/>
      <c r="Y63" s="1"/>
      <c r="Z63" s="1"/>
    </row>
    <row r="64" spans="1:26">
      <c r="A64" s="20"/>
      <c r="B64" s="20"/>
      <c r="C64" s="21"/>
      <c r="D64" s="20"/>
      <c r="E64" s="9" t="str">
        <f>IFERROR(VLOOKUP(D64,'04_Master Karyawan'!$A$5:$F$50,2,FALSE),"")</f>
        <v/>
      </c>
      <c r="F64" s="20"/>
      <c r="G64" s="9" t="str">
        <f>IFERROR(VLOOKUP(F64,'05_Master KPI'!$B$5:$G$100,2,FALSE)&amp;" ("&amp;VLOOKUP(F64,'05_Master KPI'!$B$5:$G$100,3,FALSE)&amp;")","")</f>
        <v/>
      </c>
      <c r="H64" s="9">
        <f>IFERROR(IF(B64&lt;&gt;'06_Target KPI'!$B$3,0,IF(VLOOKUP(F64,'05_Master KPI'!$B$5:$G$100,6,FALSE)="Kumulatif",INDEX('06_Target KPI'!$E$5:$P$100,MATCH(F64,'06_Target KPI'!$B$5:$B$100,0),MATCH(A64,'06_Target KPI'!$E$4:$P$4,0))*DAY(C64)/DAY(EOMONTH(C64,0)),INDEX('06_Target KPI'!$E$5:$P$100,MATCH(F64,'06_Target KPI'!$B$5:$B$100,0),MATCH(A64,'06_Target KPI'!$E$4:$P$4,0)))),0)</f>
        <v>0</v>
      </c>
      <c r="I64" s="20"/>
      <c r="J64" s="22">
        <f>IFERROR(MIN(IF(VLOOKUP(F64,'05_Master KPI'!$B$5:$G$100,5,FALSE)="Lower",H64/I64,I64/H64),1),0)</f>
        <v>0</v>
      </c>
      <c r="K64" s="9">
        <f>IFERROR(VLOOKUP(F64,'05_Master KPI'!$B$5:$G$100,4,FALSE),0)</f>
        <v>0</v>
      </c>
      <c r="L64" s="23">
        <f t="shared" si="0"/>
        <v>0</v>
      </c>
      <c r="M64" s="9" t="str">
        <f>IF(D64="","",IF(J64&gt;='13_Setting'!$H$7,"Tercapai",IF(J64&gt;='13_Setting'!$H$6,"On Track","Tertinggal")))</f>
        <v/>
      </c>
      <c r="N64" s="20"/>
      <c r="O64" s="1"/>
      <c r="P64" s="1"/>
      <c r="Q64" s="1"/>
      <c r="R64" s="1"/>
      <c r="S64" s="1"/>
      <c r="T64" s="1"/>
      <c r="U64" s="1"/>
      <c r="V64" s="1"/>
      <c r="W64" s="1"/>
      <c r="X64" s="1"/>
      <c r="Y64" s="1"/>
      <c r="Z64" s="1"/>
    </row>
    <row r="65" spans="1:26">
      <c r="A65" s="20"/>
      <c r="B65" s="20"/>
      <c r="C65" s="21"/>
      <c r="D65" s="20"/>
      <c r="E65" s="9" t="str">
        <f>IFERROR(VLOOKUP(D65,'04_Master Karyawan'!$A$5:$F$50,2,FALSE),"")</f>
        <v/>
      </c>
      <c r="F65" s="20"/>
      <c r="G65" s="9" t="str">
        <f>IFERROR(VLOOKUP(F65,'05_Master KPI'!$B$5:$G$100,2,FALSE)&amp;" ("&amp;VLOOKUP(F65,'05_Master KPI'!$B$5:$G$100,3,FALSE)&amp;")","")</f>
        <v/>
      </c>
      <c r="H65" s="9">
        <f>IFERROR(IF(B65&lt;&gt;'06_Target KPI'!$B$3,0,IF(VLOOKUP(F65,'05_Master KPI'!$B$5:$G$100,6,FALSE)="Kumulatif",INDEX('06_Target KPI'!$E$5:$P$100,MATCH(F65,'06_Target KPI'!$B$5:$B$100,0),MATCH(A65,'06_Target KPI'!$E$4:$P$4,0))*DAY(C65)/DAY(EOMONTH(C65,0)),INDEX('06_Target KPI'!$E$5:$P$100,MATCH(F65,'06_Target KPI'!$B$5:$B$100,0),MATCH(A65,'06_Target KPI'!$E$4:$P$4,0)))),0)</f>
        <v>0</v>
      </c>
      <c r="I65" s="20"/>
      <c r="J65" s="22">
        <f>IFERROR(MIN(IF(VLOOKUP(F65,'05_Master KPI'!$B$5:$G$100,5,FALSE)="Lower",H65/I65,I65/H65),1),0)</f>
        <v>0</v>
      </c>
      <c r="K65" s="9">
        <f>IFERROR(VLOOKUP(F65,'05_Master KPI'!$B$5:$G$100,4,FALSE),0)</f>
        <v>0</v>
      </c>
      <c r="L65" s="23">
        <f t="shared" si="0"/>
        <v>0</v>
      </c>
      <c r="M65" s="9" t="str">
        <f>IF(D65="","",IF(J65&gt;='13_Setting'!$H$7,"Tercapai",IF(J65&gt;='13_Setting'!$H$6,"On Track","Tertinggal")))</f>
        <v/>
      </c>
      <c r="N65" s="20"/>
      <c r="O65" s="1"/>
      <c r="P65" s="1"/>
      <c r="Q65" s="1"/>
      <c r="R65" s="1"/>
      <c r="S65" s="1"/>
      <c r="T65" s="1"/>
      <c r="U65" s="1"/>
      <c r="V65" s="1"/>
      <c r="W65" s="1"/>
      <c r="X65" s="1"/>
      <c r="Y65" s="1"/>
      <c r="Z65" s="1"/>
    </row>
    <row r="66" spans="1:26">
      <c r="A66" s="20"/>
      <c r="B66" s="20"/>
      <c r="C66" s="21"/>
      <c r="D66" s="20"/>
      <c r="E66" s="9" t="str">
        <f>IFERROR(VLOOKUP(D66,'04_Master Karyawan'!$A$5:$F$50,2,FALSE),"")</f>
        <v/>
      </c>
      <c r="F66" s="20"/>
      <c r="G66" s="9" t="str">
        <f>IFERROR(VLOOKUP(F66,'05_Master KPI'!$B$5:$G$100,2,FALSE)&amp;" ("&amp;VLOOKUP(F66,'05_Master KPI'!$B$5:$G$100,3,FALSE)&amp;")","")</f>
        <v/>
      </c>
      <c r="H66" s="9">
        <f>IFERROR(IF(B66&lt;&gt;'06_Target KPI'!$B$3,0,IF(VLOOKUP(F66,'05_Master KPI'!$B$5:$G$100,6,FALSE)="Kumulatif",INDEX('06_Target KPI'!$E$5:$P$100,MATCH(F66,'06_Target KPI'!$B$5:$B$100,0),MATCH(A66,'06_Target KPI'!$E$4:$P$4,0))*DAY(C66)/DAY(EOMONTH(C66,0)),INDEX('06_Target KPI'!$E$5:$P$100,MATCH(F66,'06_Target KPI'!$B$5:$B$100,0),MATCH(A66,'06_Target KPI'!$E$4:$P$4,0)))),0)</f>
        <v>0</v>
      </c>
      <c r="I66" s="20"/>
      <c r="J66" s="22">
        <f>IFERROR(MIN(IF(VLOOKUP(F66,'05_Master KPI'!$B$5:$G$100,5,FALSE)="Lower",H66/I66,I66/H66),1),0)</f>
        <v>0</v>
      </c>
      <c r="K66" s="9">
        <f>IFERROR(VLOOKUP(F66,'05_Master KPI'!$B$5:$G$100,4,FALSE),0)</f>
        <v>0</v>
      </c>
      <c r="L66" s="23">
        <f t="shared" si="0"/>
        <v>0</v>
      </c>
      <c r="M66" s="9" t="str">
        <f>IF(D66="","",IF(J66&gt;='13_Setting'!$H$7,"Tercapai",IF(J66&gt;='13_Setting'!$H$6,"On Track","Tertinggal")))</f>
        <v/>
      </c>
      <c r="N66" s="20"/>
      <c r="O66" s="1"/>
      <c r="P66" s="1"/>
      <c r="Q66" s="1"/>
      <c r="R66" s="1"/>
      <c r="S66" s="1"/>
      <c r="T66" s="1"/>
      <c r="U66" s="1"/>
      <c r="V66" s="1"/>
      <c r="W66" s="1"/>
      <c r="X66" s="1"/>
      <c r="Y66" s="1"/>
      <c r="Z66" s="1"/>
    </row>
    <row r="67" spans="1:26">
      <c r="A67" s="20"/>
      <c r="B67" s="20"/>
      <c r="C67" s="21"/>
      <c r="D67" s="20"/>
      <c r="E67" s="9" t="str">
        <f>IFERROR(VLOOKUP(D67,'04_Master Karyawan'!$A$5:$F$50,2,FALSE),"")</f>
        <v/>
      </c>
      <c r="F67" s="20"/>
      <c r="G67" s="9" t="str">
        <f>IFERROR(VLOOKUP(F67,'05_Master KPI'!$B$5:$G$100,2,FALSE)&amp;" ("&amp;VLOOKUP(F67,'05_Master KPI'!$B$5:$G$100,3,FALSE)&amp;")","")</f>
        <v/>
      </c>
      <c r="H67" s="9">
        <f>IFERROR(IF(B67&lt;&gt;'06_Target KPI'!$B$3,0,IF(VLOOKUP(F67,'05_Master KPI'!$B$5:$G$100,6,FALSE)="Kumulatif",INDEX('06_Target KPI'!$E$5:$P$100,MATCH(F67,'06_Target KPI'!$B$5:$B$100,0),MATCH(A67,'06_Target KPI'!$E$4:$P$4,0))*DAY(C67)/DAY(EOMONTH(C67,0)),INDEX('06_Target KPI'!$E$5:$P$100,MATCH(F67,'06_Target KPI'!$B$5:$B$100,0),MATCH(A67,'06_Target KPI'!$E$4:$P$4,0)))),0)</f>
        <v>0</v>
      </c>
      <c r="I67" s="20"/>
      <c r="J67" s="22">
        <f>IFERROR(MIN(IF(VLOOKUP(F67,'05_Master KPI'!$B$5:$G$100,5,FALSE)="Lower",H67/I67,I67/H67),1),0)</f>
        <v>0</v>
      </c>
      <c r="K67" s="9">
        <f>IFERROR(VLOOKUP(F67,'05_Master KPI'!$B$5:$G$100,4,FALSE),0)</f>
        <v>0</v>
      </c>
      <c r="L67" s="23">
        <f t="shared" si="0"/>
        <v>0</v>
      </c>
      <c r="M67" s="9" t="str">
        <f>IF(D67="","",IF(J67&gt;='13_Setting'!$H$7,"Tercapai",IF(J67&gt;='13_Setting'!$H$6,"On Track","Tertinggal")))</f>
        <v/>
      </c>
      <c r="N67" s="20"/>
      <c r="O67" s="1"/>
      <c r="P67" s="1"/>
      <c r="Q67" s="1"/>
      <c r="R67" s="1"/>
      <c r="S67" s="1"/>
      <c r="T67" s="1"/>
      <c r="U67" s="1"/>
      <c r="V67" s="1"/>
      <c r="W67" s="1"/>
      <c r="X67" s="1"/>
      <c r="Y67" s="1"/>
      <c r="Z67" s="1"/>
    </row>
    <row r="68" spans="1:26">
      <c r="A68" s="20"/>
      <c r="B68" s="20"/>
      <c r="C68" s="21"/>
      <c r="D68" s="20"/>
      <c r="E68" s="9" t="str">
        <f>IFERROR(VLOOKUP(D68,'04_Master Karyawan'!$A$5:$F$50,2,FALSE),"")</f>
        <v/>
      </c>
      <c r="F68" s="20"/>
      <c r="G68" s="9" t="str">
        <f>IFERROR(VLOOKUP(F68,'05_Master KPI'!$B$5:$G$100,2,FALSE)&amp;" ("&amp;VLOOKUP(F68,'05_Master KPI'!$B$5:$G$100,3,FALSE)&amp;")","")</f>
        <v/>
      </c>
      <c r="H68" s="9">
        <f>IFERROR(IF(B68&lt;&gt;'06_Target KPI'!$B$3,0,IF(VLOOKUP(F68,'05_Master KPI'!$B$5:$G$100,6,FALSE)="Kumulatif",INDEX('06_Target KPI'!$E$5:$P$100,MATCH(F68,'06_Target KPI'!$B$5:$B$100,0),MATCH(A68,'06_Target KPI'!$E$4:$P$4,0))*DAY(C68)/DAY(EOMONTH(C68,0)),INDEX('06_Target KPI'!$E$5:$P$100,MATCH(F68,'06_Target KPI'!$B$5:$B$100,0),MATCH(A68,'06_Target KPI'!$E$4:$P$4,0)))),0)</f>
        <v>0</v>
      </c>
      <c r="I68" s="20"/>
      <c r="J68" s="22">
        <f>IFERROR(MIN(IF(VLOOKUP(F68,'05_Master KPI'!$B$5:$G$100,5,FALSE)="Lower",H68/I68,I68/H68),1),0)</f>
        <v>0</v>
      </c>
      <c r="K68" s="9">
        <f>IFERROR(VLOOKUP(F68,'05_Master KPI'!$B$5:$G$100,4,FALSE),0)</f>
        <v>0</v>
      </c>
      <c r="L68" s="23">
        <f t="shared" si="0"/>
        <v>0</v>
      </c>
      <c r="M68" s="9" t="str">
        <f>IF(D68="","",IF(J68&gt;='13_Setting'!$H$7,"Tercapai",IF(J68&gt;='13_Setting'!$H$6,"On Track","Tertinggal")))</f>
        <v/>
      </c>
      <c r="N68" s="20"/>
      <c r="O68" s="1"/>
      <c r="P68" s="1"/>
      <c r="Q68" s="1"/>
      <c r="R68" s="1"/>
      <c r="S68" s="1"/>
      <c r="T68" s="1"/>
      <c r="U68" s="1"/>
      <c r="V68" s="1"/>
      <c r="W68" s="1"/>
      <c r="X68" s="1"/>
      <c r="Y68" s="1"/>
      <c r="Z68" s="1"/>
    </row>
    <row r="69" spans="1:26">
      <c r="A69" s="20"/>
      <c r="B69" s="20"/>
      <c r="C69" s="21"/>
      <c r="D69" s="20"/>
      <c r="E69" s="9" t="str">
        <f>IFERROR(VLOOKUP(D69,'04_Master Karyawan'!$A$5:$F$50,2,FALSE),"")</f>
        <v/>
      </c>
      <c r="F69" s="20"/>
      <c r="G69" s="9" t="str">
        <f>IFERROR(VLOOKUP(F69,'05_Master KPI'!$B$5:$G$100,2,FALSE)&amp;" ("&amp;VLOOKUP(F69,'05_Master KPI'!$B$5:$G$100,3,FALSE)&amp;")","")</f>
        <v/>
      </c>
      <c r="H69" s="9">
        <f>IFERROR(IF(B69&lt;&gt;'06_Target KPI'!$B$3,0,IF(VLOOKUP(F69,'05_Master KPI'!$B$5:$G$100,6,FALSE)="Kumulatif",INDEX('06_Target KPI'!$E$5:$P$100,MATCH(F69,'06_Target KPI'!$B$5:$B$100,0),MATCH(A69,'06_Target KPI'!$E$4:$P$4,0))*DAY(C69)/DAY(EOMONTH(C69,0)),INDEX('06_Target KPI'!$E$5:$P$100,MATCH(F69,'06_Target KPI'!$B$5:$B$100,0),MATCH(A69,'06_Target KPI'!$E$4:$P$4,0)))),0)</f>
        <v>0</v>
      </c>
      <c r="I69" s="20"/>
      <c r="J69" s="22">
        <f>IFERROR(MIN(IF(VLOOKUP(F69,'05_Master KPI'!$B$5:$G$100,5,FALSE)="Lower",H69/I69,I69/H69),1),0)</f>
        <v>0</v>
      </c>
      <c r="K69" s="9">
        <f>IFERROR(VLOOKUP(F69,'05_Master KPI'!$B$5:$G$100,4,FALSE),0)</f>
        <v>0</v>
      </c>
      <c r="L69" s="23">
        <f t="shared" ref="L69:L132" si="1">J69*K69</f>
        <v>0</v>
      </c>
      <c r="M69" s="9" t="str">
        <f>IF(D69="","",IF(J69&gt;='13_Setting'!$H$7,"Tercapai",IF(J69&gt;='13_Setting'!$H$6,"On Track","Tertinggal")))</f>
        <v/>
      </c>
      <c r="N69" s="20"/>
      <c r="O69" s="1"/>
      <c r="P69" s="1"/>
      <c r="Q69" s="1"/>
      <c r="R69" s="1"/>
      <c r="S69" s="1"/>
      <c r="T69" s="1"/>
      <c r="U69" s="1"/>
      <c r="V69" s="1"/>
      <c r="W69" s="1"/>
      <c r="X69" s="1"/>
      <c r="Y69" s="1"/>
      <c r="Z69" s="1"/>
    </row>
    <row r="70" spans="1:26">
      <c r="A70" s="20"/>
      <c r="B70" s="20"/>
      <c r="C70" s="21"/>
      <c r="D70" s="20"/>
      <c r="E70" s="9" t="str">
        <f>IFERROR(VLOOKUP(D70,'04_Master Karyawan'!$A$5:$F$50,2,FALSE),"")</f>
        <v/>
      </c>
      <c r="F70" s="20"/>
      <c r="G70" s="9" t="str">
        <f>IFERROR(VLOOKUP(F70,'05_Master KPI'!$B$5:$G$100,2,FALSE)&amp;" ("&amp;VLOOKUP(F70,'05_Master KPI'!$B$5:$G$100,3,FALSE)&amp;")","")</f>
        <v/>
      </c>
      <c r="H70" s="9">
        <f>IFERROR(IF(B70&lt;&gt;'06_Target KPI'!$B$3,0,IF(VLOOKUP(F70,'05_Master KPI'!$B$5:$G$100,6,FALSE)="Kumulatif",INDEX('06_Target KPI'!$E$5:$P$100,MATCH(F70,'06_Target KPI'!$B$5:$B$100,0),MATCH(A70,'06_Target KPI'!$E$4:$P$4,0))*DAY(C70)/DAY(EOMONTH(C70,0)),INDEX('06_Target KPI'!$E$5:$P$100,MATCH(F70,'06_Target KPI'!$B$5:$B$100,0),MATCH(A70,'06_Target KPI'!$E$4:$P$4,0)))),0)</f>
        <v>0</v>
      </c>
      <c r="I70" s="20"/>
      <c r="J70" s="22">
        <f>IFERROR(MIN(IF(VLOOKUP(F70,'05_Master KPI'!$B$5:$G$100,5,FALSE)="Lower",H70/I70,I70/H70),1),0)</f>
        <v>0</v>
      </c>
      <c r="K70" s="9">
        <f>IFERROR(VLOOKUP(F70,'05_Master KPI'!$B$5:$G$100,4,FALSE),0)</f>
        <v>0</v>
      </c>
      <c r="L70" s="23">
        <f t="shared" si="1"/>
        <v>0</v>
      </c>
      <c r="M70" s="9" t="str">
        <f>IF(D70="","",IF(J70&gt;='13_Setting'!$H$7,"Tercapai",IF(J70&gt;='13_Setting'!$H$6,"On Track","Tertinggal")))</f>
        <v/>
      </c>
      <c r="N70" s="20"/>
      <c r="O70" s="1"/>
      <c r="P70" s="1"/>
      <c r="Q70" s="1"/>
      <c r="R70" s="1"/>
      <c r="S70" s="1"/>
      <c r="T70" s="1"/>
      <c r="U70" s="1"/>
      <c r="V70" s="1"/>
      <c r="W70" s="1"/>
      <c r="X70" s="1"/>
      <c r="Y70" s="1"/>
      <c r="Z70" s="1"/>
    </row>
    <row r="71" spans="1:26">
      <c r="A71" s="20"/>
      <c r="B71" s="20"/>
      <c r="C71" s="21"/>
      <c r="D71" s="20"/>
      <c r="E71" s="9" t="str">
        <f>IFERROR(VLOOKUP(D71,'04_Master Karyawan'!$A$5:$F$50,2,FALSE),"")</f>
        <v/>
      </c>
      <c r="F71" s="20"/>
      <c r="G71" s="9" t="str">
        <f>IFERROR(VLOOKUP(F71,'05_Master KPI'!$B$5:$G$100,2,FALSE)&amp;" ("&amp;VLOOKUP(F71,'05_Master KPI'!$B$5:$G$100,3,FALSE)&amp;")","")</f>
        <v/>
      </c>
      <c r="H71" s="9">
        <f>IFERROR(IF(B71&lt;&gt;'06_Target KPI'!$B$3,0,IF(VLOOKUP(F71,'05_Master KPI'!$B$5:$G$100,6,FALSE)="Kumulatif",INDEX('06_Target KPI'!$E$5:$P$100,MATCH(F71,'06_Target KPI'!$B$5:$B$100,0),MATCH(A71,'06_Target KPI'!$E$4:$P$4,0))*DAY(C71)/DAY(EOMONTH(C71,0)),INDEX('06_Target KPI'!$E$5:$P$100,MATCH(F71,'06_Target KPI'!$B$5:$B$100,0),MATCH(A71,'06_Target KPI'!$E$4:$P$4,0)))),0)</f>
        <v>0</v>
      </c>
      <c r="I71" s="20"/>
      <c r="J71" s="22">
        <f>IFERROR(MIN(IF(VLOOKUP(F71,'05_Master KPI'!$B$5:$G$100,5,FALSE)="Lower",H71/I71,I71/H71),1),0)</f>
        <v>0</v>
      </c>
      <c r="K71" s="9">
        <f>IFERROR(VLOOKUP(F71,'05_Master KPI'!$B$5:$G$100,4,FALSE),0)</f>
        <v>0</v>
      </c>
      <c r="L71" s="23">
        <f t="shared" si="1"/>
        <v>0</v>
      </c>
      <c r="M71" s="9" t="str">
        <f>IF(D71="","",IF(J71&gt;='13_Setting'!$H$7,"Tercapai",IF(J71&gt;='13_Setting'!$H$6,"On Track","Tertinggal")))</f>
        <v/>
      </c>
      <c r="N71" s="20"/>
      <c r="O71" s="1"/>
      <c r="P71" s="1"/>
      <c r="Q71" s="1"/>
      <c r="R71" s="1"/>
      <c r="S71" s="1"/>
      <c r="T71" s="1"/>
      <c r="U71" s="1"/>
      <c r="V71" s="1"/>
      <c r="W71" s="1"/>
      <c r="X71" s="1"/>
      <c r="Y71" s="1"/>
      <c r="Z71" s="1"/>
    </row>
    <row r="72" spans="1:26">
      <c r="A72" s="20"/>
      <c r="B72" s="20"/>
      <c r="C72" s="21"/>
      <c r="D72" s="20"/>
      <c r="E72" s="9" t="str">
        <f>IFERROR(VLOOKUP(D72,'04_Master Karyawan'!$A$5:$F$50,2,FALSE),"")</f>
        <v/>
      </c>
      <c r="F72" s="20"/>
      <c r="G72" s="9" t="str">
        <f>IFERROR(VLOOKUP(F72,'05_Master KPI'!$B$5:$G$100,2,FALSE)&amp;" ("&amp;VLOOKUP(F72,'05_Master KPI'!$B$5:$G$100,3,FALSE)&amp;")","")</f>
        <v/>
      </c>
      <c r="H72" s="9">
        <f>IFERROR(IF(B72&lt;&gt;'06_Target KPI'!$B$3,0,IF(VLOOKUP(F72,'05_Master KPI'!$B$5:$G$100,6,FALSE)="Kumulatif",INDEX('06_Target KPI'!$E$5:$P$100,MATCH(F72,'06_Target KPI'!$B$5:$B$100,0),MATCH(A72,'06_Target KPI'!$E$4:$P$4,0))*DAY(C72)/DAY(EOMONTH(C72,0)),INDEX('06_Target KPI'!$E$5:$P$100,MATCH(F72,'06_Target KPI'!$B$5:$B$100,0),MATCH(A72,'06_Target KPI'!$E$4:$P$4,0)))),0)</f>
        <v>0</v>
      </c>
      <c r="I72" s="20"/>
      <c r="J72" s="22">
        <f>IFERROR(MIN(IF(VLOOKUP(F72,'05_Master KPI'!$B$5:$G$100,5,FALSE)="Lower",H72/I72,I72/H72),1),0)</f>
        <v>0</v>
      </c>
      <c r="K72" s="9">
        <f>IFERROR(VLOOKUP(F72,'05_Master KPI'!$B$5:$G$100,4,FALSE),0)</f>
        <v>0</v>
      </c>
      <c r="L72" s="23">
        <f t="shared" si="1"/>
        <v>0</v>
      </c>
      <c r="M72" s="9" t="str">
        <f>IF(D72="","",IF(J72&gt;='13_Setting'!$H$7,"Tercapai",IF(J72&gt;='13_Setting'!$H$6,"On Track","Tertinggal")))</f>
        <v/>
      </c>
      <c r="N72" s="20"/>
      <c r="O72" s="1"/>
      <c r="P72" s="1"/>
      <c r="Q72" s="1"/>
      <c r="R72" s="1"/>
      <c r="S72" s="1"/>
      <c r="T72" s="1"/>
      <c r="U72" s="1"/>
      <c r="V72" s="1"/>
      <c r="W72" s="1"/>
      <c r="X72" s="1"/>
      <c r="Y72" s="1"/>
      <c r="Z72" s="1"/>
    </row>
    <row r="73" spans="1:26">
      <c r="A73" s="20"/>
      <c r="B73" s="20"/>
      <c r="C73" s="21"/>
      <c r="D73" s="20"/>
      <c r="E73" s="9" t="str">
        <f>IFERROR(VLOOKUP(D73,'04_Master Karyawan'!$A$5:$F$50,2,FALSE),"")</f>
        <v/>
      </c>
      <c r="F73" s="20"/>
      <c r="G73" s="9" t="str">
        <f>IFERROR(VLOOKUP(F73,'05_Master KPI'!$B$5:$G$100,2,FALSE)&amp;" ("&amp;VLOOKUP(F73,'05_Master KPI'!$B$5:$G$100,3,FALSE)&amp;")","")</f>
        <v/>
      </c>
      <c r="H73" s="9">
        <f>IFERROR(IF(B73&lt;&gt;'06_Target KPI'!$B$3,0,IF(VLOOKUP(F73,'05_Master KPI'!$B$5:$G$100,6,FALSE)="Kumulatif",INDEX('06_Target KPI'!$E$5:$P$100,MATCH(F73,'06_Target KPI'!$B$5:$B$100,0),MATCH(A73,'06_Target KPI'!$E$4:$P$4,0))*DAY(C73)/DAY(EOMONTH(C73,0)),INDEX('06_Target KPI'!$E$5:$P$100,MATCH(F73,'06_Target KPI'!$B$5:$B$100,0),MATCH(A73,'06_Target KPI'!$E$4:$P$4,0)))),0)</f>
        <v>0</v>
      </c>
      <c r="I73" s="20"/>
      <c r="J73" s="22">
        <f>IFERROR(MIN(IF(VLOOKUP(F73,'05_Master KPI'!$B$5:$G$100,5,FALSE)="Lower",H73/I73,I73/H73),1),0)</f>
        <v>0</v>
      </c>
      <c r="K73" s="9">
        <f>IFERROR(VLOOKUP(F73,'05_Master KPI'!$B$5:$G$100,4,FALSE),0)</f>
        <v>0</v>
      </c>
      <c r="L73" s="23">
        <f t="shared" si="1"/>
        <v>0</v>
      </c>
      <c r="M73" s="9" t="str">
        <f>IF(D73="","",IF(J73&gt;='13_Setting'!$H$7,"Tercapai",IF(J73&gt;='13_Setting'!$H$6,"On Track","Tertinggal")))</f>
        <v/>
      </c>
      <c r="N73" s="20"/>
      <c r="O73" s="1"/>
      <c r="P73" s="1"/>
      <c r="Q73" s="1"/>
      <c r="R73" s="1"/>
      <c r="S73" s="1"/>
      <c r="T73" s="1"/>
      <c r="U73" s="1"/>
      <c r="V73" s="1"/>
      <c r="W73" s="1"/>
      <c r="X73" s="1"/>
      <c r="Y73" s="1"/>
      <c r="Z73" s="1"/>
    </row>
    <row r="74" spans="1:26">
      <c r="A74" s="20"/>
      <c r="B74" s="20"/>
      <c r="C74" s="21"/>
      <c r="D74" s="20"/>
      <c r="E74" s="9" t="str">
        <f>IFERROR(VLOOKUP(D74,'04_Master Karyawan'!$A$5:$F$50,2,FALSE),"")</f>
        <v/>
      </c>
      <c r="F74" s="20"/>
      <c r="G74" s="9" t="str">
        <f>IFERROR(VLOOKUP(F74,'05_Master KPI'!$B$5:$G$100,2,FALSE)&amp;" ("&amp;VLOOKUP(F74,'05_Master KPI'!$B$5:$G$100,3,FALSE)&amp;")","")</f>
        <v/>
      </c>
      <c r="H74" s="9">
        <f>IFERROR(IF(B74&lt;&gt;'06_Target KPI'!$B$3,0,IF(VLOOKUP(F74,'05_Master KPI'!$B$5:$G$100,6,FALSE)="Kumulatif",INDEX('06_Target KPI'!$E$5:$P$100,MATCH(F74,'06_Target KPI'!$B$5:$B$100,0),MATCH(A74,'06_Target KPI'!$E$4:$P$4,0))*DAY(C74)/DAY(EOMONTH(C74,0)),INDEX('06_Target KPI'!$E$5:$P$100,MATCH(F74,'06_Target KPI'!$B$5:$B$100,0),MATCH(A74,'06_Target KPI'!$E$4:$P$4,0)))),0)</f>
        <v>0</v>
      </c>
      <c r="I74" s="20"/>
      <c r="J74" s="22">
        <f>IFERROR(MIN(IF(VLOOKUP(F74,'05_Master KPI'!$B$5:$G$100,5,FALSE)="Lower",H74/I74,I74/H74),1),0)</f>
        <v>0</v>
      </c>
      <c r="K74" s="9">
        <f>IFERROR(VLOOKUP(F74,'05_Master KPI'!$B$5:$G$100,4,FALSE),0)</f>
        <v>0</v>
      </c>
      <c r="L74" s="23">
        <f t="shared" si="1"/>
        <v>0</v>
      </c>
      <c r="M74" s="9" t="str">
        <f>IF(D74="","",IF(J74&gt;='13_Setting'!$H$7,"Tercapai",IF(J74&gt;='13_Setting'!$H$6,"On Track","Tertinggal")))</f>
        <v/>
      </c>
      <c r="N74" s="20"/>
      <c r="O74" s="1"/>
      <c r="P74" s="1"/>
      <c r="Q74" s="1"/>
      <c r="R74" s="1"/>
      <c r="S74" s="1"/>
      <c r="T74" s="1"/>
      <c r="U74" s="1"/>
      <c r="V74" s="1"/>
      <c r="W74" s="1"/>
      <c r="X74" s="1"/>
      <c r="Y74" s="1"/>
      <c r="Z74" s="1"/>
    </row>
    <row r="75" spans="1:26">
      <c r="A75" s="20"/>
      <c r="B75" s="20"/>
      <c r="C75" s="21"/>
      <c r="D75" s="20"/>
      <c r="E75" s="9" t="str">
        <f>IFERROR(VLOOKUP(D75,'04_Master Karyawan'!$A$5:$F$50,2,FALSE),"")</f>
        <v/>
      </c>
      <c r="F75" s="20"/>
      <c r="G75" s="9" t="str">
        <f>IFERROR(VLOOKUP(F75,'05_Master KPI'!$B$5:$G$100,2,FALSE)&amp;" ("&amp;VLOOKUP(F75,'05_Master KPI'!$B$5:$G$100,3,FALSE)&amp;")","")</f>
        <v/>
      </c>
      <c r="H75" s="9">
        <f>IFERROR(IF(B75&lt;&gt;'06_Target KPI'!$B$3,0,IF(VLOOKUP(F75,'05_Master KPI'!$B$5:$G$100,6,FALSE)="Kumulatif",INDEX('06_Target KPI'!$E$5:$P$100,MATCH(F75,'06_Target KPI'!$B$5:$B$100,0),MATCH(A75,'06_Target KPI'!$E$4:$P$4,0))*DAY(C75)/DAY(EOMONTH(C75,0)),INDEX('06_Target KPI'!$E$5:$P$100,MATCH(F75,'06_Target KPI'!$B$5:$B$100,0),MATCH(A75,'06_Target KPI'!$E$4:$P$4,0)))),0)</f>
        <v>0</v>
      </c>
      <c r="I75" s="20"/>
      <c r="J75" s="22">
        <f>IFERROR(MIN(IF(VLOOKUP(F75,'05_Master KPI'!$B$5:$G$100,5,FALSE)="Lower",H75/I75,I75/H75),1),0)</f>
        <v>0</v>
      </c>
      <c r="K75" s="9">
        <f>IFERROR(VLOOKUP(F75,'05_Master KPI'!$B$5:$G$100,4,FALSE),0)</f>
        <v>0</v>
      </c>
      <c r="L75" s="23">
        <f t="shared" si="1"/>
        <v>0</v>
      </c>
      <c r="M75" s="9" t="str">
        <f>IF(D75="","",IF(J75&gt;='13_Setting'!$H$7,"Tercapai",IF(J75&gt;='13_Setting'!$H$6,"On Track","Tertinggal")))</f>
        <v/>
      </c>
      <c r="N75" s="20"/>
      <c r="O75" s="1"/>
      <c r="P75" s="1"/>
      <c r="Q75" s="1"/>
      <c r="R75" s="1"/>
      <c r="S75" s="1"/>
      <c r="T75" s="1"/>
      <c r="U75" s="1"/>
      <c r="V75" s="1"/>
      <c r="W75" s="1"/>
      <c r="X75" s="1"/>
      <c r="Y75" s="1"/>
      <c r="Z75" s="1"/>
    </row>
    <row r="76" spans="1:26">
      <c r="A76" s="20"/>
      <c r="B76" s="20"/>
      <c r="C76" s="21"/>
      <c r="D76" s="20"/>
      <c r="E76" s="9" t="str">
        <f>IFERROR(VLOOKUP(D76,'04_Master Karyawan'!$A$5:$F$50,2,FALSE),"")</f>
        <v/>
      </c>
      <c r="F76" s="20"/>
      <c r="G76" s="9" t="str">
        <f>IFERROR(VLOOKUP(F76,'05_Master KPI'!$B$5:$G$100,2,FALSE)&amp;" ("&amp;VLOOKUP(F76,'05_Master KPI'!$B$5:$G$100,3,FALSE)&amp;")","")</f>
        <v/>
      </c>
      <c r="H76" s="9">
        <f>IFERROR(IF(B76&lt;&gt;'06_Target KPI'!$B$3,0,IF(VLOOKUP(F76,'05_Master KPI'!$B$5:$G$100,6,FALSE)="Kumulatif",INDEX('06_Target KPI'!$E$5:$P$100,MATCH(F76,'06_Target KPI'!$B$5:$B$100,0),MATCH(A76,'06_Target KPI'!$E$4:$P$4,0))*DAY(C76)/DAY(EOMONTH(C76,0)),INDEX('06_Target KPI'!$E$5:$P$100,MATCH(F76,'06_Target KPI'!$B$5:$B$100,0),MATCH(A76,'06_Target KPI'!$E$4:$P$4,0)))),0)</f>
        <v>0</v>
      </c>
      <c r="I76" s="20"/>
      <c r="J76" s="22">
        <f>IFERROR(MIN(IF(VLOOKUP(F76,'05_Master KPI'!$B$5:$G$100,5,FALSE)="Lower",H76/I76,I76/H76),1),0)</f>
        <v>0</v>
      </c>
      <c r="K76" s="9">
        <f>IFERROR(VLOOKUP(F76,'05_Master KPI'!$B$5:$G$100,4,FALSE),0)</f>
        <v>0</v>
      </c>
      <c r="L76" s="23">
        <f t="shared" si="1"/>
        <v>0</v>
      </c>
      <c r="M76" s="9" t="str">
        <f>IF(D76="","",IF(J76&gt;='13_Setting'!$H$7,"Tercapai",IF(J76&gt;='13_Setting'!$H$6,"On Track","Tertinggal")))</f>
        <v/>
      </c>
      <c r="N76" s="20"/>
      <c r="O76" s="1"/>
      <c r="P76" s="1"/>
      <c r="Q76" s="1"/>
      <c r="R76" s="1"/>
      <c r="S76" s="1"/>
      <c r="T76" s="1"/>
      <c r="U76" s="1"/>
      <c r="V76" s="1"/>
      <c r="W76" s="1"/>
      <c r="X76" s="1"/>
      <c r="Y76" s="1"/>
      <c r="Z76" s="1"/>
    </row>
    <row r="77" spans="1:26">
      <c r="A77" s="20"/>
      <c r="B77" s="20"/>
      <c r="C77" s="21"/>
      <c r="D77" s="20"/>
      <c r="E77" s="9" t="str">
        <f>IFERROR(VLOOKUP(D77,'04_Master Karyawan'!$A$5:$F$50,2,FALSE),"")</f>
        <v/>
      </c>
      <c r="F77" s="20"/>
      <c r="G77" s="9" t="str">
        <f>IFERROR(VLOOKUP(F77,'05_Master KPI'!$B$5:$G$100,2,FALSE)&amp;" ("&amp;VLOOKUP(F77,'05_Master KPI'!$B$5:$G$100,3,FALSE)&amp;")","")</f>
        <v/>
      </c>
      <c r="H77" s="9">
        <f>IFERROR(IF(B77&lt;&gt;'06_Target KPI'!$B$3,0,IF(VLOOKUP(F77,'05_Master KPI'!$B$5:$G$100,6,FALSE)="Kumulatif",INDEX('06_Target KPI'!$E$5:$P$100,MATCH(F77,'06_Target KPI'!$B$5:$B$100,0),MATCH(A77,'06_Target KPI'!$E$4:$P$4,0))*DAY(C77)/DAY(EOMONTH(C77,0)),INDEX('06_Target KPI'!$E$5:$P$100,MATCH(F77,'06_Target KPI'!$B$5:$B$100,0),MATCH(A77,'06_Target KPI'!$E$4:$P$4,0)))),0)</f>
        <v>0</v>
      </c>
      <c r="I77" s="20"/>
      <c r="J77" s="22">
        <f>IFERROR(MIN(IF(VLOOKUP(F77,'05_Master KPI'!$B$5:$G$100,5,FALSE)="Lower",H77/I77,I77/H77),1),0)</f>
        <v>0</v>
      </c>
      <c r="K77" s="9">
        <f>IFERROR(VLOOKUP(F77,'05_Master KPI'!$B$5:$G$100,4,FALSE),0)</f>
        <v>0</v>
      </c>
      <c r="L77" s="23">
        <f t="shared" si="1"/>
        <v>0</v>
      </c>
      <c r="M77" s="9" t="str">
        <f>IF(D77="","",IF(J77&gt;='13_Setting'!$H$7,"Tercapai",IF(J77&gt;='13_Setting'!$H$6,"On Track","Tertinggal")))</f>
        <v/>
      </c>
      <c r="N77" s="20"/>
      <c r="O77" s="1"/>
      <c r="P77" s="1"/>
      <c r="Q77" s="1"/>
      <c r="R77" s="1"/>
      <c r="S77" s="1"/>
      <c r="T77" s="1"/>
      <c r="U77" s="1"/>
      <c r="V77" s="1"/>
      <c r="W77" s="1"/>
      <c r="X77" s="1"/>
      <c r="Y77" s="1"/>
      <c r="Z77" s="1"/>
    </row>
    <row r="78" spans="1:26">
      <c r="A78" s="20"/>
      <c r="B78" s="20"/>
      <c r="C78" s="21"/>
      <c r="D78" s="20"/>
      <c r="E78" s="9" t="str">
        <f>IFERROR(VLOOKUP(D78,'04_Master Karyawan'!$A$5:$F$50,2,FALSE),"")</f>
        <v/>
      </c>
      <c r="F78" s="20"/>
      <c r="G78" s="9" t="str">
        <f>IFERROR(VLOOKUP(F78,'05_Master KPI'!$B$5:$G$100,2,FALSE)&amp;" ("&amp;VLOOKUP(F78,'05_Master KPI'!$B$5:$G$100,3,FALSE)&amp;")","")</f>
        <v/>
      </c>
      <c r="H78" s="9">
        <f>IFERROR(IF(B78&lt;&gt;'06_Target KPI'!$B$3,0,IF(VLOOKUP(F78,'05_Master KPI'!$B$5:$G$100,6,FALSE)="Kumulatif",INDEX('06_Target KPI'!$E$5:$P$100,MATCH(F78,'06_Target KPI'!$B$5:$B$100,0),MATCH(A78,'06_Target KPI'!$E$4:$P$4,0))*DAY(C78)/DAY(EOMONTH(C78,0)),INDEX('06_Target KPI'!$E$5:$P$100,MATCH(F78,'06_Target KPI'!$B$5:$B$100,0),MATCH(A78,'06_Target KPI'!$E$4:$P$4,0)))),0)</f>
        <v>0</v>
      </c>
      <c r="I78" s="20"/>
      <c r="J78" s="22">
        <f>IFERROR(MIN(IF(VLOOKUP(F78,'05_Master KPI'!$B$5:$G$100,5,FALSE)="Lower",H78/I78,I78/H78),1),0)</f>
        <v>0</v>
      </c>
      <c r="K78" s="9">
        <f>IFERROR(VLOOKUP(F78,'05_Master KPI'!$B$5:$G$100,4,FALSE),0)</f>
        <v>0</v>
      </c>
      <c r="L78" s="23">
        <f t="shared" si="1"/>
        <v>0</v>
      </c>
      <c r="M78" s="9" t="str">
        <f>IF(D78="","",IF(J78&gt;='13_Setting'!$H$7,"Tercapai",IF(J78&gt;='13_Setting'!$H$6,"On Track","Tertinggal")))</f>
        <v/>
      </c>
      <c r="N78" s="20"/>
      <c r="O78" s="1"/>
      <c r="P78" s="1"/>
      <c r="Q78" s="1"/>
      <c r="R78" s="1"/>
      <c r="S78" s="1"/>
      <c r="T78" s="1"/>
      <c r="U78" s="1"/>
      <c r="V78" s="1"/>
      <c r="W78" s="1"/>
      <c r="X78" s="1"/>
      <c r="Y78" s="1"/>
      <c r="Z78" s="1"/>
    </row>
    <row r="79" spans="1:26">
      <c r="A79" s="20"/>
      <c r="B79" s="20"/>
      <c r="C79" s="21"/>
      <c r="D79" s="20"/>
      <c r="E79" s="9" t="str">
        <f>IFERROR(VLOOKUP(D79,'04_Master Karyawan'!$A$5:$F$50,2,FALSE),"")</f>
        <v/>
      </c>
      <c r="F79" s="20"/>
      <c r="G79" s="9" t="str">
        <f>IFERROR(VLOOKUP(F79,'05_Master KPI'!$B$5:$G$100,2,FALSE)&amp;" ("&amp;VLOOKUP(F79,'05_Master KPI'!$B$5:$G$100,3,FALSE)&amp;")","")</f>
        <v/>
      </c>
      <c r="H79" s="9">
        <f>IFERROR(IF(B79&lt;&gt;'06_Target KPI'!$B$3,0,IF(VLOOKUP(F79,'05_Master KPI'!$B$5:$G$100,6,FALSE)="Kumulatif",INDEX('06_Target KPI'!$E$5:$P$100,MATCH(F79,'06_Target KPI'!$B$5:$B$100,0),MATCH(A79,'06_Target KPI'!$E$4:$P$4,0))*DAY(C79)/DAY(EOMONTH(C79,0)),INDEX('06_Target KPI'!$E$5:$P$100,MATCH(F79,'06_Target KPI'!$B$5:$B$100,0),MATCH(A79,'06_Target KPI'!$E$4:$P$4,0)))),0)</f>
        <v>0</v>
      </c>
      <c r="I79" s="20"/>
      <c r="J79" s="22">
        <f>IFERROR(MIN(IF(VLOOKUP(F79,'05_Master KPI'!$B$5:$G$100,5,FALSE)="Lower",H79/I79,I79/H79),1),0)</f>
        <v>0</v>
      </c>
      <c r="K79" s="9">
        <f>IFERROR(VLOOKUP(F79,'05_Master KPI'!$B$5:$G$100,4,FALSE),0)</f>
        <v>0</v>
      </c>
      <c r="L79" s="23">
        <f t="shared" si="1"/>
        <v>0</v>
      </c>
      <c r="M79" s="9" t="str">
        <f>IF(D79="","",IF(J79&gt;='13_Setting'!$H$7,"Tercapai",IF(J79&gt;='13_Setting'!$H$6,"On Track","Tertinggal")))</f>
        <v/>
      </c>
      <c r="N79" s="20"/>
      <c r="O79" s="1"/>
      <c r="P79" s="1"/>
      <c r="Q79" s="1"/>
      <c r="R79" s="1"/>
      <c r="S79" s="1"/>
      <c r="T79" s="1"/>
      <c r="U79" s="1"/>
      <c r="V79" s="1"/>
      <c r="W79" s="1"/>
      <c r="X79" s="1"/>
      <c r="Y79" s="1"/>
      <c r="Z79" s="1"/>
    </row>
    <row r="80" spans="1:26">
      <c r="A80" s="20"/>
      <c r="B80" s="20"/>
      <c r="C80" s="21"/>
      <c r="D80" s="20"/>
      <c r="E80" s="9" t="str">
        <f>IFERROR(VLOOKUP(D80,'04_Master Karyawan'!$A$5:$F$50,2,FALSE),"")</f>
        <v/>
      </c>
      <c r="F80" s="20"/>
      <c r="G80" s="9" t="str">
        <f>IFERROR(VLOOKUP(F80,'05_Master KPI'!$B$5:$G$100,2,FALSE)&amp;" ("&amp;VLOOKUP(F80,'05_Master KPI'!$B$5:$G$100,3,FALSE)&amp;")","")</f>
        <v/>
      </c>
      <c r="H80" s="9">
        <f>IFERROR(IF(B80&lt;&gt;'06_Target KPI'!$B$3,0,IF(VLOOKUP(F80,'05_Master KPI'!$B$5:$G$100,6,FALSE)="Kumulatif",INDEX('06_Target KPI'!$E$5:$P$100,MATCH(F80,'06_Target KPI'!$B$5:$B$100,0),MATCH(A80,'06_Target KPI'!$E$4:$P$4,0))*DAY(C80)/DAY(EOMONTH(C80,0)),INDEX('06_Target KPI'!$E$5:$P$100,MATCH(F80,'06_Target KPI'!$B$5:$B$100,0),MATCH(A80,'06_Target KPI'!$E$4:$P$4,0)))),0)</f>
        <v>0</v>
      </c>
      <c r="I80" s="20"/>
      <c r="J80" s="22">
        <f>IFERROR(MIN(IF(VLOOKUP(F80,'05_Master KPI'!$B$5:$G$100,5,FALSE)="Lower",H80/I80,I80/H80),1),0)</f>
        <v>0</v>
      </c>
      <c r="K80" s="9">
        <f>IFERROR(VLOOKUP(F80,'05_Master KPI'!$B$5:$G$100,4,FALSE),0)</f>
        <v>0</v>
      </c>
      <c r="L80" s="23">
        <f t="shared" si="1"/>
        <v>0</v>
      </c>
      <c r="M80" s="9" t="str">
        <f>IF(D80="","",IF(J80&gt;='13_Setting'!$H$7,"Tercapai",IF(J80&gt;='13_Setting'!$H$6,"On Track","Tertinggal")))</f>
        <v/>
      </c>
      <c r="N80" s="20"/>
      <c r="O80" s="1"/>
      <c r="P80" s="1"/>
      <c r="Q80" s="1"/>
      <c r="R80" s="1"/>
      <c r="S80" s="1"/>
      <c r="T80" s="1"/>
      <c r="U80" s="1"/>
      <c r="V80" s="1"/>
      <c r="W80" s="1"/>
      <c r="X80" s="1"/>
      <c r="Y80" s="1"/>
      <c r="Z80" s="1"/>
    </row>
    <row r="81" spans="1:14">
      <c r="A81" s="24"/>
      <c r="B81" s="24"/>
      <c r="C81" s="25"/>
      <c r="D81" s="24"/>
      <c r="E81" s="26" t="str">
        <f>IFERROR(VLOOKUP(D81,'04_Master Karyawan'!$A$5:$F$50,2,FALSE),"")</f>
        <v/>
      </c>
      <c r="F81" s="24"/>
      <c r="G81" s="26" t="str">
        <f>IFERROR(VLOOKUP(F81,'05_Master KPI'!$B$5:$G$100,2,FALSE)&amp;" ("&amp;VLOOKUP(F81,'05_Master KPI'!$B$5:$G$100,3,FALSE)&amp;")","")</f>
        <v/>
      </c>
      <c r="H81" s="26">
        <f>IFERROR(IF(B81&lt;&gt;'06_Target KPI'!$B$3,0,IF(VLOOKUP(F81,'05_Master KPI'!$B$5:$G$100,6,FALSE)="Kumulatif",INDEX('06_Target KPI'!$E$5:$P$100,MATCH(F81,'06_Target KPI'!$B$5:$B$100,0),MATCH(A81,'06_Target KPI'!$E$4:$P$4,0))*DAY(C81)/DAY(EOMONTH(C81,0)),INDEX('06_Target KPI'!$E$5:$P$100,MATCH(F81,'06_Target KPI'!$B$5:$B$100,0),MATCH(A81,'06_Target KPI'!$E$4:$P$4,0)))),0)</f>
        <v>0</v>
      </c>
      <c r="I81" s="24"/>
      <c r="J81" s="27">
        <f>IFERROR(MIN(IF(VLOOKUP(F81,'05_Master KPI'!$B$5:$G$100,5,FALSE)="Lower",H81/I81,I81/H81),1),0)</f>
        <v>0</v>
      </c>
      <c r="K81" s="26">
        <f>IFERROR(VLOOKUP(F81,'05_Master KPI'!$B$5:$G$100,4,FALSE),0)</f>
        <v>0</v>
      </c>
      <c r="L81" s="28">
        <f t="shared" si="1"/>
        <v>0</v>
      </c>
      <c r="M81" s="26" t="str">
        <f>IF(D81="","",IF(J81&gt;='13_Setting'!$H$7,"Tercapai",IF(J81&gt;='13_Setting'!$H$6,"On Track","Tertinggal")))</f>
        <v/>
      </c>
      <c r="N81" s="24"/>
    </row>
    <row r="82" spans="1:14">
      <c r="A82" s="24"/>
      <c r="B82" s="24"/>
      <c r="C82" s="25"/>
      <c r="D82" s="24"/>
      <c r="E82" s="26" t="str">
        <f>IFERROR(VLOOKUP(D82,'04_Master Karyawan'!$A$5:$F$50,2,FALSE),"")</f>
        <v/>
      </c>
      <c r="F82" s="24"/>
      <c r="G82" s="26" t="str">
        <f>IFERROR(VLOOKUP(F82,'05_Master KPI'!$B$5:$G$100,2,FALSE)&amp;" ("&amp;VLOOKUP(F82,'05_Master KPI'!$B$5:$G$100,3,FALSE)&amp;")","")</f>
        <v/>
      </c>
      <c r="H82" s="26">
        <f>IFERROR(IF(B82&lt;&gt;'06_Target KPI'!$B$3,0,IF(VLOOKUP(F82,'05_Master KPI'!$B$5:$G$100,6,FALSE)="Kumulatif",INDEX('06_Target KPI'!$E$5:$P$100,MATCH(F82,'06_Target KPI'!$B$5:$B$100,0),MATCH(A82,'06_Target KPI'!$E$4:$P$4,0))*DAY(C82)/DAY(EOMONTH(C82,0)),INDEX('06_Target KPI'!$E$5:$P$100,MATCH(F82,'06_Target KPI'!$B$5:$B$100,0),MATCH(A82,'06_Target KPI'!$E$4:$P$4,0)))),0)</f>
        <v>0</v>
      </c>
      <c r="I82" s="24"/>
      <c r="J82" s="27">
        <f>IFERROR(MIN(IF(VLOOKUP(F82,'05_Master KPI'!$B$5:$G$100,5,FALSE)="Lower",H82/I82,I82/H82),1),0)</f>
        <v>0</v>
      </c>
      <c r="K82" s="26">
        <f>IFERROR(VLOOKUP(F82,'05_Master KPI'!$B$5:$G$100,4,FALSE),0)</f>
        <v>0</v>
      </c>
      <c r="L82" s="28">
        <f t="shared" si="1"/>
        <v>0</v>
      </c>
      <c r="M82" s="26" t="str">
        <f>IF(D82="","",IF(J82&gt;='13_Setting'!$H$7,"Tercapai",IF(J82&gt;='13_Setting'!$H$6,"On Track","Tertinggal")))</f>
        <v/>
      </c>
      <c r="N82" s="24"/>
    </row>
    <row r="83" spans="1:14">
      <c r="A83" s="24"/>
      <c r="B83" s="24"/>
      <c r="C83" s="25"/>
      <c r="D83" s="24"/>
      <c r="E83" s="26" t="str">
        <f>IFERROR(VLOOKUP(D83,'04_Master Karyawan'!$A$5:$F$50,2,FALSE),"")</f>
        <v/>
      </c>
      <c r="F83" s="24"/>
      <c r="G83" s="26" t="str">
        <f>IFERROR(VLOOKUP(F83,'05_Master KPI'!$B$5:$G$100,2,FALSE)&amp;" ("&amp;VLOOKUP(F83,'05_Master KPI'!$B$5:$G$100,3,FALSE)&amp;")","")</f>
        <v/>
      </c>
      <c r="H83" s="26">
        <f>IFERROR(IF(B83&lt;&gt;'06_Target KPI'!$B$3,0,IF(VLOOKUP(F83,'05_Master KPI'!$B$5:$G$100,6,FALSE)="Kumulatif",INDEX('06_Target KPI'!$E$5:$P$100,MATCH(F83,'06_Target KPI'!$B$5:$B$100,0),MATCH(A83,'06_Target KPI'!$E$4:$P$4,0))*DAY(C83)/DAY(EOMONTH(C83,0)),INDEX('06_Target KPI'!$E$5:$P$100,MATCH(F83,'06_Target KPI'!$B$5:$B$100,0),MATCH(A83,'06_Target KPI'!$E$4:$P$4,0)))),0)</f>
        <v>0</v>
      </c>
      <c r="I83" s="24"/>
      <c r="J83" s="27">
        <f>IFERROR(MIN(IF(VLOOKUP(F83,'05_Master KPI'!$B$5:$G$100,5,FALSE)="Lower",H83/I83,I83/H83),1),0)</f>
        <v>0</v>
      </c>
      <c r="K83" s="26">
        <f>IFERROR(VLOOKUP(F83,'05_Master KPI'!$B$5:$G$100,4,FALSE),0)</f>
        <v>0</v>
      </c>
      <c r="L83" s="28">
        <f t="shared" si="1"/>
        <v>0</v>
      </c>
      <c r="M83" s="26" t="str">
        <f>IF(D83="","",IF(J83&gt;='13_Setting'!$H$7,"Tercapai",IF(J83&gt;='13_Setting'!$H$6,"On Track","Tertinggal")))</f>
        <v/>
      </c>
      <c r="N83" s="24"/>
    </row>
    <row r="84" spans="1:14">
      <c r="A84" s="24"/>
      <c r="B84" s="24"/>
      <c r="C84" s="25"/>
      <c r="D84" s="24"/>
      <c r="E84" s="26" t="str">
        <f>IFERROR(VLOOKUP(D84,'04_Master Karyawan'!$A$5:$F$50,2,FALSE),"")</f>
        <v/>
      </c>
      <c r="F84" s="24"/>
      <c r="G84" s="26" t="str">
        <f>IFERROR(VLOOKUP(F84,'05_Master KPI'!$B$5:$G$100,2,FALSE)&amp;" ("&amp;VLOOKUP(F84,'05_Master KPI'!$B$5:$G$100,3,FALSE)&amp;")","")</f>
        <v/>
      </c>
      <c r="H84" s="26">
        <f>IFERROR(IF(B84&lt;&gt;'06_Target KPI'!$B$3,0,IF(VLOOKUP(F84,'05_Master KPI'!$B$5:$G$100,6,FALSE)="Kumulatif",INDEX('06_Target KPI'!$E$5:$P$100,MATCH(F84,'06_Target KPI'!$B$5:$B$100,0),MATCH(A84,'06_Target KPI'!$E$4:$P$4,0))*DAY(C84)/DAY(EOMONTH(C84,0)),INDEX('06_Target KPI'!$E$5:$P$100,MATCH(F84,'06_Target KPI'!$B$5:$B$100,0),MATCH(A84,'06_Target KPI'!$E$4:$P$4,0)))),0)</f>
        <v>0</v>
      </c>
      <c r="I84" s="24"/>
      <c r="J84" s="27">
        <f>IFERROR(MIN(IF(VLOOKUP(F84,'05_Master KPI'!$B$5:$G$100,5,FALSE)="Lower",H84/I84,I84/H84),1),0)</f>
        <v>0</v>
      </c>
      <c r="K84" s="26">
        <f>IFERROR(VLOOKUP(F84,'05_Master KPI'!$B$5:$G$100,4,FALSE),0)</f>
        <v>0</v>
      </c>
      <c r="L84" s="28">
        <f t="shared" si="1"/>
        <v>0</v>
      </c>
      <c r="M84" s="26" t="str">
        <f>IF(D84="","",IF(J84&gt;='13_Setting'!$H$7,"Tercapai",IF(J84&gt;='13_Setting'!$H$6,"On Track","Tertinggal")))</f>
        <v/>
      </c>
      <c r="N84" s="24"/>
    </row>
    <row r="85" spans="1:14">
      <c r="A85" s="24"/>
      <c r="B85" s="24"/>
      <c r="C85" s="25"/>
      <c r="D85" s="24"/>
      <c r="E85" s="26" t="str">
        <f>IFERROR(VLOOKUP(D85,'04_Master Karyawan'!$A$5:$F$50,2,FALSE),"")</f>
        <v/>
      </c>
      <c r="F85" s="24"/>
      <c r="G85" s="26" t="str">
        <f>IFERROR(VLOOKUP(F85,'05_Master KPI'!$B$5:$G$100,2,FALSE)&amp;" ("&amp;VLOOKUP(F85,'05_Master KPI'!$B$5:$G$100,3,FALSE)&amp;")","")</f>
        <v/>
      </c>
      <c r="H85" s="26">
        <f>IFERROR(IF(B85&lt;&gt;'06_Target KPI'!$B$3,0,IF(VLOOKUP(F85,'05_Master KPI'!$B$5:$G$100,6,FALSE)="Kumulatif",INDEX('06_Target KPI'!$E$5:$P$100,MATCH(F85,'06_Target KPI'!$B$5:$B$100,0),MATCH(A85,'06_Target KPI'!$E$4:$P$4,0))*DAY(C85)/DAY(EOMONTH(C85,0)),INDEX('06_Target KPI'!$E$5:$P$100,MATCH(F85,'06_Target KPI'!$B$5:$B$100,0),MATCH(A85,'06_Target KPI'!$E$4:$P$4,0)))),0)</f>
        <v>0</v>
      </c>
      <c r="I85" s="24"/>
      <c r="J85" s="27">
        <f>IFERROR(MIN(IF(VLOOKUP(F85,'05_Master KPI'!$B$5:$G$100,5,FALSE)="Lower",H85/I85,I85/H85),1),0)</f>
        <v>0</v>
      </c>
      <c r="K85" s="26">
        <f>IFERROR(VLOOKUP(F85,'05_Master KPI'!$B$5:$G$100,4,FALSE),0)</f>
        <v>0</v>
      </c>
      <c r="L85" s="28">
        <f t="shared" si="1"/>
        <v>0</v>
      </c>
      <c r="M85" s="26" t="str">
        <f>IF(D85="","",IF(J85&gt;='13_Setting'!$H$7,"Tercapai",IF(J85&gt;='13_Setting'!$H$6,"On Track","Tertinggal")))</f>
        <v/>
      </c>
      <c r="N85" s="24"/>
    </row>
    <row r="86" spans="1:14">
      <c r="A86" s="24"/>
      <c r="B86" s="24"/>
      <c r="C86" s="25"/>
      <c r="D86" s="24"/>
      <c r="E86" s="26" t="str">
        <f>IFERROR(VLOOKUP(D86,'04_Master Karyawan'!$A$5:$F$50,2,FALSE),"")</f>
        <v/>
      </c>
      <c r="F86" s="24"/>
      <c r="G86" s="26" t="str">
        <f>IFERROR(VLOOKUP(F86,'05_Master KPI'!$B$5:$G$100,2,FALSE)&amp;" ("&amp;VLOOKUP(F86,'05_Master KPI'!$B$5:$G$100,3,FALSE)&amp;")","")</f>
        <v/>
      </c>
      <c r="H86" s="26">
        <f>IFERROR(IF(B86&lt;&gt;'06_Target KPI'!$B$3,0,IF(VLOOKUP(F86,'05_Master KPI'!$B$5:$G$100,6,FALSE)="Kumulatif",INDEX('06_Target KPI'!$E$5:$P$100,MATCH(F86,'06_Target KPI'!$B$5:$B$100,0),MATCH(A86,'06_Target KPI'!$E$4:$P$4,0))*DAY(C86)/DAY(EOMONTH(C86,0)),INDEX('06_Target KPI'!$E$5:$P$100,MATCH(F86,'06_Target KPI'!$B$5:$B$100,0),MATCH(A86,'06_Target KPI'!$E$4:$P$4,0)))),0)</f>
        <v>0</v>
      </c>
      <c r="I86" s="24"/>
      <c r="J86" s="27">
        <f>IFERROR(MIN(IF(VLOOKUP(F86,'05_Master KPI'!$B$5:$G$100,5,FALSE)="Lower",H86/I86,I86/H86),1),0)</f>
        <v>0</v>
      </c>
      <c r="K86" s="26">
        <f>IFERROR(VLOOKUP(F86,'05_Master KPI'!$B$5:$G$100,4,FALSE),0)</f>
        <v>0</v>
      </c>
      <c r="L86" s="28">
        <f t="shared" si="1"/>
        <v>0</v>
      </c>
      <c r="M86" s="26" t="str">
        <f>IF(D86="","",IF(J86&gt;='13_Setting'!$H$7,"Tercapai",IF(J86&gt;='13_Setting'!$H$6,"On Track","Tertinggal")))</f>
        <v/>
      </c>
      <c r="N86" s="24"/>
    </row>
    <row r="87" spans="1:14">
      <c r="A87" s="24"/>
      <c r="B87" s="24"/>
      <c r="C87" s="25"/>
      <c r="D87" s="24"/>
      <c r="E87" s="26" t="str">
        <f>IFERROR(VLOOKUP(D87,'04_Master Karyawan'!$A$5:$F$50,2,FALSE),"")</f>
        <v/>
      </c>
      <c r="F87" s="24"/>
      <c r="G87" s="26" t="str">
        <f>IFERROR(VLOOKUP(F87,'05_Master KPI'!$B$5:$G$100,2,FALSE)&amp;" ("&amp;VLOOKUP(F87,'05_Master KPI'!$B$5:$G$100,3,FALSE)&amp;")","")</f>
        <v/>
      </c>
      <c r="H87" s="26">
        <f>IFERROR(IF(B87&lt;&gt;'06_Target KPI'!$B$3,0,IF(VLOOKUP(F87,'05_Master KPI'!$B$5:$G$100,6,FALSE)="Kumulatif",INDEX('06_Target KPI'!$E$5:$P$100,MATCH(F87,'06_Target KPI'!$B$5:$B$100,0),MATCH(A87,'06_Target KPI'!$E$4:$P$4,0))*DAY(C87)/DAY(EOMONTH(C87,0)),INDEX('06_Target KPI'!$E$5:$P$100,MATCH(F87,'06_Target KPI'!$B$5:$B$100,0),MATCH(A87,'06_Target KPI'!$E$4:$P$4,0)))),0)</f>
        <v>0</v>
      </c>
      <c r="I87" s="24"/>
      <c r="J87" s="27">
        <f>IFERROR(MIN(IF(VLOOKUP(F87,'05_Master KPI'!$B$5:$G$100,5,FALSE)="Lower",H87/I87,I87/H87),1),0)</f>
        <v>0</v>
      </c>
      <c r="K87" s="26">
        <f>IFERROR(VLOOKUP(F87,'05_Master KPI'!$B$5:$G$100,4,FALSE),0)</f>
        <v>0</v>
      </c>
      <c r="L87" s="28">
        <f t="shared" si="1"/>
        <v>0</v>
      </c>
      <c r="M87" s="26" t="str">
        <f>IF(D87="","",IF(J87&gt;='13_Setting'!$H$7,"Tercapai",IF(J87&gt;='13_Setting'!$H$6,"On Track","Tertinggal")))</f>
        <v/>
      </c>
      <c r="N87" s="24"/>
    </row>
    <row r="88" spans="1:14">
      <c r="A88" s="24"/>
      <c r="B88" s="24"/>
      <c r="C88" s="25"/>
      <c r="D88" s="24"/>
      <c r="E88" s="26" t="str">
        <f>IFERROR(VLOOKUP(D88,'04_Master Karyawan'!$A$5:$F$50,2,FALSE),"")</f>
        <v/>
      </c>
      <c r="F88" s="24"/>
      <c r="G88" s="26" t="str">
        <f>IFERROR(VLOOKUP(F88,'05_Master KPI'!$B$5:$G$100,2,FALSE)&amp;" ("&amp;VLOOKUP(F88,'05_Master KPI'!$B$5:$G$100,3,FALSE)&amp;")","")</f>
        <v/>
      </c>
      <c r="H88" s="26">
        <f>IFERROR(IF(B88&lt;&gt;'06_Target KPI'!$B$3,0,IF(VLOOKUP(F88,'05_Master KPI'!$B$5:$G$100,6,FALSE)="Kumulatif",INDEX('06_Target KPI'!$E$5:$P$100,MATCH(F88,'06_Target KPI'!$B$5:$B$100,0),MATCH(A88,'06_Target KPI'!$E$4:$P$4,0))*DAY(C88)/DAY(EOMONTH(C88,0)),INDEX('06_Target KPI'!$E$5:$P$100,MATCH(F88,'06_Target KPI'!$B$5:$B$100,0),MATCH(A88,'06_Target KPI'!$E$4:$P$4,0)))),0)</f>
        <v>0</v>
      </c>
      <c r="I88" s="24"/>
      <c r="J88" s="27">
        <f>IFERROR(MIN(IF(VLOOKUP(F88,'05_Master KPI'!$B$5:$G$100,5,FALSE)="Lower",H88/I88,I88/H88),1),0)</f>
        <v>0</v>
      </c>
      <c r="K88" s="26">
        <f>IFERROR(VLOOKUP(F88,'05_Master KPI'!$B$5:$G$100,4,FALSE),0)</f>
        <v>0</v>
      </c>
      <c r="L88" s="28">
        <f t="shared" si="1"/>
        <v>0</v>
      </c>
      <c r="M88" s="26" t="str">
        <f>IF(D88="","",IF(J88&gt;='13_Setting'!$H$7,"Tercapai",IF(J88&gt;='13_Setting'!$H$6,"On Track","Tertinggal")))</f>
        <v/>
      </c>
      <c r="N88" s="24"/>
    </row>
    <row r="89" spans="1:14">
      <c r="A89" s="24"/>
      <c r="B89" s="24"/>
      <c r="C89" s="25"/>
      <c r="D89" s="24"/>
      <c r="E89" s="26" t="str">
        <f>IFERROR(VLOOKUP(D89,'04_Master Karyawan'!$A$5:$F$50,2,FALSE),"")</f>
        <v/>
      </c>
      <c r="F89" s="24"/>
      <c r="G89" s="26" t="str">
        <f>IFERROR(VLOOKUP(F89,'05_Master KPI'!$B$5:$G$100,2,FALSE)&amp;" ("&amp;VLOOKUP(F89,'05_Master KPI'!$B$5:$G$100,3,FALSE)&amp;")","")</f>
        <v/>
      </c>
      <c r="H89" s="26">
        <f>IFERROR(IF(B89&lt;&gt;'06_Target KPI'!$B$3,0,IF(VLOOKUP(F89,'05_Master KPI'!$B$5:$G$100,6,FALSE)="Kumulatif",INDEX('06_Target KPI'!$E$5:$P$100,MATCH(F89,'06_Target KPI'!$B$5:$B$100,0),MATCH(A89,'06_Target KPI'!$E$4:$P$4,0))*DAY(C89)/DAY(EOMONTH(C89,0)),INDEX('06_Target KPI'!$E$5:$P$100,MATCH(F89,'06_Target KPI'!$B$5:$B$100,0),MATCH(A89,'06_Target KPI'!$E$4:$P$4,0)))),0)</f>
        <v>0</v>
      </c>
      <c r="I89" s="24"/>
      <c r="J89" s="27">
        <f>IFERROR(MIN(IF(VLOOKUP(F89,'05_Master KPI'!$B$5:$G$100,5,FALSE)="Lower",H89/I89,I89/H89),1),0)</f>
        <v>0</v>
      </c>
      <c r="K89" s="26">
        <f>IFERROR(VLOOKUP(F89,'05_Master KPI'!$B$5:$G$100,4,FALSE),0)</f>
        <v>0</v>
      </c>
      <c r="L89" s="28">
        <f t="shared" si="1"/>
        <v>0</v>
      </c>
      <c r="M89" s="26" t="str">
        <f>IF(D89="","",IF(J89&gt;='13_Setting'!$H$7,"Tercapai",IF(J89&gt;='13_Setting'!$H$6,"On Track","Tertinggal")))</f>
        <v/>
      </c>
      <c r="N89" s="24"/>
    </row>
    <row r="90" spans="1:14">
      <c r="A90" s="24"/>
      <c r="B90" s="24"/>
      <c r="C90" s="25"/>
      <c r="D90" s="24"/>
      <c r="E90" s="26" t="str">
        <f>IFERROR(VLOOKUP(D90,'04_Master Karyawan'!$A$5:$F$50,2,FALSE),"")</f>
        <v/>
      </c>
      <c r="F90" s="24"/>
      <c r="G90" s="26" t="str">
        <f>IFERROR(VLOOKUP(F90,'05_Master KPI'!$B$5:$G$100,2,FALSE)&amp;" ("&amp;VLOOKUP(F90,'05_Master KPI'!$B$5:$G$100,3,FALSE)&amp;")","")</f>
        <v/>
      </c>
      <c r="H90" s="26">
        <f>IFERROR(IF(B90&lt;&gt;'06_Target KPI'!$B$3,0,IF(VLOOKUP(F90,'05_Master KPI'!$B$5:$G$100,6,FALSE)="Kumulatif",INDEX('06_Target KPI'!$E$5:$P$100,MATCH(F90,'06_Target KPI'!$B$5:$B$100,0),MATCH(A90,'06_Target KPI'!$E$4:$P$4,0))*DAY(C90)/DAY(EOMONTH(C90,0)),INDEX('06_Target KPI'!$E$5:$P$100,MATCH(F90,'06_Target KPI'!$B$5:$B$100,0),MATCH(A90,'06_Target KPI'!$E$4:$P$4,0)))),0)</f>
        <v>0</v>
      </c>
      <c r="I90" s="24"/>
      <c r="J90" s="27">
        <f>IFERROR(MIN(IF(VLOOKUP(F90,'05_Master KPI'!$B$5:$G$100,5,FALSE)="Lower",H90/I90,I90/H90),1),0)</f>
        <v>0</v>
      </c>
      <c r="K90" s="26">
        <f>IFERROR(VLOOKUP(F90,'05_Master KPI'!$B$5:$G$100,4,FALSE),0)</f>
        <v>0</v>
      </c>
      <c r="L90" s="28">
        <f t="shared" si="1"/>
        <v>0</v>
      </c>
      <c r="M90" s="26" t="str">
        <f>IF(D90="","",IF(J90&gt;='13_Setting'!$H$7,"Tercapai",IF(J90&gt;='13_Setting'!$H$6,"On Track","Tertinggal")))</f>
        <v/>
      </c>
      <c r="N90" s="24"/>
    </row>
    <row r="91" spans="1:14">
      <c r="A91" s="24"/>
      <c r="B91" s="24"/>
      <c r="C91" s="25"/>
      <c r="D91" s="24"/>
      <c r="E91" s="26" t="str">
        <f>IFERROR(VLOOKUP(D91,'04_Master Karyawan'!$A$5:$F$50,2,FALSE),"")</f>
        <v/>
      </c>
      <c r="F91" s="24"/>
      <c r="G91" s="26" t="str">
        <f>IFERROR(VLOOKUP(F91,'05_Master KPI'!$B$5:$G$100,2,FALSE)&amp;" ("&amp;VLOOKUP(F91,'05_Master KPI'!$B$5:$G$100,3,FALSE)&amp;")","")</f>
        <v/>
      </c>
      <c r="H91" s="26">
        <f>IFERROR(IF(B91&lt;&gt;'06_Target KPI'!$B$3,0,IF(VLOOKUP(F91,'05_Master KPI'!$B$5:$G$100,6,FALSE)="Kumulatif",INDEX('06_Target KPI'!$E$5:$P$100,MATCH(F91,'06_Target KPI'!$B$5:$B$100,0),MATCH(A91,'06_Target KPI'!$E$4:$P$4,0))*DAY(C91)/DAY(EOMONTH(C91,0)),INDEX('06_Target KPI'!$E$5:$P$100,MATCH(F91,'06_Target KPI'!$B$5:$B$100,0),MATCH(A91,'06_Target KPI'!$E$4:$P$4,0)))),0)</f>
        <v>0</v>
      </c>
      <c r="I91" s="24"/>
      <c r="J91" s="27">
        <f>IFERROR(MIN(IF(VLOOKUP(F91,'05_Master KPI'!$B$5:$G$100,5,FALSE)="Lower",H91/I91,I91/H91),1),0)</f>
        <v>0</v>
      </c>
      <c r="K91" s="26">
        <f>IFERROR(VLOOKUP(F91,'05_Master KPI'!$B$5:$G$100,4,FALSE),0)</f>
        <v>0</v>
      </c>
      <c r="L91" s="28">
        <f t="shared" si="1"/>
        <v>0</v>
      </c>
      <c r="M91" s="26" t="str">
        <f>IF(D91="","",IF(J91&gt;='13_Setting'!$H$7,"Tercapai",IF(J91&gt;='13_Setting'!$H$6,"On Track","Tertinggal")))</f>
        <v/>
      </c>
      <c r="N91" s="24"/>
    </row>
    <row r="92" spans="1:14">
      <c r="A92" s="24"/>
      <c r="B92" s="24"/>
      <c r="C92" s="25"/>
      <c r="D92" s="24"/>
      <c r="E92" s="26" t="str">
        <f>IFERROR(VLOOKUP(D92,'04_Master Karyawan'!$A$5:$F$50,2,FALSE),"")</f>
        <v/>
      </c>
      <c r="F92" s="24"/>
      <c r="G92" s="26" t="str">
        <f>IFERROR(VLOOKUP(F92,'05_Master KPI'!$B$5:$G$100,2,FALSE)&amp;" ("&amp;VLOOKUP(F92,'05_Master KPI'!$B$5:$G$100,3,FALSE)&amp;")","")</f>
        <v/>
      </c>
      <c r="H92" s="26">
        <f>IFERROR(IF(B92&lt;&gt;'06_Target KPI'!$B$3,0,IF(VLOOKUP(F92,'05_Master KPI'!$B$5:$G$100,6,FALSE)="Kumulatif",INDEX('06_Target KPI'!$E$5:$P$100,MATCH(F92,'06_Target KPI'!$B$5:$B$100,0),MATCH(A92,'06_Target KPI'!$E$4:$P$4,0))*DAY(C92)/DAY(EOMONTH(C92,0)),INDEX('06_Target KPI'!$E$5:$P$100,MATCH(F92,'06_Target KPI'!$B$5:$B$100,0),MATCH(A92,'06_Target KPI'!$E$4:$P$4,0)))),0)</f>
        <v>0</v>
      </c>
      <c r="I92" s="24"/>
      <c r="J92" s="27">
        <f>IFERROR(MIN(IF(VLOOKUP(F92,'05_Master KPI'!$B$5:$G$100,5,FALSE)="Lower",H92/I92,I92/H92),1),0)</f>
        <v>0</v>
      </c>
      <c r="K92" s="26">
        <f>IFERROR(VLOOKUP(F92,'05_Master KPI'!$B$5:$G$100,4,FALSE),0)</f>
        <v>0</v>
      </c>
      <c r="L92" s="28">
        <f t="shared" si="1"/>
        <v>0</v>
      </c>
      <c r="M92" s="26" t="str">
        <f>IF(D92="","",IF(J92&gt;='13_Setting'!$H$7,"Tercapai",IF(J92&gt;='13_Setting'!$H$6,"On Track","Tertinggal")))</f>
        <v/>
      </c>
      <c r="N92" s="24"/>
    </row>
    <row r="93" spans="1:14">
      <c r="A93" s="24"/>
      <c r="B93" s="24"/>
      <c r="C93" s="25"/>
      <c r="D93" s="24"/>
      <c r="E93" s="26" t="str">
        <f>IFERROR(VLOOKUP(D93,'04_Master Karyawan'!$A$5:$F$50,2,FALSE),"")</f>
        <v/>
      </c>
      <c r="F93" s="24"/>
      <c r="G93" s="26" t="str">
        <f>IFERROR(VLOOKUP(F93,'05_Master KPI'!$B$5:$G$100,2,FALSE)&amp;" ("&amp;VLOOKUP(F93,'05_Master KPI'!$B$5:$G$100,3,FALSE)&amp;")","")</f>
        <v/>
      </c>
      <c r="H93" s="26">
        <f>IFERROR(IF(B93&lt;&gt;'06_Target KPI'!$B$3,0,IF(VLOOKUP(F93,'05_Master KPI'!$B$5:$G$100,6,FALSE)="Kumulatif",INDEX('06_Target KPI'!$E$5:$P$100,MATCH(F93,'06_Target KPI'!$B$5:$B$100,0),MATCH(A93,'06_Target KPI'!$E$4:$P$4,0))*DAY(C93)/DAY(EOMONTH(C93,0)),INDEX('06_Target KPI'!$E$5:$P$100,MATCH(F93,'06_Target KPI'!$B$5:$B$100,0),MATCH(A93,'06_Target KPI'!$E$4:$P$4,0)))),0)</f>
        <v>0</v>
      </c>
      <c r="I93" s="24"/>
      <c r="J93" s="27">
        <f>IFERROR(MIN(IF(VLOOKUP(F93,'05_Master KPI'!$B$5:$G$100,5,FALSE)="Lower",H93/I93,I93/H93),1),0)</f>
        <v>0</v>
      </c>
      <c r="K93" s="26">
        <f>IFERROR(VLOOKUP(F93,'05_Master KPI'!$B$5:$G$100,4,FALSE),0)</f>
        <v>0</v>
      </c>
      <c r="L93" s="28">
        <f t="shared" si="1"/>
        <v>0</v>
      </c>
      <c r="M93" s="26" t="str">
        <f>IF(D93="","",IF(J93&gt;='13_Setting'!$H$7,"Tercapai",IF(J93&gt;='13_Setting'!$H$6,"On Track","Tertinggal")))</f>
        <v/>
      </c>
      <c r="N93" s="24"/>
    </row>
    <row r="94" spans="1:14">
      <c r="A94" s="24"/>
      <c r="B94" s="24"/>
      <c r="C94" s="25"/>
      <c r="D94" s="24"/>
      <c r="E94" s="26" t="str">
        <f>IFERROR(VLOOKUP(D94,'04_Master Karyawan'!$A$5:$F$50,2,FALSE),"")</f>
        <v/>
      </c>
      <c r="F94" s="24"/>
      <c r="G94" s="26" t="str">
        <f>IFERROR(VLOOKUP(F94,'05_Master KPI'!$B$5:$G$100,2,FALSE)&amp;" ("&amp;VLOOKUP(F94,'05_Master KPI'!$B$5:$G$100,3,FALSE)&amp;")","")</f>
        <v/>
      </c>
      <c r="H94" s="26">
        <f>IFERROR(IF(B94&lt;&gt;'06_Target KPI'!$B$3,0,IF(VLOOKUP(F94,'05_Master KPI'!$B$5:$G$100,6,FALSE)="Kumulatif",INDEX('06_Target KPI'!$E$5:$P$100,MATCH(F94,'06_Target KPI'!$B$5:$B$100,0),MATCH(A94,'06_Target KPI'!$E$4:$P$4,0))*DAY(C94)/DAY(EOMONTH(C94,0)),INDEX('06_Target KPI'!$E$5:$P$100,MATCH(F94,'06_Target KPI'!$B$5:$B$100,0),MATCH(A94,'06_Target KPI'!$E$4:$P$4,0)))),0)</f>
        <v>0</v>
      </c>
      <c r="I94" s="24"/>
      <c r="J94" s="27">
        <f>IFERROR(MIN(IF(VLOOKUP(F94,'05_Master KPI'!$B$5:$G$100,5,FALSE)="Lower",H94/I94,I94/H94),1),0)</f>
        <v>0</v>
      </c>
      <c r="K94" s="26">
        <f>IFERROR(VLOOKUP(F94,'05_Master KPI'!$B$5:$G$100,4,FALSE),0)</f>
        <v>0</v>
      </c>
      <c r="L94" s="28">
        <f t="shared" si="1"/>
        <v>0</v>
      </c>
      <c r="M94" s="26" t="str">
        <f>IF(D94="","",IF(J94&gt;='13_Setting'!$H$7,"Tercapai",IF(J94&gt;='13_Setting'!$H$6,"On Track","Tertinggal")))</f>
        <v/>
      </c>
      <c r="N94" s="24"/>
    </row>
    <row r="95" spans="1:14">
      <c r="A95" s="24"/>
      <c r="B95" s="24"/>
      <c r="C95" s="25"/>
      <c r="D95" s="24"/>
      <c r="E95" s="26" t="str">
        <f>IFERROR(VLOOKUP(D95,'04_Master Karyawan'!$A$5:$F$50,2,FALSE),"")</f>
        <v/>
      </c>
      <c r="F95" s="24"/>
      <c r="G95" s="26" t="str">
        <f>IFERROR(VLOOKUP(F95,'05_Master KPI'!$B$5:$G$100,2,FALSE)&amp;" ("&amp;VLOOKUP(F95,'05_Master KPI'!$B$5:$G$100,3,FALSE)&amp;")","")</f>
        <v/>
      </c>
      <c r="H95" s="26">
        <f>IFERROR(IF(B95&lt;&gt;'06_Target KPI'!$B$3,0,IF(VLOOKUP(F95,'05_Master KPI'!$B$5:$G$100,6,FALSE)="Kumulatif",INDEX('06_Target KPI'!$E$5:$P$100,MATCH(F95,'06_Target KPI'!$B$5:$B$100,0),MATCH(A95,'06_Target KPI'!$E$4:$P$4,0))*DAY(C95)/DAY(EOMONTH(C95,0)),INDEX('06_Target KPI'!$E$5:$P$100,MATCH(F95,'06_Target KPI'!$B$5:$B$100,0),MATCH(A95,'06_Target KPI'!$E$4:$P$4,0)))),0)</f>
        <v>0</v>
      </c>
      <c r="I95" s="24"/>
      <c r="J95" s="27">
        <f>IFERROR(MIN(IF(VLOOKUP(F95,'05_Master KPI'!$B$5:$G$100,5,FALSE)="Lower",H95/I95,I95/H95),1),0)</f>
        <v>0</v>
      </c>
      <c r="K95" s="26">
        <f>IFERROR(VLOOKUP(F95,'05_Master KPI'!$B$5:$G$100,4,FALSE),0)</f>
        <v>0</v>
      </c>
      <c r="L95" s="28">
        <f t="shared" si="1"/>
        <v>0</v>
      </c>
      <c r="M95" s="26" t="str">
        <f>IF(D95="","",IF(J95&gt;='13_Setting'!$H$7,"Tercapai",IF(J95&gt;='13_Setting'!$H$6,"On Track","Tertinggal")))</f>
        <v/>
      </c>
      <c r="N95" s="24"/>
    </row>
    <row r="96" spans="1:14">
      <c r="A96" s="24"/>
      <c r="B96" s="24"/>
      <c r="C96" s="25"/>
      <c r="D96" s="24"/>
      <c r="E96" s="26" t="str">
        <f>IFERROR(VLOOKUP(D96,'04_Master Karyawan'!$A$5:$F$50,2,FALSE),"")</f>
        <v/>
      </c>
      <c r="F96" s="24"/>
      <c r="G96" s="26" t="str">
        <f>IFERROR(VLOOKUP(F96,'05_Master KPI'!$B$5:$G$100,2,FALSE)&amp;" ("&amp;VLOOKUP(F96,'05_Master KPI'!$B$5:$G$100,3,FALSE)&amp;")","")</f>
        <v/>
      </c>
      <c r="H96" s="26">
        <f>IFERROR(IF(B96&lt;&gt;'06_Target KPI'!$B$3,0,IF(VLOOKUP(F96,'05_Master KPI'!$B$5:$G$100,6,FALSE)="Kumulatif",INDEX('06_Target KPI'!$E$5:$P$100,MATCH(F96,'06_Target KPI'!$B$5:$B$100,0),MATCH(A96,'06_Target KPI'!$E$4:$P$4,0))*DAY(C96)/DAY(EOMONTH(C96,0)),INDEX('06_Target KPI'!$E$5:$P$100,MATCH(F96,'06_Target KPI'!$B$5:$B$100,0),MATCH(A96,'06_Target KPI'!$E$4:$P$4,0)))),0)</f>
        <v>0</v>
      </c>
      <c r="I96" s="24"/>
      <c r="J96" s="27">
        <f>IFERROR(MIN(IF(VLOOKUP(F96,'05_Master KPI'!$B$5:$G$100,5,FALSE)="Lower",H96/I96,I96/H96),1),0)</f>
        <v>0</v>
      </c>
      <c r="K96" s="26">
        <f>IFERROR(VLOOKUP(F96,'05_Master KPI'!$B$5:$G$100,4,FALSE),0)</f>
        <v>0</v>
      </c>
      <c r="L96" s="28">
        <f t="shared" si="1"/>
        <v>0</v>
      </c>
      <c r="M96" s="26" t="str">
        <f>IF(D96="","",IF(J96&gt;='13_Setting'!$H$7,"Tercapai",IF(J96&gt;='13_Setting'!$H$6,"On Track","Tertinggal")))</f>
        <v/>
      </c>
      <c r="N96" s="24"/>
    </row>
    <row r="97" spans="1:14">
      <c r="A97" s="24"/>
      <c r="B97" s="24"/>
      <c r="C97" s="25"/>
      <c r="D97" s="24"/>
      <c r="E97" s="26" t="str">
        <f>IFERROR(VLOOKUP(D97,'04_Master Karyawan'!$A$5:$F$50,2,FALSE),"")</f>
        <v/>
      </c>
      <c r="F97" s="24"/>
      <c r="G97" s="26" t="str">
        <f>IFERROR(VLOOKUP(F97,'05_Master KPI'!$B$5:$G$100,2,FALSE)&amp;" ("&amp;VLOOKUP(F97,'05_Master KPI'!$B$5:$G$100,3,FALSE)&amp;")","")</f>
        <v/>
      </c>
      <c r="H97" s="26">
        <f>IFERROR(IF(B97&lt;&gt;'06_Target KPI'!$B$3,0,IF(VLOOKUP(F97,'05_Master KPI'!$B$5:$G$100,6,FALSE)="Kumulatif",INDEX('06_Target KPI'!$E$5:$P$100,MATCH(F97,'06_Target KPI'!$B$5:$B$100,0),MATCH(A97,'06_Target KPI'!$E$4:$P$4,0))*DAY(C97)/DAY(EOMONTH(C97,0)),INDEX('06_Target KPI'!$E$5:$P$100,MATCH(F97,'06_Target KPI'!$B$5:$B$100,0),MATCH(A97,'06_Target KPI'!$E$4:$P$4,0)))),0)</f>
        <v>0</v>
      </c>
      <c r="I97" s="24"/>
      <c r="J97" s="27">
        <f>IFERROR(MIN(IF(VLOOKUP(F97,'05_Master KPI'!$B$5:$G$100,5,FALSE)="Lower",H97/I97,I97/H97),1),0)</f>
        <v>0</v>
      </c>
      <c r="K97" s="26">
        <f>IFERROR(VLOOKUP(F97,'05_Master KPI'!$B$5:$G$100,4,FALSE),0)</f>
        <v>0</v>
      </c>
      <c r="L97" s="28">
        <f t="shared" si="1"/>
        <v>0</v>
      </c>
      <c r="M97" s="26" t="str">
        <f>IF(D97="","",IF(J97&gt;='13_Setting'!$H$7,"Tercapai",IF(J97&gt;='13_Setting'!$H$6,"On Track","Tertinggal")))</f>
        <v/>
      </c>
      <c r="N97" s="24"/>
    </row>
    <row r="98" spans="1:14">
      <c r="A98" s="24"/>
      <c r="B98" s="24"/>
      <c r="C98" s="25"/>
      <c r="D98" s="24"/>
      <c r="E98" s="26" t="str">
        <f>IFERROR(VLOOKUP(D98,'04_Master Karyawan'!$A$5:$F$50,2,FALSE),"")</f>
        <v/>
      </c>
      <c r="F98" s="24"/>
      <c r="G98" s="26" t="str">
        <f>IFERROR(VLOOKUP(F98,'05_Master KPI'!$B$5:$G$100,2,FALSE)&amp;" ("&amp;VLOOKUP(F98,'05_Master KPI'!$B$5:$G$100,3,FALSE)&amp;")","")</f>
        <v/>
      </c>
      <c r="H98" s="26">
        <f>IFERROR(IF(B98&lt;&gt;'06_Target KPI'!$B$3,0,IF(VLOOKUP(F98,'05_Master KPI'!$B$5:$G$100,6,FALSE)="Kumulatif",INDEX('06_Target KPI'!$E$5:$P$100,MATCH(F98,'06_Target KPI'!$B$5:$B$100,0),MATCH(A98,'06_Target KPI'!$E$4:$P$4,0))*DAY(C98)/DAY(EOMONTH(C98,0)),INDEX('06_Target KPI'!$E$5:$P$100,MATCH(F98,'06_Target KPI'!$B$5:$B$100,0),MATCH(A98,'06_Target KPI'!$E$4:$P$4,0)))),0)</f>
        <v>0</v>
      </c>
      <c r="I98" s="24"/>
      <c r="J98" s="27">
        <f>IFERROR(MIN(IF(VLOOKUP(F98,'05_Master KPI'!$B$5:$G$100,5,FALSE)="Lower",H98/I98,I98/H98),1),0)</f>
        <v>0</v>
      </c>
      <c r="K98" s="26">
        <f>IFERROR(VLOOKUP(F98,'05_Master KPI'!$B$5:$G$100,4,FALSE),0)</f>
        <v>0</v>
      </c>
      <c r="L98" s="28">
        <f t="shared" si="1"/>
        <v>0</v>
      </c>
      <c r="M98" s="26" t="str">
        <f>IF(D98="","",IF(J98&gt;='13_Setting'!$H$7,"Tercapai",IF(J98&gt;='13_Setting'!$H$6,"On Track","Tertinggal")))</f>
        <v/>
      </c>
      <c r="N98" s="24"/>
    </row>
    <row r="99" spans="1:14">
      <c r="A99" s="24"/>
      <c r="B99" s="24"/>
      <c r="C99" s="25"/>
      <c r="D99" s="24"/>
      <c r="E99" s="26" t="str">
        <f>IFERROR(VLOOKUP(D99,'04_Master Karyawan'!$A$5:$F$50,2,FALSE),"")</f>
        <v/>
      </c>
      <c r="F99" s="24"/>
      <c r="G99" s="26" t="str">
        <f>IFERROR(VLOOKUP(F99,'05_Master KPI'!$B$5:$G$100,2,FALSE)&amp;" ("&amp;VLOOKUP(F99,'05_Master KPI'!$B$5:$G$100,3,FALSE)&amp;")","")</f>
        <v/>
      </c>
      <c r="H99" s="26">
        <f>IFERROR(IF(B99&lt;&gt;'06_Target KPI'!$B$3,0,IF(VLOOKUP(F99,'05_Master KPI'!$B$5:$G$100,6,FALSE)="Kumulatif",INDEX('06_Target KPI'!$E$5:$P$100,MATCH(F99,'06_Target KPI'!$B$5:$B$100,0),MATCH(A99,'06_Target KPI'!$E$4:$P$4,0))*DAY(C99)/DAY(EOMONTH(C99,0)),INDEX('06_Target KPI'!$E$5:$P$100,MATCH(F99,'06_Target KPI'!$B$5:$B$100,0),MATCH(A99,'06_Target KPI'!$E$4:$P$4,0)))),0)</f>
        <v>0</v>
      </c>
      <c r="I99" s="24"/>
      <c r="J99" s="27">
        <f>IFERROR(MIN(IF(VLOOKUP(F99,'05_Master KPI'!$B$5:$G$100,5,FALSE)="Lower",H99/I99,I99/H99),1),0)</f>
        <v>0</v>
      </c>
      <c r="K99" s="26">
        <f>IFERROR(VLOOKUP(F99,'05_Master KPI'!$B$5:$G$100,4,FALSE),0)</f>
        <v>0</v>
      </c>
      <c r="L99" s="28">
        <f t="shared" si="1"/>
        <v>0</v>
      </c>
      <c r="M99" s="26" t="str">
        <f>IF(D99="","",IF(J99&gt;='13_Setting'!$H$7,"Tercapai",IF(J99&gt;='13_Setting'!$H$6,"On Track","Tertinggal")))</f>
        <v/>
      </c>
      <c r="N99" s="24"/>
    </row>
    <row r="100" spans="1:14">
      <c r="A100" s="24"/>
      <c r="B100" s="24"/>
      <c r="C100" s="25"/>
      <c r="D100" s="24"/>
      <c r="E100" s="26" t="str">
        <f>IFERROR(VLOOKUP(D100,'04_Master Karyawan'!$A$5:$F$50,2,FALSE),"")</f>
        <v/>
      </c>
      <c r="F100" s="24"/>
      <c r="G100" s="26" t="str">
        <f>IFERROR(VLOOKUP(F100,'05_Master KPI'!$B$5:$G$100,2,FALSE)&amp;" ("&amp;VLOOKUP(F100,'05_Master KPI'!$B$5:$G$100,3,FALSE)&amp;")","")</f>
        <v/>
      </c>
      <c r="H100" s="26">
        <f>IFERROR(IF(B100&lt;&gt;'06_Target KPI'!$B$3,0,IF(VLOOKUP(F100,'05_Master KPI'!$B$5:$G$100,6,FALSE)="Kumulatif",INDEX('06_Target KPI'!$E$5:$P$100,MATCH(F100,'06_Target KPI'!$B$5:$B$100,0),MATCH(A100,'06_Target KPI'!$E$4:$P$4,0))*DAY(C100)/DAY(EOMONTH(C100,0)),INDEX('06_Target KPI'!$E$5:$P$100,MATCH(F100,'06_Target KPI'!$B$5:$B$100,0),MATCH(A100,'06_Target KPI'!$E$4:$P$4,0)))),0)</f>
        <v>0</v>
      </c>
      <c r="I100" s="24"/>
      <c r="J100" s="27">
        <f>IFERROR(MIN(IF(VLOOKUP(F100,'05_Master KPI'!$B$5:$G$100,5,FALSE)="Lower",H100/I100,I100/H100),1),0)</f>
        <v>0</v>
      </c>
      <c r="K100" s="26">
        <f>IFERROR(VLOOKUP(F100,'05_Master KPI'!$B$5:$G$100,4,FALSE),0)</f>
        <v>0</v>
      </c>
      <c r="L100" s="28">
        <f t="shared" si="1"/>
        <v>0</v>
      </c>
      <c r="M100" s="26" t="str">
        <f>IF(D100="","",IF(J100&gt;='13_Setting'!$H$7,"Tercapai",IF(J100&gt;='13_Setting'!$H$6,"On Track","Tertinggal")))</f>
        <v/>
      </c>
      <c r="N100" s="24"/>
    </row>
    <row r="101" spans="1:14">
      <c r="A101" s="24"/>
      <c r="B101" s="24"/>
      <c r="C101" s="25"/>
      <c r="D101" s="24"/>
      <c r="E101" s="26" t="str">
        <f>IFERROR(VLOOKUP(D101,'04_Master Karyawan'!$A$5:$F$50,2,FALSE),"")</f>
        <v/>
      </c>
      <c r="F101" s="24"/>
      <c r="G101" s="26" t="str">
        <f>IFERROR(VLOOKUP(F101,'05_Master KPI'!$B$5:$G$100,2,FALSE)&amp;" ("&amp;VLOOKUP(F101,'05_Master KPI'!$B$5:$G$100,3,FALSE)&amp;")","")</f>
        <v/>
      </c>
      <c r="H101" s="26">
        <f>IFERROR(IF(B101&lt;&gt;'06_Target KPI'!$B$3,0,IF(VLOOKUP(F101,'05_Master KPI'!$B$5:$G$100,6,FALSE)="Kumulatif",INDEX('06_Target KPI'!$E$5:$P$100,MATCH(F101,'06_Target KPI'!$B$5:$B$100,0),MATCH(A101,'06_Target KPI'!$E$4:$P$4,0))*DAY(C101)/DAY(EOMONTH(C101,0)),INDEX('06_Target KPI'!$E$5:$P$100,MATCH(F101,'06_Target KPI'!$B$5:$B$100,0),MATCH(A101,'06_Target KPI'!$E$4:$P$4,0)))),0)</f>
        <v>0</v>
      </c>
      <c r="I101" s="24"/>
      <c r="J101" s="27">
        <f>IFERROR(MIN(IF(VLOOKUP(F101,'05_Master KPI'!$B$5:$G$100,5,FALSE)="Lower",H101/I101,I101/H101),1),0)</f>
        <v>0</v>
      </c>
      <c r="K101" s="26">
        <f>IFERROR(VLOOKUP(F101,'05_Master KPI'!$B$5:$G$100,4,FALSE),0)</f>
        <v>0</v>
      </c>
      <c r="L101" s="28">
        <f t="shared" si="1"/>
        <v>0</v>
      </c>
      <c r="M101" s="26" t="str">
        <f>IF(D101="","",IF(J101&gt;='13_Setting'!$H$7,"Tercapai",IF(J101&gt;='13_Setting'!$H$6,"On Track","Tertinggal")))</f>
        <v/>
      </c>
      <c r="N101" s="24"/>
    </row>
    <row r="102" spans="1:14">
      <c r="A102" s="24"/>
      <c r="B102" s="24"/>
      <c r="C102" s="25"/>
      <c r="D102" s="24"/>
      <c r="E102" s="26" t="str">
        <f>IFERROR(VLOOKUP(D102,'04_Master Karyawan'!$A$5:$F$50,2,FALSE),"")</f>
        <v/>
      </c>
      <c r="F102" s="24"/>
      <c r="G102" s="26" t="str">
        <f>IFERROR(VLOOKUP(F102,'05_Master KPI'!$B$5:$G$100,2,FALSE)&amp;" ("&amp;VLOOKUP(F102,'05_Master KPI'!$B$5:$G$100,3,FALSE)&amp;")","")</f>
        <v/>
      </c>
      <c r="H102" s="26">
        <f>IFERROR(IF(B102&lt;&gt;'06_Target KPI'!$B$3,0,IF(VLOOKUP(F102,'05_Master KPI'!$B$5:$G$100,6,FALSE)="Kumulatif",INDEX('06_Target KPI'!$E$5:$P$100,MATCH(F102,'06_Target KPI'!$B$5:$B$100,0),MATCH(A102,'06_Target KPI'!$E$4:$P$4,0))*DAY(C102)/DAY(EOMONTH(C102,0)),INDEX('06_Target KPI'!$E$5:$P$100,MATCH(F102,'06_Target KPI'!$B$5:$B$100,0),MATCH(A102,'06_Target KPI'!$E$4:$P$4,0)))),0)</f>
        <v>0</v>
      </c>
      <c r="I102" s="24"/>
      <c r="J102" s="27">
        <f>IFERROR(MIN(IF(VLOOKUP(F102,'05_Master KPI'!$B$5:$G$100,5,FALSE)="Lower",H102/I102,I102/H102),1),0)</f>
        <v>0</v>
      </c>
      <c r="K102" s="26">
        <f>IFERROR(VLOOKUP(F102,'05_Master KPI'!$B$5:$G$100,4,FALSE),0)</f>
        <v>0</v>
      </c>
      <c r="L102" s="28">
        <f t="shared" si="1"/>
        <v>0</v>
      </c>
      <c r="M102" s="26" t="str">
        <f>IF(D102="","",IF(J102&gt;='13_Setting'!$H$7,"Tercapai",IF(J102&gt;='13_Setting'!$H$6,"On Track","Tertinggal")))</f>
        <v/>
      </c>
      <c r="N102" s="24"/>
    </row>
    <row r="103" spans="1:14">
      <c r="A103" s="24"/>
      <c r="B103" s="24"/>
      <c r="C103" s="25"/>
      <c r="D103" s="24"/>
      <c r="E103" s="26" t="str">
        <f>IFERROR(VLOOKUP(D103,'04_Master Karyawan'!$A$5:$F$50,2,FALSE),"")</f>
        <v/>
      </c>
      <c r="F103" s="24"/>
      <c r="G103" s="26" t="str">
        <f>IFERROR(VLOOKUP(F103,'05_Master KPI'!$B$5:$G$100,2,FALSE)&amp;" ("&amp;VLOOKUP(F103,'05_Master KPI'!$B$5:$G$100,3,FALSE)&amp;")","")</f>
        <v/>
      </c>
      <c r="H103" s="26">
        <f>IFERROR(IF(B103&lt;&gt;'06_Target KPI'!$B$3,0,IF(VLOOKUP(F103,'05_Master KPI'!$B$5:$G$100,6,FALSE)="Kumulatif",INDEX('06_Target KPI'!$E$5:$P$100,MATCH(F103,'06_Target KPI'!$B$5:$B$100,0),MATCH(A103,'06_Target KPI'!$E$4:$P$4,0))*DAY(C103)/DAY(EOMONTH(C103,0)),INDEX('06_Target KPI'!$E$5:$P$100,MATCH(F103,'06_Target KPI'!$B$5:$B$100,0),MATCH(A103,'06_Target KPI'!$E$4:$P$4,0)))),0)</f>
        <v>0</v>
      </c>
      <c r="I103" s="24"/>
      <c r="J103" s="27">
        <f>IFERROR(MIN(IF(VLOOKUP(F103,'05_Master KPI'!$B$5:$G$100,5,FALSE)="Lower",H103/I103,I103/H103),1),0)</f>
        <v>0</v>
      </c>
      <c r="K103" s="26">
        <f>IFERROR(VLOOKUP(F103,'05_Master KPI'!$B$5:$G$100,4,FALSE),0)</f>
        <v>0</v>
      </c>
      <c r="L103" s="28">
        <f t="shared" si="1"/>
        <v>0</v>
      </c>
      <c r="M103" s="26" t="str">
        <f>IF(D103="","",IF(J103&gt;='13_Setting'!$H$7,"Tercapai",IF(J103&gt;='13_Setting'!$H$6,"On Track","Tertinggal")))</f>
        <v/>
      </c>
      <c r="N103" s="24"/>
    </row>
    <row r="104" spans="1:14">
      <c r="A104" s="24"/>
      <c r="B104" s="24"/>
      <c r="C104" s="25"/>
      <c r="D104" s="24"/>
      <c r="E104" s="26" t="str">
        <f>IFERROR(VLOOKUP(D104,'04_Master Karyawan'!$A$5:$F$50,2,FALSE),"")</f>
        <v/>
      </c>
      <c r="F104" s="24"/>
      <c r="G104" s="26" t="str">
        <f>IFERROR(VLOOKUP(F104,'05_Master KPI'!$B$5:$G$100,2,FALSE)&amp;" ("&amp;VLOOKUP(F104,'05_Master KPI'!$B$5:$G$100,3,FALSE)&amp;")","")</f>
        <v/>
      </c>
      <c r="H104" s="26">
        <f>IFERROR(IF(B104&lt;&gt;'06_Target KPI'!$B$3,0,IF(VLOOKUP(F104,'05_Master KPI'!$B$5:$G$100,6,FALSE)="Kumulatif",INDEX('06_Target KPI'!$E$5:$P$100,MATCH(F104,'06_Target KPI'!$B$5:$B$100,0),MATCH(A104,'06_Target KPI'!$E$4:$P$4,0))*DAY(C104)/DAY(EOMONTH(C104,0)),INDEX('06_Target KPI'!$E$5:$P$100,MATCH(F104,'06_Target KPI'!$B$5:$B$100,0),MATCH(A104,'06_Target KPI'!$E$4:$P$4,0)))),0)</f>
        <v>0</v>
      </c>
      <c r="I104" s="24"/>
      <c r="J104" s="27">
        <f>IFERROR(MIN(IF(VLOOKUP(F104,'05_Master KPI'!$B$5:$G$100,5,FALSE)="Lower",H104/I104,I104/H104),1),0)</f>
        <v>0</v>
      </c>
      <c r="K104" s="26">
        <f>IFERROR(VLOOKUP(F104,'05_Master KPI'!$B$5:$G$100,4,FALSE),0)</f>
        <v>0</v>
      </c>
      <c r="L104" s="28">
        <f t="shared" si="1"/>
        <v>0</v>
      </c>
      <c r="M104" s="26" t="str">
        <f>IF(D104="","",IF(J104&gt;='13_Setting'!$H$7,"Tercapai",IF(J104&gt;='13_Setting'!$H$6,"On Track","Tertinggal")))</f>
        <v/>
      </c>
      <c r="N104" s="24"/>
    </row>
    <row r="105" spans="1:14">
      <c r="A105" s="24"/>
      <c r="B105" s="24"/>
      <c r="C105" s="25"/>
      <c r="D105" s="24"/>
      <c r="E105" s="26" t="str">
        <f>IFERROR(VLOOKUP(D105,'04_Master Karyawan'!$A$5:$F$50,2,FALSE),"")</f>
        <v/>
      </c>
      <c r="F105" s="24"/>
      <c r="G105" s="26" t="str">
        <f>IFERROR(VLOOKUP(F105,'05_Master KPI'!$B$5:$G$100,2,FALSE)&amp;" ("&amp;VLOOKUP(F105,'05_Master KPI'!$B$5:$G$100,3,FALSE)&amp;")","")</f>
        <v/>
      </c>
      <c r="H105" s="26">
        <f>IFERROR(IF(B105&lt;&gt;'06_Target KPI'!$B$3,0,IF(VLOOKUP(F105,'05_Master KPI'!$B$5:$G$100,6,FALSE)="Kumulatif",INDEX('06_Target KPI'!$E$5:$P$100,MATCH(F105,'06_Target KPI'!$B$5:$B$100,0),MATCH(A105,'06_Target KPI'!$E$4:$P$4,0))*DAY(C105)/DAY(EOMONTH(C105,0)),INDEX('06_Target KPI'!$E$5:$P$100,MATCH(F105,'06_Target KPI'!$B$5:$B$100,0),MATCH(A105,'06_Target KPI'!$E$4:$P$4,0)))),0)</f>
        <v>0</v>
      </c>
      <c r="I105" s="24"/>
      <c r="J105" s="27">
        <f>IFERROR(MIN(IF(VLOOKUP(F105,'05_Master KPI'!$B$5:$G$100,5,FALSE)="Lower",H105/I105,I105/H105),1),0)</f>
        <v>0</v>
      </c>
      <c r="K105" s="26">
        <f>IFERROR(VLOOKUP(F105,'05_Master KPI'!$B$5:$G$100,4,FALSE),0)</f>
        <v>0</v>
      </c>
      <c r="L105" s="28">
        <f t="shared" si="1"/>
        <v>0</v>
      </c>
      <c r="M105" s="26" t="str">
        <f>IF(D105="","",IF(J105&gt;='13_Setting'!$H$7,"Tercapai",IF(J105&gt;='13_Setting'!$H$6,"On Track","Tertinggal")))</f>
        <v/>
      </c>
      <c r="N105" s="24"/>
    </row>
    <row r="106" spans="1:14">
      <c r="A106" s="24"/>
      <c r="B106" s="24"/>
      <c r="C106" s="25"/>
      <c r="D106" s="24"/>
      <c r="E106" s="26" t="str">
        <f>IFERROR(VLOOKUP(D106,'04_Master Karyawan'!$A$5:$F$50,2,FALSE),"")</f>
        <v/>
      </c>
      <c r="F106" s="24"/>
      <c r="G106" s="26" t="str">
        <f>IFERROR(VLOOKUP(F106,'05_Master KPI'!$B$5:$G$100,2,FALSE)&amp;" ("&amp;VLOOKUP(F106,'05_Master KPI'!$B$5:$G$100,3,FALSE)&amp;")","")</f>
        <v/>
      </c>
      <c r="H106" s="26">
        <f>IFERROR(IF(B106&lt;&gt;'06_Target KPI'!$B$3,0,IF(VLOOKUP(F106,'05_Master KPI'!$B$5:$G$100,6,FALSE)="Kumulatif",INDEX('06_Target KPI'!$E$5:$P$100,MATCH(F106,'06_Target KPI'!$B$5:$B$100,0),MATCH(A106,'06_Target KPI'!$E$4:$P$4,0))*DAY(C106)/DAY(EOMONTH(C106,0)),INDEX('06_Target KPI'!$E$5:$P$100,MATCH(F106,'06_Target KPI'!$B$5:$B$100,0),MATCH(A106,'06_Target KPI'!$E$4:$P$4,0)))),0)</f>
        <v>0</v>
      </c>
      <c r="I106" s="24"/>
      <c r="J106" s="27">
        <f>IFERROR(MIN(IF(VLOOKUP(F106,'05_Master KPI'!$B$5:$G$100,5,FALSE)="Lower",H106/I106,I106/H106),1),0)</f>
        <v>0</v>
      </c>
      <c r="K106" s="26">
        <f>IFERROR(VLOOKUP(F106,'05_Master KPI'!$B$5:$G$100,4,FALSE),0)</f>
        <v>0</v>
      </c>
      <c r="L106" s="28">
        <f t="shared" si="1"/>
        <v>0</v>
      </c>
      <c r="M106" s="26" t="str">
        <f>IF(D106="","",IF(J106&gt;='13_Setting'!$H$7,"Tercapai",IF(J106&gt;='13_Setting'!$H$6,"On Track","Tertinggal")))</f>
        <v/>
      </c>
      <c r="N106" s="24"/>
    </row>
    <row r="107" spans="1:14">
      <c r="A107" s="24"/>
      <c r="B107" s="24"/>
      <c r="C107" s="25"/>
      <c r="D107" s="24"/>
      <c r="E107" s="26" t="str">
        <f>IFERROR(VLOOKUP(D107,'04_Master Karyawan'!$A$5:$F$50,2,FALSE),"")</f>
        <v/>
      </c>
      <c r="F107" s="24"/>
      <c r="G107" s="26" t="str">
        <f>IFERROR(VLOOKUP(F107,'05_Master KPI'!$B$5:$G$100,2,FALSE)&amp;" ("&amp;VLOOKUP(F107,'05_Master KPI'!$B$5:$G$100,3,FALSE)&amp;")","")</f>
        <v/>
      </c>
      <c r="H107" s="26">
        <f>IFERROR(IF(B107&lt;&gt;'06_Target KPI'!$B$3,0,IF(VLOOKUP(F107,'05_Master KPI'!$B$5:$G$100,6,FALSE)="Kumulatif",INDEX('06_Target KPI'!$E$5:$P$100,MATCH(F107,'06_Target KPI'!$B$5:$B$100,0),MATCH(A107,'06_Target KPI'!$E$4:$P$4,0))*DAY(C107)/DAY(EOMONTH(C107,0)),INDEX('06_Target KPI'!$E$5:$P$100,MATCH(F107,'06_Target KPI'!$B$5:$B$100,0),MATCH(A107,'06_Target KPI'!$E$4:$P$4,0)))),0)</f>
        <v>0</v>
      </c>
      <c r="I107" s="24"/>
      <c r="J107" s="27">
        <f>IFERROR(MIN(IF(VLOOKUP(F107,'05_Master KPI'!$B$5:$G$100,5,FALSE)="Lower",H107/I107,I107/H107),1),0)</f>
        <v>0</v>
      </c>
      <c r="K107" s="26">
        <f>IFERROR(VLOOKUP(F107,'05_Master KPI'!$B$5:$G$100,4,FALSE),0)</f>
        <v>0</v>
      </c>
      <c r="L107" s="28">
        <f t="shared" si="1"/>
        <v>0</v>
      </c>
      <c r="M107" s="26" t="str">
        <f>IF(D107="","",IF(J107&gt;='13_Setting'!$H$7,"Tercapai",IF(J107&gt;='13_Setting'!$H$6,"On Track","Tertinggal")))</f>
        <v/>
      </c>
      <c r="N107" s="24"/>
    </row>
    <row r="108" spans="1:14">
      <c r="A108" s="24"/>
      <c r="B108" s="24"/>
      <c r="C108" s="25"/>
      <c r="D108" s="24"/>
      <c r="E108" s="26" t="str">
        <f>IFERROR(VLOOKUP(D108,'04_Master Karyawan'!$A$5:$F$50,2,FALSE),"")</f>
        <v/>
      </c>
      <c r="F108" s="24"/>
      <c r="G108" s="26" t="str">
        <f>IFERROR(VLOOKUP(F108,'05_Master KPI'!$B$5:$G$100,2,FALSE)&amp;" ("&amp;VLOOKUP(F108,'05_Master KPI'!$B$5:$G$100,3,FALSE)&amp;")","")</f>
        <v/>
      </c>
      <c r="H108" s="26">
        <f>IFERROR(IF(B108&lt;&gt;'06_Target KPI'!$B$3,0,IF(VLOOKUP(F108,'05_Master KPI'!$B$5:$G$100,6,FALSE)="Kumulatif",INDEX('06_Target KPI'!$E$5:$P$100,MATCH(F108,'06_Target KPI'!$B$5:$B$100,0),MATCH(A108,'06_Target KPI'!$E$4:$P$4,0))*DAY(C108)/DAY(EOMONTH(C108,0)),INDEX('06_Target KPI'!$E$5:$P$100,MATCH(F108,'06_Target KPI'!$B$5:$B$100,0),MATCH(A108,'06_Target KPI'!$E$4:$P$4,0)))),0)</f>
        <v>0</v>
      </c>
      <c r="I108" s="24"/>
      <c r="J108" s="27">
        <f>IFERROR(MIN(IF(VLOOKUP(F108,'05_Master KPI'!$B$5:$G$100,5,FALSE)="Lower",H108/I108,I108/H108),1),0)</f>
        <v>0</v>
      </c>
      <c r="K108" s="26">
        <f>IFERROR(VLOOKUP(F108,'05_Master KPI'!$B$5:$G$100,4,FALSE),0)</f>
        <v>0</v>
      </c>
      <c r="L108" s="28">
        <f t="shared" si="1"/>
        <v>0</v>
      </c>
      <c r="M108" s="26" t="str">
        <f>IF(D108="","",IF(J108&gt;='13_Setting'!$H$7,"Tercapai",IF(J108&gt;='13_Setting'!$H$6,"On Track","Tertinggal")))</f>
        <v/>
      </c>
      <c r="N108" s="24"/>
    </row>
    <row r="109" spans="1:14">
      <c r="A109" s="24"/>
      <c r="B109" s="24"/>
      <c r="C109" s="25"/>
      <c r="D109" s="24"/>
      <c r="E109" s="26" t="str">
        <f>IFERROR(VLOOKUP(D109,'04_Master Karyawan'!$A$5:$F$50,2,FALSE),"")</f>
        <v/>
      </c>
      <c r="F109" s="24"/>
      <c r="G109" s="26" t="str">
        <f>IFERROR(VLOOKUP(F109,'05_Master KPI'!$B$5:$G$100,2,FALSE)&amp;" ("&amp;VLOOKUP(F109,'05_Master KPI'!$B$5:$G$100,3,FALSE)&amp;")","")</f>
        <v/>
      </c>
      <c r="H109" s="26">
        <f>IFERROR(IF(B109&lt;&gt;'06_Target KPI'!$B$3,0,IF(VLOOKUP(F109,'05_Master KPI'!$B$5:$G$100,6,FALSE)="Kumulatif",INDEX('06_Target KPI'!$E$5:$P$100,MATCH(F109,'06_Target KPI'!$B$5:$B$100,0),MATCH(A109,'06_Target KPI'!$E$4:$P$4,0))*DAY(C109)/DAY(EOMONTH(C109,0)),INDEX('06_Target KPI'!$E$5:$P$100,MATCH(F109,'06_Target KPI'!$B$5:$B$100,0),MATCH(A109,'06_Target KPI'!$E$4:$P$4,0)))),0)</f>
        <v>0</v>
      </c>
      <c r="I109" s="24"/>
      <c r="J109" s="27">
        <f>IFERROR(MIN(IF(VLOOKUP(F109,'05_Master KPI'!$B$5:$G$100,5,FALSE)="Lower",H109/I109,I109/H109),1),0)</f>
        <v>0</v>
      </c>
      <c r="K109" s="26">
        <f>IFERROR(VLOOKUP(F109,'05_Master KPI'!$B$5:$G$100,4,FALSE),0)</f>
        <v>0</v>
      </c>
      <c r="L109" s="28">
        <f t="shared" si="1"/>
        <v>0</v>
      </c>
      <c r="M109" s="26" t="str">
        <f>IF(D109="","",IF(J109&gt;='13_Setting'!$H$7,"Tercapai",IF(J109&gt;='13_Setting'!$H$6,"On Track","Tertinggal")))</f>
        <v/>
      </c>
      <c r="N109" s="24"/>
    </row>
    <row r="110" spans="1:14">
      <c r="A110" s="24"/>
      <c r="B110" s="24"/>
      <c r="C110" s="25"/>
      <c r="D110" s="24"/>
      <c r="E110" s="26" t="str">
        <f>IFERROR(VLOOKUP(D110,'04_Master Karyawan'!$A$5:$F$50,2,FALSE),"")</f>
        <v/>
      </c>
      <c r="F110" s="24"/>
      <c r="G110" s="26" t="str">
        <f>IFERROR(VLOOKUP(F110,'05_Master KPI'!$B$5:$G$100,2,FALSE)&amp;" ("&amp;VLOOKUP(F110,'05_Master KPI'!$B$5:$G$100,3,FALSE)&amp;")","")</f>
        <v/>
      </c>
      <c r="H110" s="26">
        <f>IFERROR(IF(B110&lt;&gt;'06_Target KPI'!$B$3,0,IF(VLOOKUP(F110,'05_Master KPI'!$B$5:$G$100,6,FALSE)="Kumulatif",INDEX('06_Target KPI'!$E$5:$P$100,MATCH(F110,'06_Target KPI'!$B$5:$B$100,0),MATCH(A110,'06_Target KPI'!$E$4:$P$4,0))*DAY(C110)/DAY(EOMONTH(C110,0)),INDEX('06_Target KPI'!$E$5:$P$100,MATCH(F110,'06_Target KPI'!$B$5:$B$100,0),MATCH(A110,'06_Target KPI'!$E$4:$P$4,0)))),0)</f>
        <v>0</v>
      </c>
      <c r="I110" s="24"/>
      <c r="J110" s="27">
        <f>IFERROR(MIN(IF(VLOOKUP(F110,'05_Master KPI'!$B$5:$G$100,5,FALSE)="Lower",H110/I110,I110/H110),1),0)</f>
        <v>0</v>
      </c>
      <c r="K110" s="26">
        <f>IFERROR(VLOOKUP(F110,'05_Master KPI'!$B$5:$G$100,4,FALSE),0)</f>
        <v>0</v>
      </c>
      <c r="L110" s="28">
        <f t="shared" si="1"/>
        <v>0</v>
      </c>
      <c r="M110" s="26" t="str">
        <f>IF(D110="","",IF(J110&gt;='13_Setting'!$H$7,"Tercapai",IF(J110&gt;='13_Setting'!$H$6,"On Track","Tertinggal")))</f>
        <v/>
      </c>
      <c r="N110" s="24"/>
    </row>
    <row r="111" spans="1:14">
      <c r="A111" s="24"/>
      <c r="B111" s="24"/>
      <c r="C111" s="25"/>
      <c r="D111" s="24"/>
      <c r="E111" s="26" t="str">
        <f>IFERROR(VLOOKUP(D111,'04_Master Karyawan'!$A$5:$F$50,2,FALSE),"")</f>
        <v/>
      </c>
      <c r="F111" s="24"/>
      <c r="G111" s="26" t="str">
        <f>IFERROR(VLOOKUP(F111,'05_Master KPI'!$B$5:$G$100,2,FALSE)&amp;" ("&amp;VLOOKUP(F111,'05_Master KPI'!$B$5:$G$100,3,FALSE)&amp;")","")</f>
        <v/>
      </c>
      <c r="H111" s="26">
        <f>IFERROR(IF(B111&lt;&gt;'06_Target KPI'!$B$3,0,IF(VLOOKUP(F111,'05_Master KPI'!$B$5:$G$100,6,FALSE)="Kumulatif",INDEX('06_Target KPI'!$E$5:$P$100,MATCH(F111,'06_Target KPI'!$B$5:$B$100,0),MATCH(A111,'06_Target KPI'!$E$4:$P$4,0))*DAY(C111)/DAY(EOMONTH(C111,0)),INDEX('06_Target KPI'!$E$5:$P$100,MATCH(F111,'06_Target KPI'!$B$5:$B$100,0),MATCH(A111,'06_Target KPI'!$E$4:$P$4,0)))),0)</f>
        <v>0</v>
      </c>
      <c r="I111" s="24"/>
      <c r="J111" s="27">
        <f>IFERROR(MIN(IF(VLOOKUP(F111,'05_Master KPI'!$B$5:$G$100,5,FALSE)="Lower",H111/I111,I111/H111),1),0)</f>
        <v>0</v>
      </c>
      <c r="K111" s="26">
        <f>IFERROR(VLOOKUP(F111,'05_Master KPI'!$B$5:$G$100,4,FALSE),0)</f>
        <v>0</v>
      </c>
      <c r="L111" s="28">
        <f t="shared" si="1"/>
        <v>0</v>
      </c>
      <c r="M111" s="26" t="str">
        <f>IF(D111="","",IF(J111&gt;='13_Setting'!$H$7,"Tercapai",IF(J111&gt;='13_Setting'!$H$6,"On Track","Tertinggal")))</f>
        <v/>
      </c>
      <c r="N111" s="24"/>
    </row>
    <row r="112" spans="1:14">
      <c r="A112" s="24"/>
      <c r="B112" s="24"/>
      <c r="C112" s="25"/>
      <c r="D112" s="24"/>
      <c r="E112" s="26" t="str">
        <f>IFERROR(VLOOKUP(D112,'04_Master Karyawan'!$A$5:$F$50,2,FALSE),"")</f>
        <v/>
      </c>
      <c r="F112" s="24"/>
      <c r="G112" s="26" t="str">
        <f>IFERROR(VLOOKUP(F112,'05_Master KPI'!$B$5:$G$100,2,FALSE)&amp;" ("&amp;VLOOKUP(F112,'05_Master KPI'!$B$5:$G$100,3,FALSE)&amp;")","")</f>
        <v/>
      </c>
      <c r="H112" s="26">
        <f>IFERROR(IF(B112&lt;&gt;'06_Target KPI'!$B$3,0,IF(VLOOKUP(F112,'05_Master KPI'!$B$5:$G$100,6,FALSE)="Kumulatif",INDEX('06_Target KPI'!$E$5:$P$100,MATCH(F112,'06_Target KPI'!$B$5:$B$100,0),MATCH(A112,'06_Target KPI'!$E$4:$P$4,0))*DAY(C112)/DAY(EOMONTH(C112,0)),INDEX('06_Target KPI'!$E$5:$P$100,MATCH(F112,'06_Target KPI'!$B$5:$B$100,0),MATCH(A112,'06_Target KPI'!$E$4:$P$4,0)))),0)</f>
        <v>0</v>
      </c>
      <c r="I112" s="24"/>
      <c r="J112" s="27">
        <f>IFERROR(MIN(IF(VLOOKUP(F112,'05_Master KPI'!$B$5:$G$100,5,FALSE)="Lower",H112/I112,I112/H112),1),0)</f>
        <v>0</v>
      </c>
      <c r="K112" s="26">
        <f>IFERROR(VLOOKUP(F112,'05_Master KPI'!$B$5:$G$100,4,FALSE),0)</f>
        <v>0</v>
      </c>
      <c r="L112" s="28">
        <f t="shared" si="1"/>
        <v>0</v>
      </c>
      <c r="M112" s="26" t="str">
        <f>IF(D112="","",IF(J112&gt;='13_Setting'!$H$7,"Tercapai",IF(J112&gt;='13_Setting'!$H$6,"On Track","Tertinggal")))</f>
        <v/>
      </c>
      <c r="N112" s="24"/>
    </row>
    <row r="113" spans="1:14">
      <c r="A113" s="24"/>
      <c r="B113" s="24"/>
      <c r="C113" s="25"/>
      <c r="D113" s="24"/>
      <c r="E113" s="26" t="str">
        <f>IFERROR(VLOOKUP(D113,'04_Master Karyawan'!$A$5:$F$50,2,FALSE),"")</f>
        <v/>
      </c>
      <c r="F113" s="24"/>
      <c r="G113" s="26" t="str">
        <f>IFERROR(VLOOKUP(F113,'05_Master KPI'!$B$5:$G$100,2,FALSE)&amp;" ("&amp;VLOOKUP(F113,'05_Master KPI'!$B$5:$G$100,3,FALSE)&amp;")","")</f>
        <v/>
      </c>
      <c r="H113" s="26">
        <f>IFERROR(IF(B113&lt;&gt;'06_Target KPI'!$B$3,0,IF(VLOOKUP(F113,'05_Master KPI'!$B$5:$G$100,6,FALSE)="Kumulatif",INDEX('06_Target KPI'!$E$5:$P$100,MATCH(F113,'06_Target KPI'!$B$5:$B$100,0),MATCH(A113,'06_Target KPI'!$E$4:$P$4,0))*DAY(C113)/DAY(EOMONTH(C113,0)),INDEX('06_Target KPI'!$E$5:$P$100,MATCH(F113,'06_Target KPI'!$B$5:$B$100,0),MATCH(A113,'06_Target KPI'!$E$4:$P$4,0)))),0)</f>
        <v>0</v>
      </c>
      <c r="I113" s="24"/>
      <c r="J113" s="27">
        <f>IFERROR(MIN(IF(VLOOKUP(F113,'05_Master KPI'!$B$5:$G$100,5,FALSE)="Lower",H113/I113,I113/H113),1),0)</f>
        <v>0</v>
      </c>
      <c r="K113" s="26">
        <f>IFERROR(VLOOKUP(F113,'05_Master KPI'!$B$5:$G$100,4,FALSE),0)</f>
        <v>0</v>
      </c>
      <c r="L113" s="28">
        <f t="shared" si="1"/>
        <v>0</v>
      </c>
      <c r="M113" s="26" t="str">
        <f>IF(D113="","",IF(J113&gt;='13_Setting'!$H$7,"Tercapai",IF(J113&gt;='13_Setting'!$H$6,"On Track","Tertinggal")))</f>
        <v/>
      </c>
      <c r="N113" s="24"/>
    </row>
    <row r="114" spans="1:14">
      <c r="A114" s="24"/>
      <c r="B114" s="24"/>
      <c r="C114" s="25"/>
      <c r="D114" s="24"/>
      <c r="E114" s="26" t="str">
        <f>IFERROR(VLOOKUP(D114,'04_Master Karyawan'!$A$5:$F$50,2,FALSE),"")</f>
        <v/>
      </c>
      <c r="F114" s="24"/>
      <c r="G114" s="26" t="str">
        <f>IFERROR(VLOOKUP(F114,'05_Master KPI'!$B$5:$G$100,2,FALSE)&amp;" ("&amp;VLOOKUP(F114,'05_Master KPI'!$B$5:$G$100,3,FALSE)&amp;")","")</f>
        <v/>
      </c>
      <c r="H114" s="26">
        <f>IFERROR(IF(B114&lt;&gt;'06_Target KPI'!$B$3,0,IF(VLOOKUP(F114,'05_Master KPI'!$B$5:$G$100,6,FALSE)="Kumulatif",INDEX('06_Target KPI'!$E$5:$P$100,MATCH(F114,'06_Target KPI'!$B$5:$B$100,0),MATCH(A114,'06_Target KPI'!$E$4:$P$4,0))*DAY(C114)/DAY(EOMONTH(C114,0)),INDEX('06_Target KPI'!$E$5:$P$100,MATCH(F114,'06_Target KPI'!$B$5:$B$100,0),MATCH(A114,'06_Target KPI'!$E$4:$P$4,0)))),0)</f>
        <v>0</v>
      </c>
      <c r="I114" s="24"/>
      <c r="J114" s="27">
        <f>IFERROR(MIN(IF(VLOOKUP(F114,'05_Master KPI'!$B$5:$G$100,5,FALSE)="Lower",H114/I114,I114/H114),1),0)</f>
        <v>0</v>
      </c>
      <c r="K114" s="26">
        <f>IFERROR(VLOOKUP(F114,'05_Master KPI'!$B$5:$G$100,4,FALSE),0)</f>
        <v>0</v>
      </c>
      <c r="L114" s="28">
        <f t="shared" si="1"/>
        <v>0</v>
      </c>
      <c r="M114" s="26" t="str">
        <f>IF(D114="","",IF(J114&gt;='13_Setting'!$H$7,"Tercapai",IF(J114&gt;='13_Setting'!$H$6,"On Track","Tertinggal")))</f>
        <v/>
      </c>
      <c r="N114" s="24"/>
    </row>
    <row r="115" spans="1:14">
      <c r="A115" s="24"/>
      <c r="B115" s="24"/>
      <c r="C115" s="25"/>
      <c r="D115" s="24"/>
      <c r="E115" s="26" t="str">
        <f>IFERROR(VLOOKUP(D115,'04_Master Karyawan'!$A$5:$F$50,2,FALSE),"")</f>
        <v/>
      </c>
      <c r="F115" s="24"/>
      <c r="G115" s="26" t="str">
        <f>IFERROR(VLOOKUP(F115,'05_Master KPI'!$B$5:$G$100,2,FALSE)&amp;" ("&amp;VLOOKUP(F115,'05_Master KPI'!$B$5:$G$100,3,FALSE)&amp;")","")</f>
        <v/>
      </c>
      <c r="H115" s="26">
        <f>IFERROR(IF(B115&lt;&gt;'06_Target KPI'!$B$3,0,IF(VLOOKUP(F115,'05_Master KPI'!$B$5:$G$100,6,FALSE)="Kumulatif",INDEX('06_Target KPI'!$E$5:$P$100,MATCH(F115,'06_Target KPI'!$B$5:$B$100,0),MATCH(A115,'06_Target KPI'!$E$4:$P$4,0))*DAY(C115)/DAY(EOMONTH(C115,0)),INDEX('06_Target KPI'!$E$5:$P$100,MATCH(F115,'06_Target KPI'!$B$5:$B$100,0),MATCH(A115,'06_Target KPI'!$E$4:$P$4,0)))),0)</f>
        <v>0</v>
      </c>
      <c r="I115" s="24"/>
      <c r="J115" s="27">
        <f>IFERROR(MIN(IF(VLOOKUP(F115,'05_Master KPI'!$B$5:$G$100,5,FALSE)="Lower",H115/I115,I115/H115),1),0)</f>
        <v>0</v>
      </c>
      <c r="K115" s="26">
        <f>IFERROR(VLOOKUP(F115,'05_Master KPI'!$B$5:$G$100,4,FALSE),0)</f>
        <v>0</v>
      </c>
      <c r="L115" s="28">
        <f t="shared" si="1"/>
        <v>0</v>
      </c>
      <c r="M115" s="26" t="str">
        <f>IF(D115="","",IF(J115&gt;='13_Setting'!$H$7,"Tercapai",IF(J115&gt;='13_Setting'!$H$6,"On Track","Tertinggal")))</f>
        <v/>
      </c>
      <c r="N115" s="24"/>
    </row>
    <row r="116" spans="1:14">
      <c r="A116" s="24"/>
      <c r="B116" s="24"/>
      <c r="C116" s="25"/>
      <c r="D116" s="24"/>
      <c r="E116" s="26" t="str">
        <f>IFERROR(VLOOKUP(D116,'04_Master Karyawan'!$A$5:$F$50,2,FALSE),"")</f>
        <v/>
      </c>
      <c r="F116" s="24"/>
      <c r="G116" s="26" t="str">
        <f>IFERROR(VLOOKUP(F116,'05_Master KPI'!$B$5:$G$100,2,FALSE)&amp;" ("&amp;VLOOKUP(F116,'05_Master KPI'!$B$5:$G$100,3,FALSE)&amp;")","")</f>
        <v/>
      </c>
      <c r="H116" s="26">
        <f>IFERROR(IF(B116&lt;&gt;'06_Target KPI'!$B$3,0,IF(VLOOKUP(F116,'05_Master KPI'!$B$5:$G$100,6,FALSE)="Kumulatif",INDEX('06_Target KPI'!$E$5:$P$100,MATCH(F116,'06_Target KPI'!$B$5:$B$100,0),MATCH(A116,'06_Target KPI'!$E$4:$P$4,0))*DAY(C116)/DAY(EOMONTH(C116,0)),INDEX('06_Target KPI'!$E$5:$P$100,MATCH(F116,'06_Target KPI'!$B$5:$B$100,0),MATCH(A116,'06_Target KPI'!$E$4:$P$4,0)))),0)</f>
        <v>0</v>
      </c>
      <c r="I116" s="24"/>
      <c r="J116" s="27">
        <f>IFERROR(MIN(IF(VLOOKUP(F116,'05_Master KPI'!$B$5:$G$100,5,FALSE)="Lower",H116/I116,I116/H116),1),0)</f>
        <v>0</v>
      </c>
      <c r="K116" s="26">
        <f>IFERROR(VLOOKUP(F116,'05_Master KPI'!$B$5:$G$100,4,FALSE),0)</f>
        <v>0</v>
      </c>
      <c r="L116" s="28">
        <f t="shared" si="1"/>
        <v>0</v>
      </c>
      <c r="M116" s="26" t="str">
        <f>IF(D116="","",IF(J116&gt;='13_Setting'!$H$7,"Tercapai",IF(J116&gt;='13_Setting'!$H$6,"On Track","Tertinggal")))</f>
        <v/>
      </c>
      <c r="N116" s="24"/>
    </row>
    <row r="117" spans="1:14">
      <c r="A117" s="24"/>
      <c r="B117" s="24"/>
      <c r="C117" s="25"/>
      <c r="D117" s="24"/>
      <c r="E117" s="26" t="str">
        <f>IFERROR(VLOOKUP(D117,'04_Master Karyawan'!$A$5:$F$50,2,FALSE),"")</f>
        <v/>
      </c>
      <c r="F117" s="24"/>
      <c r="G117" s="26" t="str">
        <f>IFERROR(VLOOKUP(F117,'05_Master KPI'!$B$5:$G$100,2,FALSE)&amp;" ("&amp;VLOOKUP(F117,'05_Master KPI'!$B$5:$G$100,3,FALSE)&amp;")","")</f>
        <v/>
      </c>
      <c r="H117" s="26">
        <f>IFERROR(IF(B117&lt;&gt;'06_Target KPI'!$B$3,0,IF(VLOOKUP(F117,'05_Master KPI'!$B$5:$G$100,6,FALSE)="Kumulatif",INDEX('06_Target KPI'!$E$5:$P$100,MATCH(F117,'06_Target KPI'!$B$5:$B$100,0),MATCH(A117,'06_Target KPI'!$E$4:$P$4,0))*DAY(C117)/DAY(EOMONTH(C117,0)),INDEX('06_Target KPI'!$E$5:$P$100,MATCH(F117,'06_Target KPI'!$B$5:$B$100,0),MATCH(A117,'06_Target KPI'!$E$4:$P$4,0)))),0)</f>
        <v>0</v>
      </c>
      <c r="I117" s="24"/>
      <c r="J117" s="27">
        <f>IFERROR(MIN(IF(VLOOKUP(F117,'05_Master KPI'!$B$5:$G$100,5,FALSE)="Lower",H117/I117,I117/H117),1),0)</f>
        <v>0</v>
      </c>
      <c r="K117" s="26">
        <f>IFERROR(VLOOKUP(F117,'05_Master KPI'!$B$5:$G$100,4,FALSE),0)</f>
        <v>0</v>
      </c>
      <c r="L117" s="28">
        <f t="shared" si="1"/>
        <v>0</v>
      </c>
      <c r="M117" s="26" t="str">
        <f>IF(D117="","",IF(J117&gt;='13_Setting'!$H$7,"Tercapai",IF(J117&gt;='13_Setting'!$H$6,"On Track","Tertinggal")))</f>
        <v/>
      </c>
      <c r="N117" s="24"/>
    </row>
    <row r="118" spans="1:14">
      <c r="A118" s="24"/>
      <c r="B118" s="24"/>
      <c r="C118" s="25"/>
      <c r="D118" s="24"/>
      <c r="E118" s="26" t="str">
        <f>IFERROR(VLOOKUP(D118,'04_Master Karyawan'!$A$5:$F$50,2,FALSE),"")</f>
        <v/>
      </c>
      <c r="F118" s="24"/>
      <c r="G118" s="26" t="str">
        <f>IFERROR(VLOOKUP(F118,'05_Master KPI'!$B$5:$G$100,2,FALSE)&amp;" ("&amp;VLOOKUP(F118,'05_Master KPI'!$B$5:$G$100,3,FALSE)&amp;")","")</f>
        <v/>
      </c>
      <c r="H118" s="26">
        <f>IFERROR(IF(B118&lt;&gt;'06_Target KPI'!$B$3,0,IF(VLOOKUP(F118,'05_Master KPI'!$B$5:$G$100,6,FALSE)="Kumulatif",INDEX('06_Target KPI'!$E$5:$P$100,MATCH(F118,'06_Target KPI'!$B$5:$B$100,0),MATCH(A118,'06_Target KPI'!$E$4:$P$4,0))*DAY(C118)/DAY(EOMONTH(C118,0)),INDEX('06_Target KPI'!$E$5:$P$100,MATCH(F118,'06_Target KPI'!$B$5:$B$100,0),MATCH(A118,'06_Target KPI'!$E$4:$P$4,0)))),0)</f>
        <v>0</v>
      </c>
      <c r="I118" s="24"/>
      <c r="J118" s="27">
        <f>IFERROR(MIN(IF(VLOOKUP(F118,'05_Master KPI'!$B$5:$G$100,5,FALSE)="Lower",H118/I118,I118/H118),1),0)</f>
        <v>0</v>
      </c>
      <c r="K118" s="26">
        <f>IFERROR(VLOOKUP(F118,'05_Master KPI'!$B$5:$G$100,4,FALSE),0)</f>
        <v>0</v>
      </c>
      <c r="L118" s="28">
        <f t="shared" si="1"/>
        <v>0</v>
      </c>
      <c r="M118" s="26" t="str">
        <f>IF(D118="","",IF(J118&gt;='13_Setting'!$H$7,"Tercapai",IF(J118&gt;='13_Setting'!$H$6,"On Track","Tertinggal")))</f>
        <v/>
      </c>
      <c r="N118" s="24"/>
    </row>
    <row r="119" spans="1:14">
      <c r="A119" s="24"/>
      <c r="B119" s="24"/>
      <c r="C119" s="25"/>
      <c r="D119" s="24"/>
      <c r="E119" s="26" t="str">
        <f>IFERROR(VLOOKUP(D119,'04_Master Karyawan'!$A$5:$F$50,2,FALSE),"")</f>
        <v/>
      </c>
      <c r="F119" s="24"/>
      <c r="G119" s="26" t="str">
        <f>IFERROR(VLOOKUP(F119,'05_Master KPI'!$B$5:$G$100,2,FALSE)&amp;" ("&amp;VLOOKUP(F119,'05_Master KPI'!$B$5:$G$100,3,FALSE)&amp;")","")</f>
        <v/>
      </c>
      <c r="H119" s="26">
        <f>IFERROR(IF(B119&lt;&gt;'06_Target KPI'!$B$3,0,IF(VLOOKUP(F119,'05_Master KPI'!$B$5:$G$100,6,FALSE)="Kumulatif",INDEX('06_Target KPI'!$E$5:$P$100,MATCH(F119,'06_Target KPI'!$B$5:$B$100,0),MATCH(A119,'06_Target KPI'!$E$4:$P$4,0))*DAY(C119)/DAY(EOMONTH(C119,0)),INDEX('06_Target KPI'!$E$5:$P$100,MATCH(F119,'06_Target KPI'!$B$5:$B$100,0),MATCH(A119,'06_Target KPI'!$E$4:$P$4,0)))),0)</f>
        <v>0</v>
      </c>
      <c r="I119" s="24"/>
      <c r="J119" s="27">
        <f>IFERROR(MIN(IF(VLOOKUP(F119,'05_Master KPI'!$B$5:$G$100,5,FALSE)="Lower",H119/I119,I119/H119),1),0)</f>
        <v>0</v>
      </c>
      <c r="K119" s="26">
        <f>IFERROR(VLOOKUP(F119,'05_Master KPI'!$B$5:$G$100,4,FALSE),0)</f>
        <v>0</v>
      </c>
      <c r="L119" s="28">
        <f t="shared" si="1"/>
        <v>0</v>
      </c>
      <c r="M119" s="26" t="str">
        <f>IF(D119="","",IF(J119&gt;='13_Setting'!$H$7,"Tercapai",IF(J119&gt;='13_Setting'!$H$6,"On Track","Tertinggal")))</f>
        <v/>
      </c>
      <c r="N119" s="24"/>
    </row>
    <row r="120" spans="1:14">
      <c r="A120" s="24"/>
      <c r="B120" s="24"/>
      <c r="C120" s="25"/>
      <c r="D120" s="24"/>
      <c r="E120" s="26" t="str">
        <f>IFERROR(VLOOKUP(D120,'04_Master Karyawan'!$A$5:$F$50,2,FALSE),"")</f>
        <v/>
      </c>
      <c r="F120" s="24"/>
      <c r="G120" s="26" t="str">
        <f>IFERROR(VLOOKUP(F120,'05_Master KPI'!$B$5:$G$100,2,FALSE)&amp;" ("&amp;VLOOKUP(F120,'05_Master KPI'!$B$5:$G$100,3,FALSE)&amp;")","")</f>
        <v/>
      </c>
      <c r="H120" s="26">
        <f>IFERROR(IF(B120&lt;&gt;'06_Target KPI'!$B$3,0,IF(VLOOKUP(F120,'05_Master KPI'!$B$5:$G$100,6,FALSE)="Kumulatif",INDEX('06_Target KPI'!$E$5:$P$100,MATCH(F120,'06_Target KPI'!$B$5:$B$100,0),MATCH(A120,'06_Target KPI'!$E$4:$P$4,0))*DAY(C120)/DAY(EOMONTH(C120,0)),INDEX('06_Target KPI'!$E$5:$P$100,MATCH(F120,'06_Target KPI'!$B$5:$B$100,0),MATCH(A120,'06_Target KPI'!$E$4:$P$4,0)))),0)</f>
        <v>0</v>
      </c>
      <c r="I120" s="24"/>
      <c r="J120" s="27">
        <f>IFERROR(MIN(IF(VLOOKUP(F120,'05_Master KPI'!$B$5:$G$100,5,FALSE)="Lower",H120/I120,I120/H120),1),0)</f>
        <v>0</v>
      </c>
      <c r="K120" s="26">
        <f>IFERROR(VLOOKUP(F120,'05_Master KPI'!$B$5:$G$100,4,FALSE),0)</f>
        <v>0</v>
      </c>
      <c r="L120" s="28">
        <f t="shared" si="1"/>
        <v>0</v>
      </c>
      <c r="M120" s="26" t="str">
        <f>IF(D120="","",IF(J120&gt;='13_Setting'!$H$7,"Tercapai",IF(J120&gt;='13_Setting'!$H$6,"On Track","Tertinggal")))</f>
        <v/>
      </c>
      <c r="N120" s="24"/>
    </row>
    <row r="121" spans="1:14">
      <c r="A121" s="24"/>
      <c r="B121" s="24"/>
      <c r="C121" s="25"/>
      <c r="D121" s="24"/>
      <c r="E121" s="26" t="str">
        <f>IFERROR(VLOOKUP(D121,'04_Master Karyawan'!$A$5:$F$50,2,FALSE),"")</f>
        <v/>
      </c>
      <c r="F121" s="24"/>
      <c r="G121" s="26" t="str">
        <f>IFERROR(VLOOKUP(F121,'05_Master KPI'!$B$5:$G$100,2,FALSE)&amp;" ("&amp;VLOOKUP(F121,'05_Master KPI'!$B$5:$G$100,3,FALSE)&amp;")","")</f>
        <v/>
      </c>
      <c r="H121" s="26">
        <f>IFERROR(IF(B121&lt;&gt;'06_Target KPI'!$B$3,0,IF(VLOOKUP(F121,'05_Master KPI'!$B$5:$G$100,6,FALSE)="Kumulatif",INDEX('06_Target KPI'!$E$5:$P$100,MATCH(F121,'06_Target KPI'!$B$5:$B$100,0),MATCH(A121,'06_Target KPI'!$E$4:$P$4,0))*DAY(C121)/DAY(EOMONTH(C121,0)),INDEX('06_Target KPI'!$E$5:$P$100,MATCH(F121,'06_Target KPI'!$B$5:$B$100,0),MATCH(A121,'06_Target KPI'!$E$4:$P$4,0)))),0)</f>
        <v>0</v>
      </c>
      <c r="I121" s="24"/>
      <c r="J121" s="27">
        <f>IFERROR(MIN(IF(VLOOKUP(F121,'05_Master KPI'!$B$5:$G$100,5,FALSE)="Lower",H121/I121,I121/H121),1),0)</f>
        <v>0</v>
      </c>
      <c r="K121" s="26">
        <f>IFERROR(VLOOKUP(F121,'05_Master KPI'!$B$5:$G$100,4,FALSE),0)</f>
        <v>0</v>
      </c>
      <c r="L121" s="28">
        <f t="shared" si="1"/>
        <v>0</v>
      </c>
      <c r="M121" s="26" t="str">
        <f>IF(D121="","",IF(J121&gt;='13_Setting'!$H$7,"Tercapai",IF(J121&gt;='13_Setting'!$H$6,"On Track","Tertinggal")))</f>
        <v/>
      </c>
      <c r="N121" s="24"/>
    </row>
    <row r="122" spans="1:14">
      <c r="A122" s="24"/>
      <c r="B122" s="24"/>
      <c r="C122" s="25"/>
      <c r="D122" s="24"/>
      <c r="E122" s="26" t="str">
        <f>IFERROR(VLOOKUP(D122,'04_Master Karyawan'!$A$5:$F$50,2,FALSE),"")</f>
        <v/>
      </c>
      <c r="F122" s="24"/>
      <c r="G122" s="26" t="str">
        <f>IFERROR(VLOOKUP(F122,'05_Master KPI'!$B$5:$G$100,2,FALSE)&amp;" ("&amp;VLOOKUP(F122,'05_Master KPI'!$B$5:$G$100,3,FALSE)&amp;")","")</f>
        <v/>
      </c>
      <c r="H122" s="26">
        <f>IFERROR(IF(B122&lt;&gt;'06_Target KPI'!$B$3,0,IF(VLOOKUP(F122,'05_Master KPI'!$B$5:$G$100,6,FALSE)="Kumulatif",INDEX('06_Target KPI'!$E$5:$P$100,MATCH(F122,'06_Target KPI'!$B$5:$B$100,0),MATCH(A122,'06_Target KPI'!$E$4:$P$4,0))*DAY(C122)/DAY(EOMONTH(C122,0)),INDEX('06_Target KPI'!$E$5:$P$100,MATCH(F122,'06_Target KPI'!$B$5:$B$100,0),MATCH(A122,'06_Target KPI'!$E$4:$P$4,0)))),0)</f>
        <v>0</v>
      </c>
      <c r="I122" s="24"/>
      <c r="J122" s="27">
        <f>IFERROR(MIN(IF(VLOOKUP(F122,'05_Master KPI'!$B$5:$G$100,5,FALSE)="Lower",H122/I122,I122/H122),1),0)</f>
        <v>0</v>
      </c>
      <c r="K122" s="26">
        <f>IFERROR(VLOOKUP(F122,'05_Master KPI'!$B$5:$G$100,4,FALSE),0)</f>
        <v>0</v>
      </c>
      <c r="L122" s="28">
        <f t="shared" si="1"/>
        <v>0</v>
      </c>
      <c r="M122" s="26" t="str">
        <f>IF(D122="","",IF(J122&gt;='13_Setting'!$H$7,"Tercapai",IF(J122&gt;='13_Setting'!$H$6,"On Track","Tertinggal")))</f>
        <v/>
      </c>
      <c r="N122" s="24"/>
    </row>
    <row r="123" spans="1:14">
      <c r="A123" s="24"/>
      <c r="B123" s="24"/>
      <c r="C123" s="25"/>
      <c r="D123" s="24"/>
      <c r="E123" s="26" t="str">
        <f>IFERROR(VLOOKUP(D123,'04_Master Karyawan'!$A$5:$F$50,2,FALSE),"")</f>
        <v/>
      </c>
      <c r="F123" s="24"/>
      <c r="G123" s="26" t="str">
        <f>IFERROR(VLOOKUP(F123,'05_Master KPI'!$B$5:$G$100,2,FALSE)&amp;" ("&amp;VLOOKUP(F123,'05_Master KPI'!$B$5:$G$100,3,FALSE)&amp;")","")</f>
        <v/>
      </c>
      <c r="H123" s="26">
        <f>IFERROR(IF(B123&lt;&gt;'06_Target KPI'!$B$3,0,IF(VLOOKUP(F123,'05_Master KPI'!$B$5:$G$100,6,FALSE)="Kumulatif",INDEX('06_Target KPI'!$E$5:$P$100,MATCH(F123,'06_Target KPI'!$B$5:$B$100,0),MATCH(A123,'06_Target KPI'!$E$4:$P$4,0))*DAY(C123)/DAY(EOMONTH(C123,0)),INDEX('06_Target KPI'!$E$5:$P$100,MATCH(F123,'06_Target KPI'!$B$5:$B$100,0),MATCH(A123,'06_Target KPI'!$E$4:$P$4,0)))),0)</f>
        <v>0</v>
      </c>
      <c r="I123" s="24"/>
      <c r="J123" s="27">
        <f>IFERROR(MIN(IF(VLOOKUP(F123,'05_Master KPI'!$B$5:$G$100,5,FALSE)="Lower",H123/I123,I123/H123),1),0)</f>
        <v>0</v>
      </c>
      <c r="K123" s="26">
        <f>IFERROR(VLOOKUP(F123,'05_Master KPI'!$B$5:$G$100,4,FALSE),0)</f>
        <v>0</v>
      </c>
      <c r="L123" s="28">
        <f t="shared" si="1"/>
        <v>0</v>
      </c>
      <c r="M123" s="26" t="str">
        <f>IF(D123="","",IF(J123&gt;='13_Setting'!$H$7,"Tercapai",IF(J123&gt;='13_Setting'!$H$6,"On Track","Tertinggal")))</f>
        <v/>
      </c>
      <c r="N123" s="24"/>
    </row>
    <row r="124" spans="1:14">
      <c r="A124" s="24"/>
      <c r="B124" s="24"/>
      <c r="C124" s="25"/>
      <c r="D124" s="24"/>
      <c r="E124" s="26" t="str">
        <f>IFERROR(VLOOKUP(D124,'04_Master Karyawan'!$A$5:$F$50,2,FALSE),"")</f>
        <v/>
      </c>
      <c r="F124" s="24"/>
      <c r="G124" s="26" t="str">
        <f>IFERROR(VLOOKUP(F124,'05_Master KPI'!$B$5:$G$100,2,FALSE)&amp;" ("&amp;VLOOKUP(F124,'05_Master KPI'!$B$5:$G$100,3,FALSE)&amp;")","")</f>
        <v/>
      </c>
      <c r="H124" s="26">
        <f>IFERROR(IF(B124&lt;&gt;'06_Target KPI'!$B$3,0,IF(VLOOKUP(F124,'05_Master KPI'!$B$5:$G$100,6,FALSE)="Kumulatif",INDEX('06_Target KPI'!$E$5:$P$100,MATCH(F124,'06_Target KPI'!$B$5:$B$100,0),MATCH(A124,'06_Target KPI'!$E$4:$P$4,0))*DAY(C124)/DAY(EOMONTH(C124,0)),INDEX('06_Target KPI'!$E$5:$P$100,MATCH(F124,'06_Target KPI'!$B$5:$B$100,0),MATCH(A124,'06_Target KPI'!$E$4:$P$4,0)))),0)</f>
        <v>0</v>
      </c>
      <c r="I124" s="24"/>
      <c r="J124" s="27">
        <f>IFERROR(MIN(IF(VLOOKUP(F124,'05_Master KPI'!$B$5:$G$100,5,FALSE)="Lower",H124/I124,I124/H124),1),0)</f>
        <v>0</v>
      </c>
      <c r="K124" s="26">
        <f>IFERROR(VLOOKUP(F124,'05_Master KPI'!$B$5:$G$100,4,FALSE),0)</f>
        <v>0</v>
      </c>
      <c r="L124" s="28">
        <f t="shared" si="1"/>
        <v>0</v>
      </c>
      <c r="M124" s="26" t="str">
        <f>IF(D124="","",IF(J124&gt;='13_Setting'!$H$7,"Tercapai",IF(J124&gt;='13_Setting'!$H$6,"On Track","Tertinggal")))</f>
        <v/>
      </c>
      <c r="N124" s="24"/>
    </row>
    <row r="125" spans="1:14">
      <c r="A125" s="24"/>
      <c r="B125" s="24"/>
      <c r="C125" s="25"/>
      <c r="D125" s="24"/>
      <c r="E125" s="26" t="str">
        <f>IFERROR(VLOOKUP(D125,'04_Master Karyawan'!$A$5:$F$50,2,FALSE),"")</f>
        <v/>
      </c>
      <c r="F125" s="24"/>
      <c r="G125" s="26" t="str">
        <f>IFERROR(VLOOKUP(F125,'05_Master KPI'!$B$5:$G$100,2,FALSE)&amp;" ("&amp;VLOOKUP(F125,'05_Master KPI'!$B$5:$G$100,3,FALSE)&amp;")","")</f>
        <v/>
      </c>
      <c r="H125" s="26">
        <f>IFERROR(IF(B125&lt;&gt;'06_Target KPI'!$B$3,0,IF(VLOOKUP(F125,'05_Master KPI'!$B$5:$G$100,6,FALSE)="Kumulatif",INDEX('06_Target KPI'!$E$5:$P$100,MATCH(F125,'06_Target KPI'!$B$5:$B$100,0),MATCH(A125,'06_Target KPI'!$E$4:$P$4,0))*DAY(C125)/DAY(EOMONTH(C125,0)),INDEX('06_Target KPI'!$E$5:$P$100,MATCH(F125,'06_Target KPI'!$B$5:$B$100,0),MATCH(A125,'06_Target KPI'!$E$4:$P$4,0)))),0)</f>
        <v>0</v>
      </c>
      <c r="I125" s="24"/>
      <c r="J125" s="27">
        <f>IFERROR(MIN(IF(VLOOKUP(F125,'05_Master KPI'!$B$5:$G$100,5,FALSE)="Lower",H125/I125,I125/H125),1),0)</f>
        <v>0</v>
      </c>
      <c r="K125" s="26">
        <f>IFERROR(VLOOKUP(F125,'05_Master KPI'!$B$5:$G$100,4,FALSE),0)</f>
        <v>0</v>
      </c>
      <c r="L125" s="28">
        <f t="shared" si="1"/>
        <v>0</v>
      </c>
      <c r="M125" s="26" t="str">
        <f>IF(D125="","",IF(J125&gt;='13_Setting'!$H$7,"Tercapai",IF(J125&gt;='13_Setting'!$H$6,"On Track","Tertinggal")))</f>
        <v/>
      </c>
      <c r="N125" s="24"/>
    </row>
    <row r="126" spans="1:14">
      <c r="A126" s="24"/>
      <c r="B126" s="24"/>
      <c r="C126" s="25"/>
      <c r="D126" s="24"/>
      <c r="E126" s="26" t="str">
        <f>IFERROR(VLOOKUP(D126,'04_Master Karyawan'!$A$5:$F$50,2,FALSE),"")</f>
        <v/>
      </c>
      <c r="F126" s="24"/>
      <c r="G126" s="26" t="str">
        <f>IFERROR(VLOOKUP(F126,'05_Master KPI'!$B$5:$G$100,2,FALSE)&amp;" ("&amp;VLOOKUP(F126,'05_Master KPI'!$B$5:$G$100,3,FALSE)&amp;")","")</f>
        <v/>
      </c>
      <c r="H126" s="26">
        <f>IFERROR(IF(B126&lt;&gt;'06_Target KPI'!$B$3,0,IF(VLOOKUP(F126,'05_Master KPI'!$B$5:$G$100,6,FALSE)="Kumulatif",INDEX('06_Target KPI'!$E$5:$P$100,MATCH(F126,'06_Target KPI'!$B$5:$B$100,0),MATCH(A126,'06_Target KPI'!$E$4:$P$4,0))*DAY(C126)/DAY(EOMONTH(C126,0)),INDEX('06_Target KPI'!$E$5:$P$100,MATCH(F126,'06_Target KPI'!$B$5:$B$100,0),MATCH(A126,'06_Target KPI'!$E$4:$P$4,0)))),0)</f>
        <v>0</v>
      </c>
      <c r="I126" s="24"/>
      <c r="J126" s="27">
        <f>IFERROR(MIN(IF(VLOOKUP(F126,'05_Master KPI'!$B$5:$G$100,5,FALSE)="Lower",H126/I126,I126/H126),1),0)</f>
        <v>0</v>
      </c>
      <c r="K126" s="26">
        <f>IFERROR(VLOOKUP(F126,'05_Master KPI'!$B$5:$G$100,4,FALSE),0)</f>
        <v>0</v>
      </c>
      <c r="L126" s="28">
        <f t="shared" si="1"/>
        <v>0</v>
      </c>
      <c r="M126" s="26" t="str">
        <f>IF(D126="","",IF(J126&gt;='13_Setting'!$H$7,"Tercapai",IF(J126&gt;='13_Setting'!$H$6,"On Track","Tertinggal")))</f>
        <v/>
      </c>
      <c r="N126" s="24"/>
    </row>
    <row r="127" spans="1:14">
      <c r="A127" s="24"/>
      <c r="B127" s="24"/>
      <c r="C127" s="25"/>
      <c r="D127" s="24"/>
      <c r="E127" s="26" t="str">
        <f>IFERROR(VLOOKUP(D127,'04_Master Karyawan'!$A$5:$F$50,2,FALSE),"")</f>
        <v/>
      </c>
      <c r="F127" s="24"/>
      <c r="G127" s="26" t="str">
        <f>IFERROR(VLOOKUP(F127,'05_Master KPI'!$B$5:$G$100,2,FALSE)&amp;" ("&amp;VLOOKUP(F127,'05_Master KPI'!$B$5:$G$100,3,FALSE)&amp;")","")</f>
        <v/>
      </c>
      <c r="H127" s="26">
        <f>IFERROR(IF(B127&lt;&gt;'06_Target KPI'!$B$3,0,IF(VLOOKUP(F127,'05_Master KPI'!$B$5:$G$100,6,FALSE)="Kumulatif",INDEX('06_Target KPI'!$E$5:$P$100,MATCH(F127,'06_Target KPI'!$B$5:$B$100,0),MATCH(A127,'06_Target KPI'!$E$4:$P$4,0))*DAY(C127)/DAY(EOMONTH(C127,0)),INDEX('06_Target KPI'!$E$5:$P$100,MATCH(F127,'06_Target KPI'!$B$5:$B$100,0),MATCH(A127,'06_Target KPI'!$E$4:$P$4,0)))),0)</f>
        <v>0</v>
      </c>
      <c r="I127" s="24"/>
      <c r="J127" s="27">
        <f>IFERROR(MIN(IF(VLOOKUP(F127,'05_Master KPI'!$B$5:$G$100,5,FALSE)="Lower",H127/I127,I127/H127),1),0)</f>
        <v>0</v>
      </c>
      <c r="K127" s="26">
        <f>IFERROR(VLOOKUP(F127,'05_Master KPI'!$B$5:$G$100,4,FALSE),0)</f>
        <v>0</v>
      </c>
      <c r="L127" s="28">
        <f t="shared" si="1"/>
        <v>0</v>
      </c>
      <c r="M127" s="26" t="str">
        <f>IF(D127="","",IF(J127&gt;='13_Setting'!$H$7,"Tercapai",IF(J127&gt;='13_Setting'!$H$6,"On Track","Tertinggal")))</f>
        <v/>
      </c>
      <c r="N127" s="24"/>
    </row>
    <row r="128" spans="1:14">
      <c r="A128" s="24"/>
      <c r="B128" s="24"/>
      <c r="C128" s="25"/>
      <c r="D128" s="24"/>
      <c r="E128" s="26" t="str">
        <f>IFERROR(VLOOKUP(D128,'04_Master Karyawan'!$A$5:$F$50,2,FALSE),"")</f>
        <v/>
      </c>
      <c r="F128" s="24"/>
      <c r="G128" s="26" t="str">
        <f>IFERROR(VLOOKUP(F128,'05_Master KPI'!$B$5:$G$100,2,FALSE)&amp;" ("&amp;VLOOKUP(F128,'05_Master KPI'!$B$5:$G$100,3,FALSE)&amp;")","")</f>
        <v/>
      </c>
      <c r="H128" s="26">
        <f>IFERROR(IF(B128&lt;&gt;'06_Target KPI'!$B$3,0,IF(VLOOKUP(F128,'05_Master KPI'!$B$5:$G$100,6,FALSE)="Kumulatif",INDEX('06_Target KPI'!$E$5:$P$100,MATCH(F128,'06_Target KPI'!$B$5:$B$100,0),MATCH(A128,'06_Target KPI'!$E$4:$P$4,0))*DAY(C128)/DAY(EOMONTH(C128,0)),INDEX('06_Target KPI'!$E$5:$P$100,MATCH(F128,'06_Target KPI'!$B$5:$B$100,0),MATCH(A128,'06_Target KPI'!$E$4:$P$4,0)))),0)</f>
        <v>0</v>
      </c>
      <c r="I128" s="24"/>
      <c r="J128" s="27">
        <f>IFERROR(MIN(IF(VLOOKUP(F128,'05_Master KPI'!$B$5:$G$100,5,FALSE)="Lower",H128/I128,I128/H128),1),0)</f>
        <v>0</v>
      </c>
      <c r="K128" s="26">
        <f>IFERROR(VLOOKUP(F128,'05_Master KPI'!$B$5:$G$100,4,FALSE),0)</f>
        <v>0</v>
      </c>
      <c r="L128" s="28">
        <f t="shared" si="1"/>
        <v>0</v>
      </c>
      <c r="M128" s="26" t="str">
        <f>IF(D128="","",IF(J128&gt;='13_Setting'!$H$7,"Tercapai",IF(J128&gt;='13_Setting'!$H$6,"On Track","Tertinggal")))</f>
        <v/>
      </c>
      <c r="N128" s="24"/>
    </row>
    <row r="129" spans="1:14">
      <c r="A129" s="24"/>
      <c r="B129" s="24"/>
      <c r="C129" s="25"/>
      <c r="D129" s="24"/>
      <c r="E129" s="26" t="str">
        <f>IFERROR(VLOOKUP(D129,'04_Master Karyawan'!$A$5:$F$50,2,FALSE),"")</f>
        <v/>
      </c>
      <c r="F129" s="24"/>
      <c r="G129" s="26" t="str">
        <f>IFERROR(VLOOKUP(F129,'05_Master KPI'!$B$5:$G$100,2,FALSE)&amp;" ("&amp;VLOOKUP(F129,'05_Master KPI'!$B$5:$G$100,3,FALSE)&amp;")","")</f>
        <v/>
      </c>
      <c r="H129" s="26">
        <f>IFERROR(IF(B129&lt;&gt;'06_Target KPI'!$B$3,0,IF(VLOOKUP(F129,'05_Master KPI'!$B$5:$G$100,6,FALSE)="Kumulatif",INDEX('06_Target KPI'!$E$5:$P$100,MATCH(F129,'06_Target KPI'!$B$5:$B$100,0),MATCH(A129,'06_Target KPI'!$E$4:$P$4,0))*DAY(C129)/DAY(EOMONTH(C129,0)),INDEX('06_Target KPI'!$E$5:$P$100,MATCH(F129,'06_Target KPI'!$B$5:$B$100,0),MATCH(A129,'06_Target KPI'!$E$4:$P$4,0)))),0)</f>
        <v>0</v>
      </c>
      <c r="I129" s="24"/>
      <c r="J129" s="27">
        <f>IFERROR(MIN(IF(VLOOKUP(F129,'05_Master KPI'!$B$5:$G$100,5,FALSE)="Lower",H129/I129,I129/H129),1),0)</f>
        <v>0</v>
      </c>
      <c r="K129" s="26">
        <f>IFERROR(VLOOKUP(F129,'05_Master KPI'!$B$5:$G$100,4,FALSE),0)</f>
        <v>0</v>
      </c>
      <c r="L129" s="28">
        <f t="shared" si="1"/>
        <v>0</v>
      </c>
      <c r="M129" s="26" t="str">
        <f>IF(D129="","",IF(J129&gt;='13_Setting'!$H$7,"Tercapai",IF(J129&gt;='13_Setting'!$H$6,"On Track","Tertinggal")))</f>
        <v/>
      </c>
      <c r="N129" s="24"/>
    </row>
    <row r="130" spans="1:14">
      <c r="A130" s="24"/>
      <c r="B130" s="24"/>
      <c r="C130" s="25"/>
      <c r="D130" s="24"/>
      <c r="E130" s="26" t="str">
        <f>IFERROR(VLOOKUP(D130,'04_Master Karyawan'!$A$5:$F$50,2,FALSE),"")</f>
        <v/>
      </c>
      <c r="F130" s="24"/>
      <c r="G130" s="26" t="str">
        <f>IFERROR(VLOOKUP(F130,'05_Master KPI'!$B$5:$G$100,2,FALSE)&amp;" ("&amp;VLOOKUP(F130,'05_Master KPI'!$B$5:$G$100,3,FALSE)&amp;")","")</f>
        <v/>
      </c>
      <c r="H130" s="26">
        <f>IFERROR(IF(B130&lt;&gt;'06_Target KPI'!$B$3,0,IF(VLOOKUP(F130,'05_Master KPI'!$B$5:$G$100,6,FALSE)="Kumulatif",INDEX('06_Target KPI'!$E$5:$P$100,MATCH(F130,'06_Target KPI'!$B$5:$B$100,0),MATCH(A130,'06_Target KPI'!$E$4:$P$4,0))*DAY(C130)/DAY(EOMONTH(C130,0)),INDEX('06_Target KPI'!$E$5:$P$100,MATCH(F130,'06_Target KPI'!$B$5:$B$100,0),MATCH(A130,'06_Target KPI'!$E$4:$P$4,0)))),0)</f>
        <v>0</v>
      </c>
      <c r="I130" s="24"/>
      <c r="J130" s="27">
        <f>IFERROR(MIN(IF(VLOOKUP(F130,'05_Master KPI'!$B$5:$G$100,5,FALSE)="Lower",H130/I130,I130/H130),1),0)</f>
        <v>0</v>
      </c>
      <c r="K130" s="26">
        <f>IFERROR(VLOOKUP(F130,'05_Master KPI'!$B$5:$G$100,4,FALSE),0)</f>
        <v>0</v>
      </c>
      <c r="L130" s="28">
        <f t="shared" si="1"/>
        <v>0</v>
      </c>
      <c r="M130" s="26" t="str">
        <f>IF(D130="","",IF(J130&gt;='13_Setting'!$H$7,"Tercapai",IF(J130&gt;='13_Setting'!$H$6,"On Track","Tertinggal")))</f>
        <v/>
      </c>
      <c r="N130" s="24"/>
    </row>
    <row r="131" spans="1:14">
      <c r="A131" s="24"/>
      <c r="B131" s="24"/>
      <c r="C131" s="25"/>
      <c r="D131" s="24"/>
      <c r="E131" s="26" t="str">
        <f>IFERROR(VLOOKUP(D131,'04_Master Karyawan'!$A$5:$F$50,2,FALSE),"")</f>
        <v/>
      </c>
      <c r="F131" s="24"/>
      <c r="G131" s="26" t="str">
        <f>IFERROR(VLOOKUP(F131,'05_Master KPI'!$B$5:$G$100,2,FALSE)&amp;" ("&amp;VLOOKUP(F131,'05_Master KPI'!$B$5:$G$100,3,FALSE)&amp;")","")</f>
        <v/>
      </c>
      <c r="H131" s="26">
        <f>IFERROR(IF(B131&lt;&gt;'06_Target KPI'!$B$3,0,IF(VLOOKUP(F131,'05_Master KPI'!$B$5:$G$100,6,FALSE)="Kumulatif",INDEX('06_Target KPI'!$E$5:$P$100,MATCH(F131,'06_Target KPI'!$B$5:$B$100,0),MATCH(A131,'06_Target KPI'!$E$4:$P$4,0))*DAY(C131)/DAY(EOMONTH(C131,0)),INDEX('06_Target KPI'!$E$5:$P$100,MATCH(F131,'06_Target KPI'!$B$5:$B$100,0),MATCH(A131,'06_Target KPI'!$E$4:$P$4,0)))),0)</f>
        <v>0</v>
      </c>
      <c r="I131" s="24"/>
      <c r="J131" s="27">
        <f>IFERROR(MIN(IF(VLOOKUP(F131,'05_Master KPI'!$B$5:$G$100,5,FALSE)="Lower",H131/I131,I131/H131),1),0)</f>
        <v>0</v>
      </c>
      <c r="K131" s="26">
        <f>IFERROR(VLOOKUP(F131,'05_Master KPI'!$B$5:$G$100,4,FALSE),0)</f>
        <v>0</v>
      </c>
      <c r="L131" s="28">
        <f t="shared" si="1"/>
        <v>0</v>
      </c>
      <c r="M131" s="26" t="str">
        <f>IF(D131="","",IF(J131&gt;='13_Setting'!$H$7,"Tercapai",IF(J131&gt;='13_Setting'!$H$6,"On Track","Tertinggal")))</f>
        <v/>
      </c>
      <c r="N131" s="24"/>
    </row>
    <row r="132" spans="1:14">
      <c r="A132" s="24"/>
      <c r="B132" s="24"/>
      <c r="C132" s="25"/>
      <c r="D132" s="24"/>
      <c r="E132" s="26" t="str">
        <f>IFERROR(VLOOKUP(D132,'04_Master Karyawan'!$A$5:$F$50,2,FALSE),"")</f>
        <v/>
      </c>
      <c r="F132" s="24"/>
      <c r="G132" s="26" t="str">
        <f>IFERROR(VLOOKUP(F132,'05_Master KPI'!$B$5:$G$100,2,FALSE)&amp;" ("&amp;VLOOKUP(F132,'05_Master KPI'!$B$5:$G$100,3,FALSE)&amp;")","")</f>
        <v/>
      </c>
      <c r="H132" s="26">
        <f>IFERROR(IF(B132&lt;&gt;'06_Target KPI'!$B$3,0,IF(VLOOKUP(F132,'05_Master KPI'!$B$5:$G$100,6,FALSE)="Kumulatif",INDEX('06_Target KPI'!$E$5:$P$100,MATCH(F132,'06_Target KPI'!$B$5:$B$100,0),MATCH(A132,'06_Target KPI'!$E$4:$P$4,0))*DAY(C132)/DAY(EOMONTH(C132,0)),INDEX('06_Target KPI'!$E$5:$P$100,MATCH(F132,'06_Target KPI'!$B$5:$B$100,0),MATCH(A132,'06_Target KPI'!$E$4:$P$4,0)))),0)</f>
        <v>0</v>
      </c>
      <c r="I132" s="24"/>
      <c r="J132" s="27">
        <f>IFERROR(MIN(IF(VLOOKUP(F132,'05_Master KPI'!$B$5:$G$100,5,FALSE)="Lower",H132/I132,I132/H132),1),0)</f>
        <v>0</v>
      </c>
      <c r="K132" s="26">
        <f>IFERROR(VLOOKUP(F132,'05_Master KPI'!$B$5:$G$100,4,FALSE),0)</f>
        <v>0</v>
      </c>
      <c r="L132" s="28">
        <f t="shared" si="1"/>
        <v>0</v>
      </c>
      <c r="M132" s="26" t="str">
        <f>IF(D132="","",IF(J132&gt;='13_Setting'!$H$7,"Tercapai",IF(J132&gt;='13_Setting'!$H$6,"On Track","Tertinggal")))</f>
        <v/>
      </c>
      <c r="N132" s="24"/>
    </row>
    <row r="133" spans="1:14">
      <c r="A133" s="24"/>
      <c r="B133" s="24"/>
      <c r="C133" s="25"/>
      <c r="D133" s="24"/>
      <c r="E133" s="26" t="str">
        <f>IFERROR(VLOOKUP(D133,'04_Master Karyawan'!$A$5:$F$50,2,FALSE),"")</f>
        <v/>
      </c>
      <c r="F133" s="24"/>
      <c r="G133" s="26" t="str">
        <f>IFERROR(VLOOKUP(F133,'05_Master KPI'!$B$5:$G$100,2,FALSE)&amp;" ("&amp;VLOOKUP(F133,'05_Master KPI'!$B$5:$G$100,3,FALSE)&amp;")","")</f>
        <v/>
      </c>
      <c r="H133" s="26">
        <f>IFERROR(IF(B133&lt;&gt;'06_Target KPI'!$B$3,0,IF(VLOOKUP(F133,'05_Master KPI'!$B$5:$G$100,6,FALSE)="Kumulatif",INDEX('06_Target KPI'!$E$5:$P$100,MATCH(F133,'06_Target KPI'!$B$5:$B$100,0),MATCH(A133,'06_Target KPI'!$E$4:$P$4,0))*DAY(C133)/DAY(EOMONTH(C133,0)),INDEX('06_Target KPI'!$E$5:$P$100,MATCH(F133,'06_Target KPI'!$B$5:$B$100,0),MATCH(A133,'06_Target KPI'!$E$4:$P$4,0)))),0)</f>
        <v>0</v>
      </c>
      <c r="I133" s="24"/>
      <c r="J133" s="27">
        <f>IFERROR(MIN(IF(VLOOKUP(F133,'05_Master KPI'!$B$5:$G$100,5,FALSE)="Lower",H133/I133,I133/H133),1),0)</f>
        <v>0</v>
      </c>
      <c r="K133" s="26">
        <f>IFERROR(VLOOKUP(F133,'05_Master KPI'!$B$5:$G$100,4,FALSE),0)</f>
        <v>0</v>
      </c>
      <c r="L133" s="28">
        <f t="shared" ref="L133:L196" si="2">J133*K133</f>
        <v>0</v>
      </c>
      <c r="M133" s="26" t="str">
        <f>IF(D133="","",IF(J133&gt;='13_Setting'!$H$7,"Tercapai",IF(J133&gt;='13_Setting'!$H$6,"On Track","Tertinggal")))</f>
        <v/>
      </c>
      <c r="N133" s="24"/>
    </row>
    <row r="134" spans="1:14">
      <c r="A134" s="24"/>
      <c r="B134" s="24"/>
      <c r="C134" s="25"/>
      <c r="D134" s="24"/>
      <c r="E134" s="26" t="str">
        <f>IFERROR(VLOOKUP(D134,'04_Master Karyawan'!$A$5:$F$50,2,FALSE),"")</f>
        <v/>
      </c>
      <c r="F134" s="24"/>
      <c r="G134" s="26" t="str">
        <f>IFERROR(VLOOKUP(F134,'05_Master KPI'!$B$5:$G$100,2,FALSE)&amp;" ("&amp;VLOOKUP(F134,'05_Master KPI'!$B$5:$G$100,3,FALSE)&amp;")","")</f>
        <v/>
      </c>
      <c r="H134" s="26">
        <f>IFERROR(IF(B134&lt;&gt;'06_Target KPI'!$B$3,0,IF(VLOOKUP(F134,'05_Master KPI'!$B$5:$G$100,6,FALSE)="Kumulatif",INDEX('06_Target KPI'!$E$5:$P$100,MATCH(F134,'06_Target KPI'!$B$5:$B$100,0),MATCH(A134,'06_Target KPI'!$E$4:$P$4,0))*DAY(C134)/DAY(EOMONTH(C134,0)),INDEX('06_Target KPI'!$E$5:$P$100,MATCH(F134,'06_Target KPI'!$B$5:$B$100,0),MATCH(A134,'06_Target KPI'!$E$4:$P$4,0)))),0)</f>
        <v>0</v>
      </c>
      <c r="I134" s="24"/>
      <c r="J134" s="27">
        <f>IFERROR(MIN(IF(VLOOKUP(F134,'05_Master KPI'!$B$5:$G$100,5,FALSE)="Lower",H134/I134,I134/H134),1),0)</f>
        <v>0</v>
      </c>
      <c r="K134" s="26">
        <f>IFERROR(VLOOKUP(F134,'05_Master KPI'!$B$5:$G$100,4,FALSE),0)</f>
        <v>0</v>
      </c>
      <c r="L134" s="28">
        <f t="shared" si="2"/>
        <v>0</v>
      </c>
      <c r="M134" s="26" t="str">
        <f>IF(D134="","",IF(J134&gt;='13_Setting'!$H$7,"Tercapai",IF(J134&gt;='13_Setting'!$H$6,"On Track","Tertinggal")))</f>
        <v/>
      </c>
      <c r="N134" s="24"/>
    </row>
    <row r="135" spans="1:14">
      <c r="A135" s="24"/>
      <c r="B135" s="24"/>
      <c r="C135" s="25"/>
      <c r="D135" s="24"/>
      <c r="E135" s="26" t="str">
        <f>IFERROR(VLOOKUP(D135,'04_Master Karyawan'!$A$5:$F$50,2,FALSE),"")</f>
        <v/>
      </c>
      <c r="F135" s="24"/>
      <c r="G135" s="26" t="str">
        <f>IFERROR(VLOOKUP(F135,'05_Master KPI'!$B$5:$G$100,2,FALSE)&amp;" ("&amp;VLOOKUP(F135,'05_Master KPI'!$B$5:$G$100,3,FALSE)&amp;")","")</f>
        <v/>
      </c>
      <c r="H135" s="26">
        <f>IFERROR(IF(B135&lt;&gt;'06_Target KPI'!$B$3,0,IF(VLOOKUP(F135,'05_Master KPI'!$B$5:$G$100,6,FALSE)="Kumulatif",INDEX('06_Target KPI'!$E$5:$P$100,MATCH(F135,'06_Target KPI'!$B$5:$B$100,0),MATCH(A135,'06_Target KPI'!$E$4:$P$4,0))*DAY(C135)/DAY(EOMONTH(C135,0)),INDEX('06_Target KPI'!$E$5:$P$100,MATCH(F135,'06_Target KPI'!$B$5:$B$100,0),MATCH(A135,'06_Target KPI'!$E$4:$P$4,0)))),0)</f>
        <v>0</v>
      </c>
      <c r="I135" s="24"/>
      <c r="J135" s="27">
        <f>IFERROR(MIN(IF(VLOOKUP(F135,'05_Master KPI'!$B$5:$G$100,5,FALSE)="Lower",H135/I135,I135/H135),1),0)</f>
        <v>0</v>
      </c>
      <c r="K135" s="26">
        <f>IFERROR(VLOOKUP(F135,'05_Master KPI'!$B$5:$G$100,4,FALSE),0)</f>
        <v>0</v>
      </c>
      <c r="L135" s="28">
        <f t="shared" si="2"/>
        <v>0</v>
      </c>
      <c r="M135" s="26" t="str">
        <f>IF(D135="","",IF(J135&gt;='13_Setting'!$H$7,"Tercapai",IF(J135&gt;='13_Setting'!$H$6,"On Track","Tertinggal")))</f>
        <v/>
      </c>
      <c r="N135" s="24"/>
    </row>
    <row r="136" spans="1:14">
      <c r="A136" s="24"/>
      <c r="B136" s="24"/>
      <c r="C136" s="25"/>
      <c r="D136" s="24"/>
      <c r="E136" s="26" t="str">
        <f>IFERROR(VLOOKUP(D136,'04_Master Karyawan'!$A$5:$F$50,2,FALSE),"")</f>
        <v/>
      </c>
      <c r="F136" s="24"/>
      <c r="G136" s="26" t="str">
        <f>IFERROR(VLOOKUP(F136,'05_Master KPI'!$B$5:$G$100,2,FALSE)&amp;" ("&amp;VLOOKUP(F136,'05_Master KPI'!$B$5:$G$100,3,FALSE)&amp;")","")</f>
        <v/>
      </c>
      <c r="H136" s="26">
        <f>IFERROR(IF(B136&lt;&gt;'06_Target KPI'!$B$3,0,IF(VLOOKUP(F136,'05_Master KPI'!$B$5:$G$100,6,FALSE)="Kumulatif",INDEX('06_Target KPI'!$E$5:$P$100,MATCH(F136,'06_Target KPI'!$B$5:$B$100,0),MATCH(A136,'06_Target KPI'!$E$4:$P$4,0))*DAY(C136)/DAY(EOMONTH(C136,0)),INDEX('06_Target KPI'!$E$5:$P$100,MATCH(F136,'06_Target KPI'!$B$5:$B$100,0),MATCH(A136,'06_Target KPI'!$E$4:$P$4,0)))),0)</f>
        <v>0</v>
      </c>
      <c r="I136" s="24"/>
      <c r="J136" s="27">
        <f>IFERROR(MIN(IF(VLOOKUP(F136,'05_Master KPI'!$B$5:$G$100,5,FALSE)="Lower",H136/I136,I136/H136),1),0)</f>
        <v>0</v>
      </c>
      <c r="K136" s="26">
        <f>IFERROR(VLOOKUP(F136,'05_Master KPI'!$B$5:$G$100,4,FALSE),0)</f>
        <v>0</v>
      </c>
      <c r="L136" s="28">
        <f t="shared" si="2"/>
        <v>0</v>
      </c>
      <c r="M136" s="26" t="str">
        <f>IF(D136="","",IF(J136&gt;='13_Setting'!$H$7,"Tercapai",IF(J136&gt;='13_Setting'!$H$6,"On Track","Tertinggal")))</f>
        <v/>
      </c>
      <c r="N136" s="24"/>
    </row>
    <row r="137" spans="1:14">
      <c r="A137" s="24"/>
      <c r="B137" s="24"/>
      <c r="C137" s="25"/>
      <c r="D137" s="24"/>
      <c r="E137" s="26" t="str">
        <f>IFERROR(VLOOKUP(D137,'04_Master Karyawan'!$A$5:$F$50,2,FALSE),"")</f>
        <v/>
      </c>
      <c r="F137" s="24"/>
      <c r="G137" s="26" t="str">
        <f>IFERROR(VLOOKUP(F137,'05_Master KPI'!$B$5:$G$100,2,FALSE)&amp;" ("&amp;VLOOKUP(F137,'05_Master KPI'!$B$5:$G$100,3,FALSE)&amp;")","")</f>
        <v/>
      </c>
      <c r="H137" s="26">
        <f>IFERROR(IF(B137&lt;&gt;'06_Target KPI'!$B$3,0,IF(VLOOKUP(F137,'05_Master KPI'!$B$5:$G$100,6,FALSE)="Kumulatif",INDEX('06_Target KPI'!$E$5:$P$100,MATCH(F137,'06_Target KPI'!$B$5:$B$100,0),MATCH(A137,'06_Target KPI'!$E$4:$P$4,0))*DAY(C137)/DAY(EOMONTH(C137,0)),INDEX('06_Target KPI'!$E$5:$P$100,MATCH(F137,'06_Target KPI'!$B$5:$B$100,0),MATCH(A137,'06_Target KPI'!$E$4:$P$4,0)))),0)</f>
        <v>0</v>
      </c>
      <c r="I137" s="24"/>
      <c r="J137" s="27">
        <f>IFERROR(MIN(IF(VLOOKUP(F137,'05_Master KPI'!$B$5:$G$100,5,FALSE)="Lower",H137/I137,I137/H137),1),0)</f>
        <v>0</v>
      </c>
      <c r="K137" s="26">
        <f>IFERROR(VLOOKUP(F137,'05_Master KPI'!$B$5:$G$100,4,FALSE),0)</f>
        <v>0</v>
      </c>
      <c r="L137" s="28">
        <f t="shared" si="2"/>
        <v>0</v>
      </c>
      <c r="M137" s="26" t="str">
        <f>IF(D137="","",IF(J137&gt;='13_Setting'!$H$7,"Tercapai",IF(J137&gt;='13_Setting'!$H$6,"On Track","Tertinggal")))</f>
        <v/>
      </c>
      <c r="N137" s="24"/>
    </row>
    <row r="138" spans="1:14">
      <c r="A138" s="24"/>
      <c r="B138" s="24"/>
      <c r="C138" s="25"/>
      <c r="D138" s="24"/>
      <c r="E138" s="26" t="str">
        <f>IFERROR(VLOOKUP(D138,'04_Master Karyawan'!$A$5:$F$50,2,FALSE),"")</f>
        <v/>
      </c>
      <c r="F138" s="24"/>
      <c r="G138" s="26" t="str">
        <f>IFERROR(VLOOKUP(F138,'05_Master KPI'!$B$5:$G$100,2,FALSE)&amp;" ("&amp;VLOOKUP(F138,'05_Master KPI'!$B$5:$G$100,3,FALSE)&amp;")","")</f>
        <v/>
      </c>
      <c r="H138" s="26">
        <f>IFERROR(IF(B138&lt;&gt;'06_Target KPI'!$B$3,0,IF(VLOOKUP(F138,'05_Master KPI'!$B$5:$G$100,6,FALSE)="Kumulatif",INDEX('06_Target KPI'!$E$5:$P$100,MATCH(F138,'06_Target KPI'!$B$5:$B$100,0),MATCH(A138,'06_Target KPI'!$E$4:$P$4,0))*DAY(C138)/DAY(EOMONTH(C138,0)),INDEX('06_Target KPI'!$E$5:$P$100,MATCH(F138,'06_Target KPI'!$B$5:$B$100,0),MATCH(A138,'06_Target KPI'!$E$4:$P$4,0)))),0)</f>
        <v>0</v>
      </c>
      <c r="I138" s="24"/>
      <c r="J138" s="27">
        <f>IFERROR(MIN(IF(VLOOKUP(F138,'05_Master KPI'!$B$5:$G$100,5,FALSE)="Lower",H138/I138,I138/H138),1),0)</f>
        <v>0</v>
      </c>
      <c r="K138" s="26">
        <f>IFERROR(VLOOKUP(F138,'05_Master KPI'!$B$5:$G$100,4,FALSE),0)</f>
        <v>0</v>
      </c>
      <c r="L138" s="28">
        <f t="shared" si="2"/>
        <v>0</v>
      </c>
      <c r="M138" s="26" t="str">
        <f>IF(D138="","",IF(J138&gt;='13_Setting'!$H$7,"Tercapai",IF(J138&gt;='13_Setting'!$H$6,"On Track","Tertinggal")))</f>
        <v/>
      </c>
      <c r="N138" s="24"/>
    </row>
    <row r="139" spans="1:14">
      <c r="A139" s="24"/>
      <c r="B139" s="24"/>
      <c r="C139" s="25"/>
      <c r="D139" s="24"/>
      <c r="E139" s="26" t="str">
        <f>IFERROR(VLOOKUP(D139,'04_Master Karyawan'!$A$5:$F$50,2,FALSE),"")</f>
        <v/>
      </c>
      <c r="F139" s="24"/>
      <c r="G139" s="26" t="str">
        <f>IFERROR(VLOOKUP(F139,'05_Master KPI'!$B$5:$G$100,2,FALSE)&amp;" ("&amp;VLOOKUP(F139,'05_Master KPI'!$B$5:$G$100,3,FALSE)&amp;")","")</f>
        <v/>
      </c>
      <c r="H139" s="26">
        <f>IFERROR(IF(B139&lt;&gt;'06_Target KPI'!$B$3,0,IF(VLOOKUP(F139,'05_Master KPI'!$B$5:$G$100,6,FALSE)="Kumulatif",INDEX('06_Target KPI'!$E$5:$P$100,MATCH(F139,'06_Target KPI'!$B$5:$B$100,0),MATCH(A139,'06_Target KPI'!$E$4:$P$4,0))*DAY(C139)/DAY(EOMONTH(C139,0)),INDEX('06_Target KPI'!$E$5:$P$100,MATCH(F139,'06_Target KPI'!$B$5:$B$100,0),MATCH(A139,'06_Target KPI'!$E$4:$P$4,0)))),0)</f>
        <v>0</v>
      </c>
      <c r="I139" s="24"/>
      <c r="J139" s="27">
        <f>IFERROR(MIN(IF(VLOOKUP(F139,'05_Master KPI'!$B$5:$G$100,5,FALSE)="Lower",H139/I139,I139/H139),1),0)</f>
        <v>0</v>
      </c>
      <c r="K139" s="26">
        <f>IFERROR(VLOOKUP(F139,'05_Master KPI'!$B$5:$G$100,4,FALSE),0)</f>
        <v>0</v>
      </c>
      <c r="L139" s="28">
        <f t="shared" si="2"/>
        <v>0</v>
      </c>
      <c r="M139" s="26" t="str">
        <f>IF(D139="","",IF(J139&gt;='13_Setting'!$H$7,"Tercapai",IF(J139&gt;='13_Setting'!$H$6,"On Track","Tertinggal")))</f>
        <v/>
      </c>
      <c r="N139" s="24"/>
    </row>
    <row r="140" spans="1:14">
      <c r="A140" s="24"/>
      <c r="B140" s="24"/>
      <c r="C140" s="25"/>
      <c r="D140" s="24"/>
      <c r="E140" s="26" t="str">
        <f>IFERROR(VLOOKUP(D140,'04_Master Karyawan'!$A$5:$F$50,2,FALSE),"")</f>
        <v/>
      </c>
      <c r="F140" s="24"/>
      <c r="G140" s="26" t="str">
        <f>IFERROR(VLOOKUP(F140,'05_Master KPI'!$B$5:$G$100,2,FALSE)&amp;" ("&amp;VLOOKUP(F140,'05_Master KPI'!$B$5:$G$100,3,FALSE)&amp;")","")</f>
        <v/>
      </c>
      <c r="H140" s="26">
        <f>IFERROR(IF(B140&lt;&gt;'06_Target KPI'!$B$3,0,IF(VLOOKUP(F140,'05_Master KPI'!$B$5:$G$100,6,FALSE)="Kumulatif",INDEX('06_Target KPI'!$E$5:$P$100,MATCH(F140,'06_Target KPI'!$B$5:$B$100,0),MATCH(A140,'06_Target KPI'!$E$4:$P$4,0))*DAY(C140)/DAY(EOMONTH(C140,0)),INDEX('06_Target KPI'!$E$5:$P$100,MATCH(F140,'06_Target KPI'!$B$5:$B$100,0),MATCH(A140,'06_Target KPI'!$E$4:$P$4,0)))),0)</f>
        <v>0</v>
      </c>
      <c r="I140" s="24"/>
      <c r="J140" s="27">
        <f>IFERROR(MIN(IF(VLOOKUP(F140,'05_Master KPI'!$B$5:$G$100,5,FALSE)="Lower",H140/I140,I140/H140),1),0)</f>
        <v>0</v>
      </c>
      <c r="K140" s="26">
        <f>IFERROR(VLOOKUP(F140,'05_Master KPI'!$B$5:$G$100,4,FALSE),0)</f>
        <v>0</v>
      </c>
      <c r="L140" s="28">
        <f t="shared" si="2"/>
        <v>0</v>
      </c>
      <c r="M140" s="26" t="str">
        <f>IF(D140="","",IF(J140&gt;='13_Setting'!$H$7,"Tercapai",IF(J140&gt;='13_Setting'!$H$6,"On Track","Tertinggal")))</f>
        <v/>
      </c>
      <c r="N140" s="24"/>
    </row>
    <row r="141" spans="1:14">
      <c r="A141" s="24"/>
      <c r="B141" s="24"/>
      <c r="C141" s="25"/>
      <c r="D141" s="24"/>
      <c r="E141" s="26" t="str">
        <f>IFERROR(VLOOKUP(D141,'04_Master Karyawan'!$A$5:$F$50,2,FALSE),"")</f>
        <v/>
      </c>
      <c r="F141" s="24"/>
      <c r="G141" s="26" t="str">
        <f>IFERROR(VLOOKUP(F141,'05_Master KPI'!$B$5:$G$100,2,FALSE)&amp;" ("&amp;VLOOKUP(F141,'05_Master KPI'!$B$5:$G$100,3,FALSE)&amp;")","")</f>
        <v/>
      </c>
      <c r="H141" s="26">
        <f>IFERROR(IF(B141&lt;&gt;'06_Target KPI'!$B$3,0,IF(VLOOKUP(F141,'05_Master KPI'!$B$5:$G$100,6,FALSE)="Kumulatif",INDEX('06_Target KPI'!$E$5:$P$100,MATCH(F141,'06_Target KPI'!$B$5:$B$100,0),MATCH(A141,'06_Target KPI'!$E$4:$P$4,0))*DAY(C141)/DAY(EOMONTH(C141,0)),INDEX('06_Target KPI'!$E$5:$P$100,MATCH(F141,'06_Target KPI'!$B$5:$B$100,0),MATCH(A141,'06_Target KPI'!$E$4:$P$4,0)))),0)</f>
        <v>0</v>
      </c>
      <c r="I141" s="24"/>
      <c r="J141" s="27">
        <f>IFERROR(MIN(IF(VLOOKUP(F141,'05_Master KPI'!$B$5:$G$100,5,FALSE)="Lower",H141/I141,I141/H141),1),0)</f>
        <v>0</v>
      </c>
      <c r="K141" s="26">
        <f>IFERROR(VLOOKUP(F141,'05_Master KPI'!$B$5:$G$100,4,FALSE),0)</f>
        <v>0</v>
      </c>
      <c r="L141" s="28">
        <f t="shared" si="2"/>
        <v>0</v>
      </c>
      <c r="M141" s="26" t="str">
        <f>IF(D141="","",IF(J141&gt;='13_Setting'!$H$7,"Tercapai",IF(J141&gt;='13_Setting'!$H$6,"On Track","Tertinggal")))</f>
        <v/>
      </c>
      <c r="N141" s="24"/>
    </row>
    <row r="142" spans="1:14">
      <c r="A142" s="24"/>
      <c r="B142" s="24"/>
      <c r="C142" s="25"/>
      <c r="D142" s="24"/>
      <c r="E142" s="26" t="str">
        <f>IFERROR(VLOOKUP(D142,'04_Master Karyawan'!$A$5:$F$50,2,FALSE),"")</f>
        <v/>
      </c>
      <c r="F142" s="24"/>
      <c r="G142" s="26" t="str">
        <f>IFERROR(VLOOKUP(F142,'05_Master KPI'!$B$5:$G$100,2,FALSE)&amp;" ("&amp;VLOOKUP(F142,'05_Master KPI'!$B$5:$G$100,3,FALSE)&amp;")","")</f>
        <v/>
      </c>
      <c r="H142" s="26">
        <f>IFERROR(IF(B142&lt;&gt;'06_Target KPI'!$B$3,0,IF(VLOOKUP(F142,'05_Master KPI'!$B$5:$G$100,6,FALSE)="Kumulatif",INDEX('06_Target KPI'!$E$5:$P$100,MATCH(F142,'06_Target KPI'!$B$5:$B$100,0),MATCH(A142,'06_Target KPI'!$E$4:$P$4,0))*DAY(C142)/DAY(EOMONTH(C142,0)),INDEX('06_Target KPI'!$E$5:$P$100,MATCH(F142,'06_Target KPI'!$B$5:$B$100,0),MATCH(A142,'06_Target KPI'!$E$4:$P$4,0)))),0)</f>
        <v>0</v>
      </c>
      <c r="I142" s="24"/>
      <c r="J142" s="27">
        <f>IFERROR(MIN(IF(VLOOKUP(F142,'05_Master KPI'!$B$5:$G$100,5,FALSE)="Lower",H142/I142,I142/H142),1),0)</f>
        <v>0</v>
      </c>
      <c r="K142" s="26">
        <f>IFERROR(VLOOKUP(F142,'05_Master KPI'!$B$5:$G$100,4,FALSE),0)</f>
        <v>0</v>
      </c>
      <c r="L142" s="28">
        <f t="shared" si="2"/>
        <v>0</v>
      </c>
      <c r="M142" s="26" t="str">
        <f>IF(D142="","",IF(J142&gt;='13_Setting'!$H$7,"Tercapai",IF(J142&gt;='13_Setting'!$H$6,"On Track","Tertinggal")))</f>
        <v/>
      </c>
      <c r="N142" s="24"/>
    </row>
    <row r="143" spans="1:14">
      <c r="A143" s="24"/>
      <c r="B143" s="24"/>
      <c r="C143" s="25"/>
      <c r="D143" s="24"/>
      <c r="E143" s="26" t="str">
        <f>IFERROR(VLOOKUP(D143,'04_Master Karyawan'!$A$5:$F$50,2,FALSE),"")</f>
        <v/>
      </c>
      <c r="F143" s="24"/>
      <c r="G143" s="26" t="str">
        <f>IFERROR(VLOOKUP(F143,'05_Master KPI'!$B$5:$G$100,2,FALSE)&amp;" ("&amp;VLOOKUP(F143,'05_Master KPI'!$B$5:$G$100,3,FALSE)&amp;")","")</f>
        <v/>
      </c>
      <c r="H143" s="26">
        <f>IFERROR(IF(B143&lt;&gt;'06_Target KPI'!$B$3,0,IF(VLOOKUP(F143,'05_Master KPI'!$B$5:$G$100,6,FALSE)="Kumulatif",INDEX('06_Target KPI'!$E$5:$P$100,MATCH(F143,'06_Target KPI'!$B$5:$B$100,0),MATCH(A143,'06_Target KPI'!$E$4:$P$4,0))*DAY(C143)/DAY(EOMONTH(C143,0)),INDEX('06_Target KPI'!$E$5:$P$100,MATCH(F143,'06_Target KPI'!$B$5:$B$100,0),MATCH(A143,'06_Target KPI'!$E$4:$P$4,0)))),0)</f>
        <v>0</v>
      </c>
      <c r="I143" s="24"/>
      <c r="J143" s="27">
        <f>IFERROR(MIN(IF(VLOOKUP(F143,'05_Master KPI'!$B$5:$G$100,5,FALSE)="Lower",H143/I143,I143/H143),1),0)</f>
        <v>0</v>
      </c>
      <c r="K143" s="26">
        <f>IFERROR(VLOOKUP(F143,'05_Master KPI'!$B$5:$G$100,4,FALSE),0)</f>
        <v>0</v>
      </c>
      <c r="L143" s="28">
        <f t="shared" si="2"/>
        <v>0</v>
      </c>
      <c r="M143" s="26" t="str">
        <f>IF(D143="","",IF(J143&gt;='13_Setting'!$H$7,"Tercapai",IF(J143&gt;='13_Setting'!$H$6,"On Track","Tertinggal")))</f>
        <v/>
      </c>
      <c r="N143" s="24"/>
    </row>
    <row r="144" spans="1:14">
      <c r="A144" s="24"/>
      <c r="B144" s="24"/>
      <c r="C144" s="25"/>
      <c r="D144" s="24"/>
      <c r="E144" s="26" t="str">
        <f>IFERROR(VLOOKUP(D144,'04_Master Karyawan'!$A$5:$F$50,2,FALSE),"")</f>
        <v/>
      </c>
      <c r="F144" s="24"/>
      <c r="G144" s="26" t="str">
        <f>IFERROR(VLOOKUP(F144,'05_Master KPI'!$B$5:$G$100,2,FALSE)&amp;" ("&amp;VLOOKUP(F144,'05_Master KPI'!$B$5:$G$100,3,FALSE)&amp;")","")</f>
        <v/>
      </c>
      <c r="H144" s="26">
        <f>IFERROR(IF(B144&lt;&gt;'06_Target KPI'!$B$3,0,IF(VLOOKUP(F144,'05_Master KPI'!$B$5:$G$100,6,FALSE)="Kumulatif",INDEX('06_Target KPI'!$E$5:$P$100,MATCH(F144,'06_Target KPI'!$B$5:$B$100,0),MATCH(A144,'06_Target KPI'!$E$4:$P$4,0))*DAY(C144)/DAY(EOMONTH(C144,0)),INDEX('06_Target KPI'!$E$5:$P$100,MATCH(F144,'06_Target KPI'!$B$5:$B$100,0),MATCH(A144,'06_Target KPI'!$E$4:$P$4,0)))),0)</f>
        <v>0</v>
      </c>
      <c r="I144" s="24"/>
      <c r="J144" s="27">
        <f>IFERROR(MIN(IF(VLOOKUP(F144,'05_Master KPI'!$B$5:$G$100,5,FALSE)="Lower",H144/I144,I144/H144),1),0)</f>
        <v>0</v>
      </c>
      <c r="K144" s="26">
        <f>IFERROR(VLOOKUP(F144,'05_Master KPI'!$B$5:$G$100,4,FALSE),0)</f>
        <v>0</v>
      </c>
      <c r="L144" s="28">
        <f t="shared" si="2"/>
        <v>0</v>
      </c>
      <c r="M144" s="26" t="str">
        <f>IF(D144="","",IF(J144&gt;='13_Setting'!$H$7,"Tercapai",IF(J144&gt;='13_Setting'!$H$6,"On Track","Tertinggal")))</f>
        <v/>
      </c>
      <c r="N144" s="24"/>
    </row>
    <row r="145" spans="1:14">
      <c r="A145" s="24"/>
      <c r="B145" s="24"/>
      <c r="C145" s="25"/>
      <c r="D145" s="24"/>
      <c r="E145" s="26" t="str">
        <f>IFERROR(VLOOKUP(D145,'04_Master Karyawan'!$A$5:$F$50,2,FALSE),"")</f>
        <v/>
      </c>
      <c r="F145" s="24"/>
      <c r="G145" s="26" t="str">
        <f>IFERROR(VLOOKUP(F145,'05_Master KPI'!$B$5:$G$100,2,FALSE)&amp;" ("&amp;VLOOKUP(F145,'05_Master KPI'!$B$5:$G$100,3,FALSE)&amp;")","")</f>
        <v/>
      </c>
      <c r="H145" s="26">
        <f>IFERROR(IF(B145&lt;&gt;'06_Target KPI'!$B$3,0,IF(VLOOKUP(F145,'05_Master KPI'!$B$5:$G$100,6,FALSE)="Kumulatif",INDEX('06_Target KPI'!$E$5:$P$100,MATCH(F145,'06_Target KPI'!$B$5:$B$100,0),MATCH(A145,'06_Target KPI'!$E$4:$P$4,0))*DAY(C145)/DAY(EOMONTH(C145,0)),INDEX('06_Target KPI'!$E$5:$P$100,MATCH(F145,'06_Target KPI'!$B$5:$B$100,0),MATCH(A145,'06_Target KPI'!$E$4:$P$4,0)))),0)</f>
        <v>0</v>
      </c>
      <c r="I145" s="24"/>
      <c r="J145" s="27">
        <f>IFERROR(MIN(IF(VLOOKUP(F145,'05_Master KPI'!$B$5:$G$100,5,FALSE)="Lower",H145/I145,I145/H145),1),0)</f>
        <v>0</v>
      </c>
      <c r="K145" s="26">
        <f>IFERROR(VLOOKUP(F145,'05_Master KPI'!$B$5:$G$100,4,FALSE),0)</f>
        <v>0</v>
      </c>
      <c r="L145" s="28">
        <f t="shared" si="2"/>
        <v>0</v>
      </c>
      <c r="M145" s="26" t="str">
        <f>IF(D145="","",IF(J145&gt;='13_Setting'!$H$7,"Tercapai",IF(J145&gt;='13_Setting'!$H$6,"On Track","Tertinggal")))</f>
        <v/>
      </c>
      <c r="N145" s="24"/>
    </row>
    <row r="146" spans="1:14">
      <c r="A146" s="24"/>
      <c r="B146" s="24"/>
      <c r="C146" s="25"/>
      <c r="D146" s="24"/>
      <c r="E146" s="26" t="str">
        <f>IFERROR(VLOOKUP(D146,'04_Master Karyawan'!$A$5:$F$50,2,FALSE),"")</f>
        <v/>
      </c>
      <c r="F146" s="24"/>
      <c r="G146" s="26" t="str">
        <f>IFERROR(VLOOKUP(F146,'05_Master KPI'!$B$5:$G$100,2,FALSE)&amp;" ("&amp;VLOOKUP(F146,'05_Master KPI'!$B$5:$G$100,3,FALSE)&amp;")","")</f>
        <v/>
      </c>
      <c r="H146" s="26">
        <f>IFERROR(IF(B146&lt;&gt;'06_Target KPI'!$B$3,0,IF(VLOOKUP(F146,'05_Master KPI'!$B$5:$G$100,6,FALSE)="Kumulatif",INDEX('06_Target KPI'!$E$5:$P$100,MATCH(F146,'06_Target KPI'!$B$5:$B$100,0),MATCH(A146,'06_Target KPI'!$E$4:$P$4,0))*DAY(C146)/DAY(EOMONTH(C146,0)),INDEX('06_Target KPI'!$E$5:$P$100,MATCH(F146,'06_Target KPI'!$B$5:$B$100,0),MATCH(A146,'06_Target KPI'!$E$4:$P$4,0)))),0)</f>
        <v>0</v>
      </c>
      <c r="I146" s="24"/>
      <c r="J146" s="27">
        <f>IFERROR(MIN(IF(VLOOKUP(F146,'05_Master KPI'!$B$5:$G$100,5,FALSE)="Lower",H146/I146,I146/H146),1),0)</f>
        <v>0</v>
      </c>
      <c r="K146" s="26">
        <f>IFERROR(VLOOKUP(F146,'05_Master KPI'!$B$5:$G$100,4,FALSE),0)</f>
        <v>0</v>
      </c>
      <c r="L146" s="28">
        <f t="shared" si="2"/>
        <v>0</v>
      </c>
      <c r="M146" s="26" t="str">
        <f>IF(D146="","",IF(J146&gt;='13_Setting'!$H$7,"Tercapai",IF(J146&gt;='13_Setting'!$H$6,"On Track","Tertinggal")))</f>
        <v/>
      </c>
      <c r="N146" s="24"/>
    </row>
    <row r="147" spans="1:14">
      <c r="A147" s="24"/>
      <c r="B147" s="24"/>
      <c r="C147" s="25"/>
      <c r="D147" s="24"/>
      <c r="E147" s="26" t="str">
        <f>IFERROR(VLOOKUP(D147,'04_Master Karyawan'!$A$5:$F$50,2,FALSE),"")</f>
        <v/>
      </c>
      <c r="F147" s="24"/>
      <c r="G147" s="26" t="str">
        <f>IFERROR(VLOOKUP(F147,'05_Master KPI'!$B$5:$G$100,2,FALSE)&amp;" ("&amp;VLOOKUP(F147,'05_Master KPI'!$B$5:$G$100,3,FALSE)&amp;")","")</f>
        <v/>
      </c>
      <c r="H147" s="26">
        <f>IFERROR(IF(B147&lt;&gt;'06_Target KPI'!$B$3,0,IF(VLOOKUP(F147,'05_Master KPI'!$B$5:$G$100,6,FALSE)="Kumulatif",INDEX('06_Target KPI'!$E$5:$P$100,MATCH(F147,'06_Target KPI'!$B$5:$B$100,0),MATCH(A147,'06_Target KPI'!$E$4:$P$4,0))*DAY(C147)/DAY(EOMONTH(C147,0)),INDEX('06_Target KPI'!$E$5:$P$100,MATCH(F147,'06_Target KPI'!$B$5:$B$100,0),MATCH(A147,'06_Target KPI'!$E$4:$P$4,0)))),0)</f>
        <v>0</v>
      </c>
      <c r="I147" s="24"/>
      <c r="J147" s="27">
        <f>IFERROR(MIN(IF(VLOOKUP(F147,'05_Master KPI'!$B$5:$G$100,5,FALSE)="Lower",H147/I147,I147/H147),1),0)</f>
        <v>0</v>
      </c>
      <c r="K147" s="26">
        <f>IFERROR(VLOOKUP(F147,'05_Master KPI'!$B$5:$G$100,4,FALSE),0)</f>
        <v>0</v>
      </c>
      <c r="L147" s="28">
        <f t="shared" si="2"/>
        <v>0</v>
      </c>
      <c r="M147" s="26" t="str">
        <f>IF(D147="","",IF(J147&gt;='13_Setting'!$H$7,"Tercapai",IF(J147&gt;='13_Setting'!$H$6,"On Track","Tertinggal")))</f>
        <v/>
      </c>
      <c r="N147" s="24"/>
    </row>
    <row r="148" spans="1:14">
      <c r="A148" s="24"/>
      <c r="B148" s="24"/>
      <c r="C148" s="25"/>
      <c r="D148" s="24"/>
      <c r="E148" s="26" t="str">
        <f>IFERROR(VLOOKUP(D148,'04_Master Karyawan'!$A$5:$F$50,2,FALSE),"")</f>
        <v/>
      </c>
      <c r="F148" s="24"/>
      <c r="G148" s="26" t="str">
        <f>IFERROR(VLOOKUP(F148,'05_Master KPI'!$B$5:$G$100,2,FALSE)&amp;" ("&amp;VLOOKUP(F148,'05_Master KPI'!$B$5:$G$100,3,FALSE)&amp;")","")</f>
        <v/>
      </c>
      <c r="H148" s="26">
        <f>IFERROR(IF(B148&lt;&gt;'06_Target KPI'!$B$3,0,IF(VLOOKUP(F148,'05_Master KPI'!$B$5:$G$100,6,FALSE)="Kumulatif",INDEX('06_Target KPI'!$E$5:$P$100,MATCH(F148,'06_Target KPI'!$B$5:$B$100,0),MATCH(A148,'06_Target KPI'!$E$4:$P$4,0))*DAY(C148)/DAY(EOMONTH(C148,0)),INDEX('06_Target KPI'!$E$5:$P$100,MATCH(F148,'06_Target KPI'!$B$5:$B$100,0),MATCH(A148,'06_Target KPI'!$E$4:$P$4,0)))),0)</f>
        <v>0</v>
      </c>
      <c r="I148" s="24"/>
      <c r="J148" s="27">
        <f>IFERROR(MIN(IF(VLOOKUP(F148,'05_Master KPI'!$B$5:$G$100,5,FALSE)="Lower",H148/I148,I148/H148),1),0)</f>
        <v>0</v>
      </c>
      <c r="K148" s="26">
        <f>IFERROR(VLOOKUP(F148,'05_Master KPI'!$B$5:$G$100,4,FALSE),0)</f>
        <v>0</v>
      </c>
      <c r="L148" s="28">
        <f t="shared" si="2"/>
        <v>0</v>
      </c>
      <c r="M148" s="26" t="str">
        <f>IF(D148="","",IF(J148&gt;='13_Setting'!$H$7,"Tercapai",IF(J148&gt;='13_Setting'!$H$6,"On Track","Tertinggal")))</f>
        <v/>
      </c>
      <c r="N148" s="24"/>
    </row>
    <row r="149" spans="1:14">
      <c r="A149" s="24"/>
      <c r="B149" s="24"/>
      <c r="C149" s="25"/>
      <c r="D149" s="24"/>
      <c r="E149" s="26" t="str">
        <f>IFERROR(VLOOKUP(D149,'04_Master Karyawan'!$A$5:$F$50,2,FALSE),"")</f>
        <v/>
      </c>
      <c r="F149" s="24"/>
      <c r="G149" s="26" t="str">
        <f>IFERROR(VLOOKUP(F149,'05_Master KPI'!$B$5:$G$100,2,FALSE)&amp;" ("&amp;VLOOKUP(F149,'05_Master KPI'!$B$5:$G$100,3,FALSE)&amp;")","")</f>
        <v/>
      </c>
      <c r="H149" s="26">
        <f>IFERROR(IF(B149&lt;&gt;'06_Target KPI'!$B$3,0,IF(VLOOKUP(F149,'05_Master KPI'!$B$5:$G$100,6,FALSE)="Kumulatif",INDEX('06_Target KPI'!$E$5:$P$100,MATCH(F149,'06_Target KPI'!$B$5:$B$100,0),MATCH(A149,'06_Target KPI'!$E$4:$P$4,0))*DAY(C149)/DAY(EOMONTH(C149,0)),INDEX('06_Target KPI'!$E$5:$P$100,MATCH(F149,'06_Target KPI'!$B$5:$B$100,0),MATCH(A149,'06_Target KPI'!$E$4:$P$4,0)))),0)</f>
        <v>0</v>
      </c>
      <c r="I149" s="24"/>
      <c r="J149" s="27">
        <f>IFERROR(MIN(IF(VLOOKUP(F149,'05_Master KPI'!$B$5:$G$100,5,FALSE)="Lower",H149/I149,I149/H149),1),0)</f>
        <v>0</v>
      </c>
      <c r="K149" s="26">
        <f>IFERROR(VLOOKUP(F149,'05_Master KPI'!$B$5:$G$100,4,FALSE),0)</f>
        <v>0</v>
      </c>
      <c r="L149" s="28">
        <f t="shared" si="2"/>
        <v>0</v>
      </c>
      <c r="M149" s="26" t="str">
        <f>IF(D149="","",IF(J149&gt;='13_Setting'!$H$7,"Tercapai",IF(J149&gt;='13_Setting'!$H$6,"On Track","Tertinggal")))</f>
        <v/>
      </c>
      <c r="N149" s="24"/>
    </row>
    <row r="150" spans="1:14">
      <c r="A150" s="24"/>
      <c r="B150" s="24"/>
      <c r="C150" s="25"/>
      <c r="D150" s="24"/>
      <c r="E150" s="26" t="str">
        <f>IFERROR(VLOOKUP(D150,'04_Master Karyawan'!$A$5:$F$50,2,FALSE),"")</f>
        <v/>
      </c>
      <c r="F150" s="24"/>
      <c r="G150" s="26" t="str">
        <f>IFERROR(VLOOKUP(F150,'05_Master KPI'!$B$5:$G$100,2,FALSE)&amp;" ("&amp;VLOOKUP(F150,'05_Master KPI'!$B$5:$G$100,3,FALSE)&amp;")","")</f>
        <v/>
      </c>
      <c r="H150" s="26">
        <f>IFERROR(IF(B150&lt;&gt;'06_Target KPI'!$B$3,0,IF(VLOOKUP(F150,'05_Master KPI'!$B$5:$G$100,6,FALSE)="Kumulatif",INDEX('06_Target KPI'!$E$5:$P$100,MATCH(F150,'06_Target KPI'!$B$5:$B$100,0),MATCH(A150,'06_Target KPI'!$E$4:$P$4,0))*DAY(C150)/DAY(EOMONTH(C150,0)),INDEX('06_Target KPI'!$E$5:$P$100,MATCH(F150,'06_Target KPI'!$B$5:$B$100,0),MATCH(A150,'06_Target KPI'!$E$4:$P$4,0)))),0)</f>
        <v>0</v>
      </c>
      <c r="I150" s="24"/>
      <c r="J150" s="27">
        <f>IFERROR(MIN(IF(VLOOKUP(F150,'05_Master KPI'!$B$5:$G$100,5,FALSE)="Lower",H150/I150,I150/H150),1),0)</f>
        <v>0</v>
      </c>
      <c r="K150" s="26">
        <f>IFERROR(VLOOKUP(F150,'05_Master KPI'!$B$5:$G$100,4,FALSE),0)</f>
        <v>0</v>
      </c>
      <c r="L150" s="28">
        <f t="shared" si="2"/>
        <v>0</v>
      </c>
      <c r="M150" s="26" t="str">
        <f>IF(D150="","",IF(J150&gt;='13_Setting'!$H$7,"Tercapai",IF(J150&gt;='13_Setting'!$H$6,"On Track","Tertinggal")))</f>
        <v/>
      </c>
      <c r="N150" s="24"/>
    </row>
    <row r="151" spans="1:14">
      <c r="A151" s="24"/>
      <c r="B151" s="24"/>
      <c r="C151" s="25"/>
      <c r="D151" s="24"/>
      <c r="E151" s="26" t="str">
        <f>IFERROR(VLOOKUP(D151,'04_Master Karyawan'!$A$5:$F$50,2,FALSE),"")</f>
        <v/>
      </c>
      <c r="F151" s="24"/>
      <c r="G151" s="26" t="str">
        <f>IFERROR(VLOOKUP(F151,'05_Master KPI'!$B$5:$G$100,2,FALSE)&amp;" ("&amp;VLOOKUP(F151,'05_Master KPI'!$B$5:$G$100,3,FALSE)&amp;")","")</f>
        <v/>
      </c>
      <c r="H151" s="26">
        <f>IFERROR(IF(B151&lt;&gt;'06_Target KPI'!$B$3,0,IF(VLOOKUP(F151,'05_Master KPI'!$B$5:$G$100,6,FALSE)="Kumulatif",INDEX('06_Target KPI'!$E$5:$P$100,MATCH(F151,'06_Target KPI'!$B$5:$B$100,0),MATCH(A151,'06_Target KPI'!$E$4:$P$4,0))*DAY(C151)/DAY(EOMONTH(C151,0)),INDEX('06_Target KPI'!$E$5:$P$100,MATCH(F151,'06_Target KPI'!$B$5:$B$100,0),MATCH(A151,'06_Target KPI'!$E$4:$P$4,0)))),0)</f>
        <v>0</v>
      </c>
      <c r="I151" s="24"/>
      <c r="J151" s="27">
        <f>IFERROR(MIN(IF(VLOOKUP(F151,'05_Master KPI'!$B$5:$G$100,5,FALSE)="Lower",H151/I151,I151/H151),1),0)</f>
        <v>0</v>
      </c>
      <c r="K151" s="26">
        <f>IFERROR(VLOOKUP(F151,'05_Master KPI'!$B$5:$G$100,4,FALSE),0)</f>
        <v>0</v>
      </c>
      <c r="L151" s="28">
        <f t="shared" si="2"/>
        <v>0</v>
      </c>
      <c r="M151" s="26" t="str">
        <f>IF(D151="","",IF(J151&gt;='13_Setting'!$H$7,"Tercapai",IF(J151&gt;='13_Setting'!$H$6,"On Track","Tertinggal")))</f>
        <v/>
      </c>
      <c r="N151" s="24"/>
    </row>
    <row r="152" spans="1:14">
      <c r="A152" s="24"/>
      <c r="B152" s="24"/>
      <c r="C152" s="25"/>
      <c r="D152" s="24"/>
      <c r="E152" s="26" t="str">
        <f>IFERROR(VLOOKUP(D152,'04_Master Karyawan'!$A$5:$F$50,2,FALSE),"")</f>
        <v/>
      </c>
      <c r="F152" s="24"/>
      <c r="G152" s="26" t="str">
        <f>IFERROR(VLOOKUP(F152,'05_Master KPI'!$B$5:$G$100,2,FALSE)&amp;" ("&amp;VLOOKUP(F152,'05_Master KPI'!$B$5:$G$100,3,FALSE)&amp;")","")</f>
        <v/>
      </c>
      <c r="H152" s="26">
        <f>IFERROR(IF(B152&lt;&gt;'06_Target KPI'!$B$3,0,IF(VLOOKUP(F152,'05_Master KPI'!$B$5:$G$100,6,FALSE)="Kumulatif",INDEX('06_Target KPI'!$E$5:$P$100,MATCH(F152,'06_Target KPI'!$B$5:$B$100,0),MATCH(A152,'06_Target KPI'!$E$4:$P$4,0))*DAY(C152)/DAY(EOMONTH(C152,0)),INDEX('06_Target KPI'!$E$5:$P$100,MATCH(F152,'06_Target KPI'!$B$5:$B$100,0),MATCH(A152,'06_Target KPI'!$E$4:$P$4,0)))),0)</f>
        <v>0</v>
      </c>
      <c r="I152" s="24"/>
      <c r="J152" s="27">
        <f>IFERROR(MIN(IF(VLOOKUP(F152,'05_Master KPI'!$B$5:$G$100,5,FALSE)="Lower",H152/I152,I152/H152),1),0)</f>
        <v>0</v>
      </c>
      <c r="K152" s="26">
        <f>IFERROR(VLOOKUP(F152,'05_Master KPI'!$B$5:$G$100,4,FALSE),0)</f>
        <v>0</v>
      </c>
      <c r="L152" s="28">
        <f t="shared" si="2"/>
        <v>0</v>
      </c>
      <c r="M152" s="26" t="str">
        <f>IF(D152="","",IF(J152&gt;='13_Setting'!$H$7,"Tercapai",IF(J152&gt;='13_Setting'!$H$6,"On Track","Tertinggal")))</f>
        <v/>
      </c>
      <c r="N152" s="24"/>
    </row>
    <row r="153" spans="1:14">
      <c r="A153" s="24"/>
      <c r="B153" s="24"/>
      <c r="C153" s="25"/>
      <c r="D153" s="24"/>
      <c r="E153" s="26" t="str">
        <f>IFERROR(VLOOKUP(D153,'04_Master Karyawan'!$A$5:$F$50,2,FALSE),"")</f>
        <v/>
      </c>
      <c r="F153" s="24"/>
      <c r="G153" s="26" t="str">
        <f>IFERROR(VLOOKUP(F153,'05_Master KPI'!$B$5:$G$100,2,FALSE)&amp;" ("&amp;VLOOKUP(F153,'05_Master KPI'!$B$5:$G$100,3,FALSE)&amp;")","")</f>
        <v/>
      </c>
      <c r="H153" s="26">
        <f>IFERROR(IF(B153&lt;&gt;'06_Target KPI'!$B$3,0,IF(VLOOKUP(F153,'05_Master KPI'!$B$5:$G$100,6,FALSE)="Kumulatif",INDEX('06_Target KPI'!$E$5:$P$100,MATCH(F153,'06_Target KPI'!$B$5:$B$100,0),MATCH(A153,'06_Target KPI'!$E$4:$P$4,0))*DAY(C153)/DAY(EOMONTH(C153,0)),INDEX('06_Target KPI'!$E$5:$P$100,MATCH(F153,'06_Target KPI'!$B$5:$B$100,0),MATCH(A153,'06_Target KPI'!$E$4:$P$4,0)))),0)</f>
        <v>0</v>
      </c>
      <c r="I153" s="24"/>
      <c r="J153" s="27">
        <f>IFERROR(MIN(IF(VLOOKUP(F153,'05_Master KPI'!$B$5:$G$100,5,FALSE)="Lower",H153/I153,I153/H153),1),0)</f>
        <v>0</v>
      </c>
      <c r="K153" s="26">
        <f>IFERROR(VLOOKUP(F153,'05_Master KPI'!$B$5:$G$100,4,FALSE),0)</f>
        <v>0</v>
      </c>
      <c r="L153" s="28">
        <f t="shared" si="2"/>
        <v>0</v>
      </c>
      <c r="M153" s="26" t="str">
        <f>IF(D153="","",IF(J153&gt;='13_Setting'!$H$7,"Tercapai",IF(J153&gt;='13_Setting'!$H$6,"On Track","Tertinggal")))</f>
        <v/>
      </c>
      <c r="N153" s="24"/>
    </row>
    <row r="154" spans="1:14">
      <c r="A154" s="24"/>
      <c r="B154" s="24"/>
      <c r="C154" s="25"/>
      <c r="D154" s="24"/>
      <c r="E154" s="26" t="str">
        <f>IFERROR(VLOOKUP(D154,'04_Master Karyawan'!$A$5:$F$50,2,FALSE),"")</f>
        <v/>
      </c>
      <c r="F154" s="24"/>
      <c r="G154" s="26" t="str">
        <f>IFERROR(VLOOKUP(F154,'05_Master KPI'!$B$5:$G$100,2,FALSE)&amp;" ("&amp;VLOOKUP(F154,'05_Master KPI'!$B$5:$G$100,3,FALSE)&amp;")","")</f>
        <v/>
      </c>
      <c r="H154" s="26">
        <f>IFERROR(IF(B154&lt;&gt;'06_Target KPI'!$B$3,0,IF(VLOOKUP(F154,'05_Master KPI'!$B$5:$G$100,6,FALSE)="Kumulatif",INDEX('06_Target KPI'!$E$5:$P$100,MATCH(F154,'06_Target KPI'!$B$5:$B$100,0),MATCH(A154,'06_Target KPI'!$E$4:$P$4,0))*DAY(C154)/DAY(EOMONTH(C154,0)),INDEX('06_Target KPI'!$E$5:$P$100,MATCH(F154,'06_Target KPI'!$B$5:$B$100,0),MATCH(A154,'06_Target KPI'!$E$4:$P$4,0)))),0)</f>
        <v>0</v>
      </c>
      <c r="I154" s="24"/>
      <c r="J154" s="27">
        <f>IFERROR(MIN(IF(VLOOKUP(F154,'05_Master KPI'!$B$5:$G$100,5,FALSE)="Lower",H154/I154,I154/H154),1),0)</f>
        <v>0</v>
      </c>
      <c r="K154" s="26">
        <f>IFERROR(VLOOKUP(F154,'05_Master KPI'!$B$5:$G$100,4,FALSE),0)</f>
        <v>0</v>
      </c>
      <c r="L154" s="28">
        <f t="shared" si="2"/>
        <v>0</v>
      </c>
      <c r="M154" s="26" t="str">
        <f>IF(D154="","",IF(J154&gt;='13_Setting'!$H$7,"Tercapai",IF(J154&gt;='13_Setting'!$H$6,"On Track","Tertinggal")))</f>
        <v/>
      </c>
      <c r="N154" s="24"/>
    </row>
    <row r="155" spans="1:14">
      <c r="A155" s="24"/>
      <c r="B155" s="24"/>
      <c r="C155" s="25"/>
      <c r="D155" s="24"/>
      <c r="E155" s="26" t="str">
        <f>IFERROR(VLOOKUP(D155,'04_Master Karyawan'!$A$5:$F$50,2,FALSE),"")</f>
        <v/>
      </c>
      <c r="F155" s="24"/>
      <c r="G155" s="26" t="str">
        <f>IFERROR(VLOOKUP(F155,'05_Master KPI'!$B$5:$G$100,2,FALSE)&amp;" ("&amp;VLOOKUP(F155,'05_Master KPI'!$B$5:$G$100,3,FALSE)&amp;")","")</f>
        <v/>
      </c>
      <c r="H155" s="26">
        <f>IFERROR(IF(B155&lt;&gt;'06_Target KPI'!$B$3,0,IF(VLOOKUP(F155,'05_Master KPI'!$B$5:$G$100,6,FALSE)="Kumulatif",INDEX('06_Target KPI'!$E$5:$P$100,MATCH(F155,'06_Target KPI'!$B$5:$B$100,0),MATCH(A155,'06_Target KPI'!$E$4:$P$4,0))*DAY(C155)/DAY(EOMONTH(C155,0)),INDEX('06_Target KPI'!$E$5:$P$100,MATCH(F155,'06_Target KPI'!$B$5:$B$100,0),MATCH(A155,'06_Target KPI'!$E$4:$P$4,0)))),0)</f>
        <v>0</v>
      </c>
      <c r="I155" s="24"/>
      <c r="J155" s="27">
        <f>IFERROR(MIN(IF(VLOOKUP(F155,'05_Master KPI'!$B$5:$G$100,5,FALSE)="Lower",H155/I155,I155/H155),1),0)</f>
        <v>0</v>
      </c>
      <c r="K155" s="26">
        <f>IFERROR(VLOOKUP(F155,'05_Master KPI'!$B$5:$G$100,4,FALSE),0)</f>
        <v>0</v>
      </c>
      <c r="L155" s="28">
        <f t="shared" si="2"/>
        <v>0</v>
      </c>
      <c r="M155" s="26" t="str">
        <f>IF(D155="","",IF(J155&gt;='13_Setting'!$H$7,"Tercapai",IF(J155&gt;='13_Setting'!$H$6,"On Track","Tertinggal")))</f>
        <v/>
      </c>
      <c r="N155" s="24"/>
    </row>
    <row r="156" spans="1:14">
      <c r="A156" s="24"/>
      <c r="B156" s="24"/>
      <c r="C156" s="25"/>
      <c r="D156" s="24"/>
      <c r="E156" s="26" t="str">
        <f>IFERROR(VLOOKUP(D156,'04_Master Karyawan'!$A$5:$F$50,2,FALSE),"")</f>
        <v/>
      </c>
      <c r="F156" s="24"/>
      <c r="G156" s="26" t="str">
        <f>IFERROR(VLOOKUP(F156,'05_Master KPI'!$B$5:$G$100,2,FALSE)&amp;" ("&amp;VLOOKUP(F156,'05_Master KPI'!$B$5:$G$100,3,FALSE)&amp;")","")</f>
        <v/>
      </c>
      <c r="H156" s="26">
        <f>IFERROR(IF(B156&lt;&gt;'06_Target KPI'!$B$3,0,IF(VLOOKUP(F156,'05_Master KPI'!$B$5:$G$100,6,FALSE)="Kumulatif",INDEX('06_Target KPI'!$E$5:$P$100,MATCH(F156,'06_Target KPI'!$B$5:$B$100,0),MATCH(A156,'06_Target KPI'!$E$4:$P$4,0))*DAY(C156)/DAY(EOMONTH(C156,0)),INDEX('06_Target KPI'!$E$5:$P$100,MATCH(F156,'06_Target KPI'!$B$5:$B$100,0),MATCH(A156,'06_Target KPI'!$E$4:$P$4,0)))),0)</f>
        <v>0</v>
      </c>
      <c r="I156" s="24"/>
      <c r="J156" s="27">
        <f>IFERROR(MIN(IF(VLOOKUP(F156,'05_Master KPI'!$B$5:$G$100,5,FALSE)="Lower",H156/I156,I156/H156),1),0)</f>
        <v>0</v>
      </c>
      <c r="K156" s="26">
        <f>IFERROR(VLOOKUP(F156,'05_Master KPI'!$B$5:$G$100,4,FALSE),0)</f>
        <v>0</v>
      </c>
      <c r="L156" s="28">
        <f t="shared" si="2"/>
        <v>0</v>
      </c>
      <c r="M156" s="26" t="str">
        <f>IF(D156="","",IF(J156&gt;='13_Setting'!$H$7,"Tercapai",IF(J156&gt;='13_Setting'!$H$6,"On Track","Tertinggal")))</f>
        <v/>
      </c>
      <c r="N156" s="24"/>
    </row>
    <row r="157" spans="1:14">
      <c r="A157" s="24"/>
      <c r="B157" s="24"/>
      <c r="C157" s="25"/>
      <c r="D157" s="24"/>
      <c r="E157" s="26" t="str">
        <f>IFERROR(VLOOKUP(D157,'04_Master Karyawan'!$A$5:$F$50,2,FALSE),"")</f>
        <v/>
      </c>
      <c r="F157" s="24"/>
      <c r="G157" s="26" t="str">
        <f>IFERROR(VLOOKUP(F157,'05_Master KPI'!$B$5:$G$100,2,FALSE)&amp;" ("&amp;VLOOKUP(F157,'05_Master KPI'!$B$5:$G$100,3,FALSE)&amp;")","")</f>
        <v/>
      </c>
      <c r="H157" s="26">
        <f>IFERROR(IF(B157&lt;&gt;'06_Target KPI'!$B$3,0,IF(VLOOKUP(F157,'05_Master KPI'!$B$5:$G$100,6,FALSE)="Kumulatif",INDEX('06_Target KPI'!$E$5:$P$100,MATCH(F157,'06_Target KPI'!$B$5:$B$100,0),MATCH(A157,'06_Target KPI'!$E$4:$P$4,0))*DAY(C157)/DAY(EOMONTH(C157,0)),INDEX('06_Target KPI'!$E$5:$P$100,MATCH(F157,'06_Target KPI'!$B$5:$B$100,0),MATCH(A157,'06_Target KPI'!$E$4:$P$4,0)))),0)</f>
        <v>0</v>
      </c>
      <c r="I157" s="24"/>
      <c r="J157" s="27">
        <f>IFERROR(MIN(IF(VLOOKUP(F157,'05_Master KPI'!$B$5:$G$100,5,FALSE)="Lower",H157/I157,I157/H157),1),0)</f>
        <v>0</v>
      </c>
      <c r="K157" s="26">
        <f>IFERROR(VLOOKUP(F157,'05_Master KPI'!$B$5:$G$100,4,FALSE),0)</f>
        <v>0</v>
      </c>
      <c r="L157" s="28">
        <f t="shared" si="2"/>
        <v>0</v>
      </c>
      <c r="M157" s="26" t="str">
        <f>IF(D157="","",IF(J157&gt;='13_Setting'!$H$7,"Tercapai",IF(J157&gt;='13_Setting'!$H$6,"On Track","Tertinggal")))</f>
        <v/>
      </c>
      <c r="N157" s="24"/>
    </row>
    <row r="158" spans="1:14">
      <c r="A158" s="24"/>
      <c r="B158" s="24"/>
      <c r="C158" s="25"/>
      <c r="D158" s="24"/>
      <c r="E158" s="26" t="str">
        <f>IFERROR(VLOOKUP(D158,'04_Master Karyawan'!$A$5:$F$50,2,FALSE),"")</f>
        <v/>
      </c>
      <c r="F158" s="24"/>
      <c r="G158" s="26" t="str">
        <f>IFERROR(VLOOKUP(F158,'05_Master KPI'!$B$5:$G$100,2,FALSE)&amp;" ("&amp;VLOOKUP(F158,'05_Master KPI'!$B$5:$G$100,3,FALSE)&amp;")","")</f>
        <v/>
      </c>
      <c r="H158" s="26">
        <f>IFERROR(IF(B158&lt;&gt;'06_Target KPI'!$B$3,0,IF(VLOOKUP(F158,'05_Master KPI'!$B$5:$G$100,6,FALSE)="Kumulatif",INDEX('06_Target KPI'!$E$5:$P$100,MATCH(F158,'06_Target KPI'!$B$5:$B$100,0),MATCH(A158,'06_Target KPI'!$E$4:$P$4,0))*DAY(C158)/DAY(EOMONTH(C158,0)),INDEX('06_Target KPI'!$E$5:$P$100,MATCH(F158,'06_Target KPI'!$B$5:$B$100,0),MATCH(A158,'06_Target KPI'!$E$4:$P$4,0)))),0)</f>
        <v>0</v>
      </c>
      <c r="I158" s="24"/>
      <c r="J158" s="27">
        <f>IFERROR(MIN(IF(VLOOKUP(F158,'05_Master KPI'!$B$5:$G$100,5,FALSE)="Lower",H158/I158,I158/H158),1),0)</f>
        <v>0</v>
      </c>
      <c r="K158" s="26">
        <f>IFERROR(VLOOKUP(F158,'05_Master KPI'!$B$5:$G$100,4,FALSE),0)</f>
        <v>0</v>
      </c>
      <c r="L158" s="28">
        <f t="shared" si="2"/>
        <v>0</v>
      </c>
      <c r="M158" s="26" t="str">
        <f>IF(D158="","",IF(J158&gt;='13_Setting'!$H$7,"Tercapai",IF(J158&gt;='13_Setting'!$H$6,"On Track","Tertinggal")))</f>
        <v/>
      </c>
      <c r="N158" s="24"/>
    </row>
    <row r="159" spans="1:14">
      <c r="A159" s="24"/>
      <c r="B159" s="24"/>
      <c r="C159" s="25"/>
      <c r="D159" s="24"/>
      <c r="E159" s="26" t="str">
        <f>IFERROR(VLOOKUP(D159,'04_Master Karyawan'!$A$5:$F$50,2,FALSE),"")</f>
        <v/>
      </c>
      <c r="F159" s="24"/>
      <c r="G159" s="26" t="str">
        <f>IFERROR(VLOOKUP(F159,'05_Master KPI'!$B$5:$G$100,2,FALSE)&amp;" ("&amp;VLOOKUP(F159,'05_Master KPI'!$B$5:$G$100,3,FALSE)&amp;")","")</f>
        <v/>
      </c>
      <c r="H159" s="26">
        <f>IFERROR(IF(B159&lt;&gt;'06_Target KPI'!$B$3,0,IF(VLOOKUP(F159,'05_Master KPI'!$B$5:$G$100,6,FALSE)="Kumulatif",INDEX('06_Target KPI'!$E$5:$P$100,MATCH(F159,'06_Target KPI'!$B$5:$B$100,0),MATCH(A159,'06_Target KPI'!$E$4:$P$4,0))*DAY(C159)/DAY(EOMONTH(C159,0)),INDEX('06_Target KPI'!$E$5:$P$100,MATCH(F159,'06_Target KPI'!$B$5:$B$100,0),MATCH(A159,'06_Target KPI'!$E$4:$P$4,0)))),0)</f>
        <v>0</v>
      </c>
      <c r="I159" s="24"/>
      <c r="J159" s="27">
        <f>IFERROR(MIN(IF(VLOOKUP(F159,'05_Master KPI'!$B$5:$G$100,5,FALSE)="Lower",H159/I159,I159/H159),1),0)</f>
        <v>0</v>
      </c>
      <c r="K159" s="26">
        <f>IFERROR(VLOOKUP(F159,'05_Master KPI'!$B$5:$G$100,4,FALSE),0)</f>
        <v>0</v>
      </c>
      <c r="L159" s="28">
        <f t="shared" si="2"/>
        <v>0</v>
      </c>
      <c r="M159" s="26" t="str">
        <f>IF(D159="","",IF(J159&gt;='13_Setting'!$H$7,"Tercapai",IF(J159&gt;='13_Setting'!$H$6,"On Track","Tertinggal")))</f>
        <v/>
      </c>
      <c r="N159" s="24"/>
    </row>
    <row r="160" spans="1:14">
      <c r="A160" s="24"/>
      <c r="B160" s="24"/>
      <c r="C160" s="25"/>
      <c r="D160" s="24"/>
      <c r="E160" s="26" t="str">
        <f>IFERROR(VLOOKUP(D160,'04_Master Karyawan'!$A$5:$F$50,2,FALSE),"")</f>
        <v/>
      </c>
      <c r="F160" s="24"/>
      <c r="G160" s="26" t="str">
        <f>IFERROR(VLOOKUP(F160,'05_Master KPI'!$B$5:$G$100,2,FALSE)&amp;" ("&amp;VLOOKUP(F160,'05_Master KPI'!$B$5:$G$100,3,FALSE)&amp;")","")</f>
        <v/>
      </c>
      <c r="H160" s="26">
        <f>IFERROR(IF(B160&lt;&gt;'06_Target KPI'!$B$3,0,IF(VLOOKUP(F160,'05_Master KPI'!$B$5:$G$100,6,FALSE)="Kumulatif",INDEX('06_Target KPI'!$E$5:$P$100,MATCH(F160,'06_Target KPI'!$B$5:$B$100,0),MATCH(A160,'06_Target KPI'!$E$4:$P$4,0))*DAY(C160)/DAY(EOMONTH(C160,0)),INDEX('06_Target KPI'!$E$5:$P$100,MATCH(F160,'06_Target KPI'!$B$5:$B$100,0),MATCH(A160,'06_Target KPI'!$E$4:$P$4,0)))),0)</f>
        <v>0</v>
      </c>
      <c r="I160" s="24"/>
      <c r="J160" s="27">
        <f>IFERROR(MIN(IF(VLOOKUP(F160,'05_Master KPI'!$B$5:$G$100,5,FALSE)="Lower",H160/I160,I160/H160),1),0)</f>
        <v>0</v>
      </c>
      <c r="K160" s="26">
        <f>IFERROR(VLOOKUP(F160,'05_Master KPI'!$B$5:$G$100,4,FALSE),0)</f>
        <v>0</v>
      </c>
      <c r="L160" s="28">
        <f t="shared" si="2"/>
        <v>0</v>
      </c>
      <c r="M160" s="26" t="str">
        <f>IF(D160="","",IF(J160&gt;='13_Setting'!$H$7,"Tercapai",IF(J160&gt;='13_Setting'!$H$6,"On Track","Tertinggal")))</f>
        <v/>
      </c>
      <c r="N160" s="24"/>
    </row>
    <row r="161" spans="1:14">
      <c r="A161" s="24"/>
      <c r="B161" s="24"/>
      <c r="C161" s="25"/>
      <c r="D161" s="24"/>
      <c r="E161" s="26" t="str">
        <f>IFERROR(VLOOKUP(D161,'04_Master Karyawan'!$A$5:$F$50,2,FALSE),"")</f>
        <v/>
      </c>
      <c r="F161" s="24"/>
      <c r="G161" s="26" t="str">
        <f>IFERROR(VLOOKUP(F161,'05_Master KPI'!$B$5:$G$100,2,FALSE)&amp;" ("&amp;VLOOKUP(F161,'05_Master KPI'!$B$5:$G$100,3,FALSE)&amp;")","")</f>
        <v/>
      </c>
      <c r="H161" s="26">
        <f>IFERROR(IF(B161&lt;&gt;'06_Target KPI'!$B$3,0,IF(VLOOKUP(F161,'05_Master KPI'!$B$5:$G$100,6,FALSE)="Kumulatif",INDEX('06_Target KPI'!$E$5:$P$100,MATCH(F161,'06_Target KPI'!$B$5:$B$100,0),MATCH(A161,'06_Target KPI'!$E$4:$P$4,0))*DAY(C161)/DAY(EOMONTH(C161,0)),INDEX('06_Target KPI'!$E$5:$P$100,MATCH(F161,'06_Target KPI'!$B$5:$B$100,0),MATCH(A161,'06_Target KPI'!$E$4:$P$4,0)))),0)</f>
        <v>0</v>
      </c>
      <c r="I161" s="24"/>
      <c r="J161" s="27">
        <f>IFERROR(MIN(IF(VLOOKUP(F161,'05_Master KPI'!$B$5:$G$100,5,FALSE)="Lower",H161/I161,I161/H161),1),0)</f>
        <v>0</v>
      </c>
      <c r="K161" s="26">
        <f>IFERROR(VLOOKUP(F161,'05_Master KPI'!$B$5:$G$100,4,FALSE),0)</f>
        <v>0</v>
      </c>
      <c r="L161" s="28">
        <f t="shared" si="2"/>
        <v>0</v>
      </c>
      <c r="M161" s="26" t="str">
        <f>IF(D161="","",IF(J161&gt;='13_Setting'!$H$7,"Tercapai",IF(J161&gt;='13_Setting'!$H$6,"On Track","Tertinggal")))</f>
        <v/>
      </c>
      <c r="N161" s="24"/>
    </row>
    <row r="162" spans="1:14">
      <c r="A162" s="24"/>
      <c r="B162" s="24"/>
      <c r="C162" s="25"/>
      <c r="D162" s="24"/>
      <c r="E162" s="26" t="str">
        <f>IFERROR(VLOOKUP(D162,'04_Master Karyawan'!$A$5:$F$50,2,FALSE),"")</f>
        <v/>
      </c>
      <c r="F162" s="24"/>
      <c r="G162" s="26" t="str">
        <f>IFERROR(VLOOKUP(F162,'05_Master KPI'!$B$5:$G$100,2,FALSE)&amp;" ("&amp;VLOOKUP(F162,'05_Master KPI'!$B$5:$G$100,3,FALSE)&amp;")","")</f>
        <v/>
      </c>
      <c r="H162" s="26">
        <f>IFERROR(IF(B162&lt;&gt;'06_Target KPI'!$B$3,0,IF(VLOOKUP(F162,'05_Master KPI'!$B$5:$G$100,6,FALSE)="Kumulatif",INDEX('06_Target KPI'!$E$5:$P$100,MATCH(F162,'06_Target KPI'!$B$5:$B$100,0),MATCH(A162,'06_Target KPI'!$E$4:$P$4,0))*DAY(C162)/DAY(EOMONTH(C162,0)),INDEX('06_Target KPI'!$E$5:$P$100,MATCH(F162,'06_Target KPI'!$B$5:$B$100,0),MATCH(A162,'06_Target KPI'!$E$4:$P$4,0)))),0)</f>
        <v>0</v>
      </c>
      <c r="I162" s="24"/>
      <c r="J162" s="27">
        <f>IFERROR(MIN(IF(VLOOKUP(F162,'05_Master KPI'!$B$5:$G$100,5,FALSE)="Lower",H162/I162,I162/H162),1),0)</f>
        <v>0</v>
      </c>
      <c r="K162" s="26">
        <f>IFERROR(VLOOKUP(F162,'05_Master KPI'!$B$5:$G$100,4,FALSE),0)</f>
        <v>0</v>
      </c>
      <c r="L162" s="28">
        <f t="shared" si="2"/>
        <v>0</v>
      </c>
      <c r="M162" s="26" t="str">
        <f>IF(D162="","",IF(J162&gt;='13_Setting'!$H$7,"Tercapai",IF(J162&gt;='13_Setting'!$H$6,"On Track","Tertinggal")))</f>
        <v/>
      </c>
      <c r="N162" s="24"/>
    </row>
    <row r="163" spans="1:14">
      <c r="A163" s="24"/>
      <c r="B163" s="24"/>
      <c r="C163" s="25"/>
      <c r="D163" s="24"/>
      <c r="E163" s="26" t="str">
        <f>IFERROR(VLOOKUP(D163,'04_Master Karyawan'!$A$5:$F$50,2,FALSE),"")</f>
        <v/>
      </c>
      <c r="F163" s="24"/>
      <c r="G163" s="26" t="str">
        <f>IFERROR(VLOOKUP(F163,'05_Master KPI'!$B$5:$G$100,2,FALSE)&amp;" ("&amp;VLOOKUP(F163,'05_Master KPI'!$B$5:$G$100,3,FALSE)&amp;")","")</f>
        <v/>
      </c>
      <c r="H163" s="26">
        <f>IFERROR(IF(B163&lt;&gt;'06_Target KPI'!$B$3,0,IF(VLOOKUP(F163,'05_Master KPI'!$B$5:$G$100,6,FALSE)="Kumulatif",INDEX('06_Target KPI'!$E$5:$P$100,MATCH(F163,'06_Target KPI'!$B$5:$B$100,0),MATCH(A163,'06_Target KPI'!$E$4:$P$4,0))*DAY(C163)/DAY(EOMONTH(C163,0)),INDEX('06_Target KPI'!$E$5:$P$100,MATCH(F163,'06_Target KPI'!$B$5:$B$100,0),MATCH(A163,'06_Target KPI'!$E$4:$P$4,0)))),0)</f>
        <v>0</v>
      </c>
      <c r="I163" s="24"/>
      <c r="J163" s="27">
        <f>IFERROR(MIN(IF(VLOOKUP(F163,'05_Master KPI'!$B$5:$G$100,5,FALSE)="Lower",H163/I163,I163/H163),1),0)</f>
        <v>0</v>
      </c>
      <c r="K163" s="26">
        <f>IFERROR(VLOOKUP(F163,'05_Master KPI'!$B$5:$G$100,4,FALSE),0)</f>
        <v>0</v>
      </c>
      <c r="L163" s="28">
        <f t="shared" si="2"/>
        <v>0</v>
      </c>
      <c r="M163" s="26" t="str">
        <f>IF(D163="","",IF(J163&gt;='13_Setting'!$H$7,"Tercapai",IF(J163&gt;='13_Setting'!$H$6,"On Track","Tertinggal")))</f>
        <v/>
      </c>
      <c r="N163" s="24"/>
    </row>
    <row r="164" spans="1:14">
      <c r="A164" s="24"/>
      <c r="B164" s="24"/>
      <c r="C164" s="25"/>
      <c r="D164" s="24"/>
      <c r="E164" s="26" t="str">
        <f>IFERROR(VLOOKUP(D164,'04_Master Karyawan'!$A$5:$F$50,2,FALSE),"")</f>
        <v/>
      </c>
      <c r="F164" s="24"/>
      <c r="G164" s="26" t="str">
        <f>IFERROR(VLOOKUP(F164,'05_Master KPI'!$B$5:$G$100,2,FALSE)&amp;" ("&amp;VLOOKUP(F164,'05_Master KPI'!$B$5:$G$100,3,FALSE)&amp;")","")</f>
        <v/>
      </c>
      <c r="H164" s="26">
        <f>IFERROR(IF(B164&lt;&gt;'06_Target KPI'!$B$3,0,IF(VLOOKUP(F164,'05_Master KPI'!$B$5:$G$100,6,FALSE)="Kumulatif",INDEX('06_Target KPI'!$E$5:$P$100,MATCH(F164,'06_Target KPI'!$B$5:$B$100,0),MATCH(A164,'06_Target KPI'!$E$4:$P$4,0))*DAY(C164)/DAY(EOMONTH(C164,0)),INDEX('06_Target KPI'!$E$5:$P$100,MATCH(F164,'06_Target KPI'!$B$5:$B$100,0),MATCH(A164,'06_Target KPI'!$E$4:$P$4,0)))),0)</f>
        <v>0</v>
      </c>
      <c r="I164" s="24"/>
      <c r="J164" s="27">
        <f>IFERROR(MIN(IF(VLOOKUP(F164,'05_Master KPI'!$B$5:$G$100,5,FALSE)="Lower",H164/I164,I164/H164),1),0)</f>
        <v>0</v>
      </c>
      <c r="K164" s="26">
        <f>IFERROR(VLOOKUP(F164,'05_Master KPI'!$B$5:$G$100,4,FALSE),0)</f>
        <v>0</v>
      </c>
      <c r="L164" s="28">
        <f t="shared" si="2"/>
        <v>0</v>
      </c>
      <c r="M164" s="26" t="str">
        <f>IF(D164="","",IF(J164&gt;='13_Setting'!$H$7,"Tercapai",IF(J164&gt;='13_Setting'!$H$6,"On Track","Tertinggal")))</f>
        <v/>
      </c>
      <c r="N164" s="24"/>
    </row>
    <row r="165" spans="1:14">
      <c r="A165" s="24"/>
      <c r="B165" s="24"/>
      <c r="C165" s="25"/>
      <c r="D165" s="24"/>
      <c r="E165" s="26" t="str">
        <f>IFERROR(VLOOKUP(D165,'04_Master Karyawan'!$A$5:$F$50,2,FALSE),"")</f>
        <v/>
      </c>
      <c r="F165" s="24"/>
      <c r="G165" s="26" t="str">
        <f>IFERROR(VLOOKUP(F165,'05_Master KPI'!$B$5:$G$100,2,FALSE)&amp;" ("&amp;VLOOKUP(F165,'05_Master KPI'!$B$5:$G$100,3,FALSE)&amp;")","")</f>
        <v/>
      </c>
      <c r="H165" s="26">
        <f>IFERROR(IF(B165&lt;&gt;'06_Target KPI'!$B$3,0,IF(VLOOKUP(F165,'05_Master KPI'!$B$5:$G$100,6,FALSE)="Kumulatif",INDEX('06_Target KPI'!$E$5:$P$100,MATCH(F165,'06_Target KPI'!$B$5:$B$100,0),MATCH(A165,'06_Target KPI'!$E$4:$P$4,0))*DAY(C165)/DAY(EOMONTH(C165,0)),INDEX('06_Target KPI'!$E$5:$P$100,MATCH(F165,'06_Target KPI'!$B$5:$B$100,0),MATCH(A165,'06_Target KPI'!$E$4:$P$4,0)))),0)</f>
        <v>0</v>
      </c>
      <c r="I165" s="24"/>
      <c r="J165" s="27">
        <f>IFERROR(MIN(IF(VLOOKUP(F165,'05_Master KPI'!$B$5:$G$100,5,FALSE)="Lower",H165/I165,I165/H165),1),0)</f>
        <v>0</v>
      </c>
      <c r="K165" s="26">
        <f>IFERROR(VLOOKUP(F165,'05_Master KPI'!$B$5:$G$100,4,FALSE),0)</f>
        <v>0</v>
      </c>
      <c r="L165" s="28">
        <f t="shared" si="2"/>
        <v>0</v>
      </c>
      <c r="M165" s="26" t="str">
        <f>IF(D165="","",IF(J165&gt;='13_Setting'!$H$7,"Tercapai",IF(J165&gt;='13_Setting'!$H$6,"On Track","Tertinggal")))</f>
        <v/>
      </c>
      <c r="N165" s="24"/>
    </row>
    <row r="166" spans="1:14">
      <c r="A166" s="24"/>
      <c r="B166" s="24"/>
      <c r="C166" s="25"/>
      <c r="D166" s="24"/>
      <c r="E166" s="26" t="str">
        <f>IFERROR(VLOOKUP(D166,'04_Master Karyawan'!$A$5:$F$50,2,FALSE),"")</f>
        <v/>
      </c>
      <c r="F166" s="24"/>
      <c r="G166" s="26" t="str">
        <f>IFERROR(VLOOKUP(F166,'05_Master KPI'!$B$5:$G$100,2,FALSE)&amp;" ("&amp;VLOOKUP(F166,'05_Master KPI'!$B$5:$G$100,3,FALSE)&amp;")","")</f>
        <v/>
      </c>
      <c r="H166" s="26">
        <f>IFERROR(IF(B166&lt;&gt;'06_Target KPI'!$B$3,0,IF(VLOOKUP(F166,'05_Master KPI'!$B$5:$G$100,6,FALSE)="Kumulatif",INDEX('06_Target KPI'!$E$5:$P$100,MATCH(F166,'06_Target KPI'!$B$5:$B$100,0),MATCH(A166,'06_Target KPI'!$E$4:$P$4,0))*DAY(C166)/DAY(EOMONTH(C166,0)),INDEX('06_Target KPI'!$E$5:$P$100,MATCH(F166,'06_Target KPI'!$B$5:$B$100,0),MATCH(A166,'06_Target KPI'!$E$4:$P$4,0)))),0)</f>
        <v>0</v>
      </c>
      <c r="I166" s="24"/>
      <c r="J166" s="27">
        <f>IFERROR(MIN(IF(VLOOKUP(F166,'05_Master KPI'!$B$5:$G$100,5,FALSE)="Lower",H166/I166,I166/H166),1),0)</f>
        <v>0</v>
      </c>
      <c r="K166" s="26">
        <f>IFERROR(VLOOKUP(F166,'05_Master KPI'!$B$5:$G$100,4,FALSE),0)</f>
        <v>0</v>
      </c>
      <c r="L166" s="28">
        <f t="shared" si="2"/>
        <v>0</v>
      </c>
      <c r="M166" s="26" t="str">
        <f>IF(D166="","",IF(J166&gt;='13_Setting'!$H$7,"Tercapai",IF(J166&gt;='13_Setting'!$H$6,"On Track","Tertinggal")))</f>
        <v/>
      </c>
      <c r="N166" s="24"/>
    </row>
    <row r="167" spans="1:14">
      <c r="A167" s="24"/>
      <c r="B167" s="24"/>
      <c r="C167" s="25"/>
      <c r="D167" s="24"/>
      <c r="E167" s="26" t="str">
        <f>IFERROR(VLOOKUP(D167,'04_Master Karyawan'!$A$5:$F$50,2,FALSE),"")</f>
        <v/>
      </c>
      <c r="F167" s="24"/>
      <c r="G167" s="26" t="str">
        <f>IFERROR(VLOOKUP(F167,'05_Master KPI'!$B$5:$G$100,2,FALSE)&amp;" ("&amp;VLOOKUP(F167,'05_Master KPI'!$B$5:$G$100,3,FALSE)&amp;")","")</f>
        <v/>
      </c>
      <c r="H167" s="26">
        <f>IFERROR(IF(B167&lt;&gt;'06_Target KPI'!$B$3,0,IF(VLOOKUP(F167,'05_Master KPI'!$B$5:$G$100,6,FALSE)="Kumulatif",INDEX('06_Target KPI'!$E$5:$P$100,MATCH(F167,'06_Target KPI'!$B$5:$B$100,0),MATCH(A167,'06_Target KPI'!$E$4:$P$4,0))*DAY(C167)/DAY(EOMONTH(C167,0)),INDEX('06_Target KPI'!$E$5:$P$100,MATCH(F167,'06_Target KPI'!$B$5:$B$100,0),MATCH(A167,'06_Target KPI'!$E$4:$P$4,0)))),0)</f>
        <v>0</v>
      </c>
      <c r="I167" s="24"/>
      <c r="J167" s="27">
        <f>IFERROR(MIN(IF(VLOOKUP(F167,'05_Master KPI'!$B$5:$G$100,5,FALSE)="Lower",H167/I167,I167/H167),1),0)</f>
        <v>0</v>
      </c>
      <c r="K167" s="26">
        <f>IFERROR(VLOOKUP(F167,'05_Master KPI'!$B$5:$G$100,4,FALSE),0)</f>
        <v>0</v>
      </c>
      <c r="L167" s="28">
        <f t="shared" si="2"/>
        <v>0</v>
      </c>
      <c r="M167" s="26" t="str">
        <f>IF(D167="","",IF(J167&gt;='13_Setting'!$H$7,"Tercapai",IF(J167&gt;='13_Setting'!$H$6,"On Track","Tertinggal")))</f>
        <v/>
      </c>
      <c r="N167" s="24"/>
    </row>
    <row r="168" spans="1:14">
      <c r="A168" s="24"/>
      <c r="B168" s="24"/>
      <c r="C168" s="25"/>
      <c r="D168" s="24"/>
      <c r="E168" s="26" t="str">
        <f>IFERROR(VLOOKUP(D168,'04_Master Karyawan'!$A$5:$F$50,2,FALSE),"")</f>
        <v/>
      </c>
      <c r="F168" s="24"/>
      <c r="G168" s="26" t="str">
        <f>IFERROR(VLOOKUP(F168,'05_Master KPI'!$B$5:$G$100,2,FALSE)&amp;" ("&amp;VLOOKUP(F168,'05_Master KPI'!$B$5:$G$100,3,FALSE)&amp;")","")</f>
        <v/>
      </c>
      <c r="H168" s="26">
        <f>IFERROR(IF(B168&lt;&gt;'06_Target KPI'!$B$3,0,IF(VLOOKUP(F168,'05_Master KPI'!$B$5:$G$100,6,FALSE)="Kumulatif",INDEX('06_Target KPI'!$E$5:$P$100,MATCH(F168,'06_Target KPI'!$B$5:$B$100,0),MATCH(A168,'06_Target KPI'!$E$4:$P$4,0))*DAY(C168)/DAY(EOMONTH(C168,0)),INDEX('06_Target KPI'!$E$5:$P$100,MATCH(F168,'06_Target KPI'!$B$5:$B$100,0),MATCH(A168,'06_Target KPI'!$E$4:$P$4,0)))),0)</f>
        <v>0</v>
      </c>
      <c r="I168" s="24"/>
      <c r="J168" s="27">
        <f>IFERROR(MIN(IF(VLOOKUP(F168,'05_Master KPI'!$B$5:$G$100,5,FALSE)="Lower",H168/I168,I168/H168),1),0)</f>
        <v>0</v>
      </c>
      <c r="K168" s="26">
        <f>IFERROR(VLOOKUP(F168,'05_Master KPI'!$B$5:$G$100,4,FALSE),0)</f>
        <v>0</v>
      </c>
      <c r="L168" s="28">
        <f t="shared" si="2"/>
        <v>0</v>
      </c>
      <c r="M168" s="26" t="str">
        <f>IF(D168="","",IF(J168&gt;='13_Setting'!$H$7,"Tercapai",IF(J168&gt;='13_Setting'!$H$6,"On Track","Tertinggal")))</f>
        <v/>
      </c>
      <c r="N168" s="24"/>
    </row>
    <row r="169" spans="1:14">
      <c r="A169" s="24"/>
      <c r="B169" s="24"/>
      <c r="C169" s="25"/>
      <c r="D169" s="24"/>
      <c r="E169" s="26" t="str">
        <f>IFERROR(VLOOKUP(D169,'04_Master Karyawan'!$A$5:$F$50,2,FALSE),"")</f>
        <v/>
      </c>
      <c r="F169" s="24"/>
      <c r="G169" s="26" t="str">
        <f>IFERROR(VLOOKUP(F169,'05_Master KPI'!$B$5:$G$100,2,FALSE)&amp;" ("&amp;VLOOKUP(F169,'05_Master KPI'!$B$5:$G$100,3,FALSE)&amp;")","")</f>
        <v/>
      </c>
      <c r="H169" s="26">
        <f>IFERROR(IF(B169&lt;&gt;'06_Target KPI'!$B$3,0,IF(VLOOKUP(F169,'05_Master KPI'!$B$5:$G$100,6,FALSE)="Kumulatif",INDEX('06_Target KPI'!$E$5:$P$100,MATCH(F169,'06_Target KPI'!$B$5:$B$100,0),MATCH(A169,'06_Target KPI'!$E$4:$P$4,0))*DAY(C169)/DAY(EOMONTH(C169,0)),INDEX('06_Target KPI'!$E$5:$P$100,MATCH(F169,'06_Target KPI'!$B$5:$B$100,0),MATCH(A169,'06_Target KPI'!$E$4:$P$4,0)))),0)</f>
        <v>0</v>
      </c>
      <c r="I169" s="24"/>
      <c r="J169" s="27">
        <f>IFERROR(MIN(IF(VLOOKUP(F169,'05_Master KPI'!$B$5:$G$100,5,FALSE)="Lower",H169/I169,I169/H169),1),0)</f>
        <v>0</v>
      </c>
      <c r="K169" s="26">
        <f>IFERROR(VLOOKUP(F169,'05_Master KPI'!$B$5:$G$100,4,FALSE),0)</f>
        <v>0</v>
      </c>
      <c r="L169" s="28">
        <f t="shared" si="2"/>
        <v>0</v>
      </c>
      <c r="M169" s="26" t="str">
        <f>IF(D169="","",IF(J169&gt;='13_Setting'!$H$7,"Tercapai",IF(J169&gt;='13_Setting'!$H$6,"On Track","Tertinggal")))</f>
        <v/>
      </c>
      <c r="N169" s="24"/>
    </row>
    <row r="170" spans="1:14">
      <c r="A170" s="24"/>
      <c r="B170" s="24"/>
      <c r="C170" s="25"/>
      <c r="D170" s="24"/>
      <c r="E170" s="26" t="str">
        <f>IFERROR(VLOOKUP(D170,'04_Master Karyawan'!$A$5:$F$50,2,FALSE),"")</f>
        <v/>
      </c>
      <c r="F170" s="24"/>
      <c r="G170" s="26" t="str">
        <f>IFERROR(VLOOKUP(F170,'05_Master KPI'!$B$5:$G$100,2,FALSE)&amp;" ("&amp;VLOOKUP(F170,'05_Master KPI'!$B$5:$G$100,3,FALSE)&amp;")","")</f>
        <v/>
      </c>
      <c r="H170" s="26">
        <f>IFERROR(IF(B170&lt;&gt;'06_Target KPI'!$B$3,0,IF(VLOOKUP(F170,'05_Master KPI'!$B$5:$G$100,6,FALSE)="Kumulatif",INDEX('06_Target KPI'!$E$5:$P$100,MATCH(F170,'06_Target KPI'!$B$5:$B$100,0),MATCH(A170,'06_Target KPI'!$E$4:$P$4,0))*DAY(C170)/DAY(EOMONTH(C170,0)),INDEX('06_Target KPI'!$E$5:$P$100,MATCH(F170,'06_Target KPI'!$B$5:$B$100,0),MATCH(A170,'06_Target KPI'!$E$4:$P$4,0)))),0)</f>
        <v>0</v>
      </c>
      <c r="I170" s="24"/>
      <c r="J170" s="27">
        <f>IFERROR(MIN(IF(VLOOKUP(F170,'05_Master KPI'!$B$5:$G$100,5,FALSE)="Lower",H170/I170,I170/H170),1),0)</f>
        <v>0</v>
      </c>
      <c r="K170" s="26">
        <f>IFERROR(VLOOKUP(F170,'05_Master KPI'!$B$5:$G$100,4,FALSE),0)</f>
        <v>0</v>
      </c>
      <c r="L170" s="28">
        <f t="shared" si="2"/>
        <v>0</v>
      </c>
      <c r="M170" s="26" t="str">
        <f>IF(D170="","",IF(J170&gt;='13_Setting'!$H$7,"Tercapai",IF(J170&gt;='13_Setting'!$H$6,"On Track","Tertinggal")))</f>
        <v/>
      </c>
      <c r="N170" s="24"/>
    </row>
    <row r="171" spans="1:14">
      <c r="A171" s="24"/>
      <c r="B171" s="24"/>
      <c r="C171" s="25"/>
      <c r="D171" s="24"/>
      <c r="E171" s="26" t="str">
        <f>IFERROR(VLOOKUP(D171,'04_Master Karyawan'!$A$5:$F$50,2,FALSE),"")</f>
        <v/>
      </c>
      <c r="F171" s="24"/>
      <c r="G171" s="26" t="str">
        <f>IFERROR(VLOOKUP(F171,'05_Master KPI'!$B$5:$G$100,2,FALSE)&amp;" ("&amp;VLOOKUP(F171,'05_Master KPI'!$B$5:$G$100,3,FALSE)&amp;")","")</f>
        <v/>
      </c>
      <c r="H171" s="26">
        <f>IFERROR(IF(B171&lt;&gt;'06_Target KPI'!$B$3,0,IF(VLOOKUP(F171,'05_Master KPI'!$B$5:$G$100,6,FALSE)="Kumulatif",INDEX('06_Target KPI'!$E$5:$P$100,MATCH(F171,'06_Target KPI'!$B$5:$B$100,0),MATCH(A171,'06_Target KPI'!$E$4:$P$4,0))*DAY(C171)/DAY(EOMONTH(C171,0)),INDEX('06_Target KPI'!$E$5:$P$100,MATCH(F171,'06_Target KPI'!$B$5:$B$100,0),MATCH(A171,'06_Target KPI'!$E$4:$P$4,0)))),0)</f>
        <v>0</v>
      </c>
      <c r="I171" s="24"/>
      <c r="J171" s="27">
        <f>IFERROR(MIN(IF(VLOOKUP(F171,'05_Master KPI'!$B$5:$G$100,5,FALSE)="Lower",H171/I171,I171/H171),1),0)</f>
        <v>0</v>
      </c>
      <c r="K171" s="26">
        <f>IFERROR(VLOOKUP(F171,'05_Master KPI'!$B$5:$G$100,4,FALSE),0)</f>
        <v>0</v>
      </c>
      <c r="L171" s="28">
        <f t="shared" si="2"/>
        <v>0</v>
      </c>
      <c r="M171" s="26" t="str">
        <f>IF(D171="","",IF(J171&gt;='13_Setting'!$H$7,"Tercapai",IF(J171&gt;='13_Setting'!$H$6,"On Track","Tertinggal")))</f>
        <v/>
      </c>
      <c r="N171" s="24"/>
    </row>
    <row r="172" spans="1:14">
      <c r="A172" s="24"/>
      <c r="B172" s="24"/>
      <c r="C172" s="25"/>
      <c r="D172" s="24"/>
      <c r="E172" s="26" t="str">
        <f>IFERROR(VLOOKUP(D172,'04_Master Karyawan'!$A$5:$F$50,2,FALSE),"")</f>
        <v/>
      </c>
      <c r="F172" s="24"/>
      <c r="G172" s="26" t="str">
        <f>IFERROR(VLOOKUP(F172,'05_Master KPI'!$B$5:$G$100,2,FALSE)&amp;" ("&amp;VLOOKUP(F172,'05_Master KPI'!$B$5:$G$100,3,FALSE)&amp;")","")</f>
        <v/>
      </c>
      <c r="H172" s="26">
        <f>IFERROR(IF(B172&lt;&gt;'06_Target KPI'!$B$3,0,IF(VLOOKUP(F172,'05_Master KPI'!$B$5:$G$100,6,FALSE)="Kumulatif",INDEX('06_Target KPI'!$E$5:$P$100,MATCH(F172,'06_Target KPI'!$B$5:$B$100,0),MATCH(A172,'06_Target KPI'!$E$4:$P$4,0))*DAY(C172)/DAY(EOMONTH(C172,0)),INDEX('06_Target KPI'!$E$5:$P$100,MATCH(F172,'06_Target KPI'!$B$5:$B$100,0),MATCH(A172,'06_Target KPI'!$E$4:$P$4,0)))),0)</f>
        <v>0</v>
      </c>
      <c r="I172" s="24"/>
      <c r="J172" s="27">
        <f>IFERROR(MIN(IF(VLOOKUP(F172,'05_Master KPI'!$B$5:$G$100,5,FALSE)="Lower",H172/I172,I172/H172),1),0)</f>
        <v>0</v>
      </c>
      <c r="K172" s="26">
        <f>IFERROR(VLOOKUP(F172,'05_Master KPI'!$B$5:$G$100,4,FALSE),0)</f>
        <v>0</v>
      </c>
      <c r="L172" s="28">
        <f t="shared" si="2"/>
        <v>0</v>
      </c>
      <c r="M172" s="26" t="str">
        <f>IF(D172="","",IF(J172&gt;='13_Setting'!$H$7,"Tercapai",IF(J172&gt;='13_Setting'!$H$6,"On Track","Tertinggal")))</f>
        <v/>
      </c>
      <c r="N172" s="24"/>
    </row>
    <row r="173" spans="1:14">
      <c r="A173" s="24"/>
      <c r="B173" s="24"/>
      <c r="C173" s="25"/>
      <c r="D173" s="24"/>
      <c r="E173" s="26" t="str">
        <f>IFERROR(VLOOKUP(D173,'04_Master Karyawan'!$A$5:$F$50,2,FALSE),"")</f>
        <v/>
      </c>
      <c r="F173" s="24"/>
      <c r="G173" s="26" t="str">
        <f>IFERROR(VLOOKUP(F173,'05_Master KPI'!$B$5:$G$100,2,FALSE)&amp;" ("&amp;VLOOKUP(F173,'05_Master KPI'!$B$5:$G$100,3,FALSE)&amp;")","")</f>
        <v/>
      </c>
      <c r="H173" s="26">
        <f>IFERROR(IF(B173&lt;&gt;'06_Target KPI'!$B$3,0,IF(VLOOKUP(F173,'05_Master KPI'!$B$5:$G$100,6,FALSE)="Kumulatif",INDEX('06_Target KPI'!$E$5:$P$100,MATCH(F173,'06_Target KPI'!$B$5:$B$100,0),MATCH(A173,'06_Target KPI'!$E$4:$P$4,0))*DAY(C173)/DAY(EOMONTH(C173,0)),INDEX('06_Target KPI'!$E$5:$P$100,MATCH(F173,'06_Target KPI'!$B$5:$B$100,0),MATCH(A173,'06_Target KPI'!$E$4:$P$4,0)))),0)</f>
        <v>0</v>
      </c>
      <c r="I173" s="24"/>
      <c r="J173" s="27">
        <f>IFERROR(MIN(IF(VLOOKUP(F173,'05_Master KPI'!$B$5:$G$100,5,FALSE)="Lower",H173/I173,I173/H173),1),0)</f>
        <v>0</v>
      </c>
      <c r="K173" s="26">
        <f>IFERROR(VLOOKUP(F173,'05_Master KPI'!$B$5:$G$100,4,FALSE),0)</f>
        <v>0</v>
      </c>
      <c r="L173" s="28">
        <f t="shared" si="2"/>
        <v>0</v>
      </c>
      <c r="M173" s="26" t="str">
        <f>IF(D173="","",IF(J173&gt;='13_Setting'!$H$7,"Tercapai",IF(J173&gt;='13_Setting'!$H$6,"On Track","Tertinggal")))</f>
        <v/>
      </c>
      <c r="N173" s="24"/>
    </row>
    <row r="174" spans="1:14">
      <c r="A174" s="24"/>
      <c r="B174" s="24"/>
      <c r="C174" s="25"/>
      <c r="D174" s="24"/>
      <c r="E174" s="26" t="str">
        <f>IFERROR(VLOOKUP(D174,'04_Master Karyawan'!$A$5:$F$50,2,FALSE),"")</f>
        <v/>
      </c>
      <c r="F174" s="24"/>
      <c r="G174" s="26" t="str">
        <f>IFERROR(VLOOKUP(F174,'05_Master KPI'!$B$5:$G$100,2,FALSE)&amp;" ("&amp;VLOOKUP(F174,'05_Master KPI'!$B$5:$G$100,3,FALSE)&amp;")","")</f>
        <v/>
      </c>
      <c r="H174" s="26">
        <f>IFERROR(IF(B174&lt;&gt;'06_Target KPI'!$B$3,0,IF(VLOOKUP(F174,'05_Master KPI'!$B$5:$G$100,6,FALSE)="Kumulatif",INDEX('06_Target KPI'!$E$5:$P$100,MATCH(F174,'06_Target KPI'!$B$5:$B$100,0),MATCH(A174,'06_Target KPI'!$E$4:$P$4,0))*DAY(C174)/DAY(EOMONTH(C174,0)),INDEX('06_Target KPI'!$E$5:$P$100,MATCH(F174,'06_Target KPI'!$B$5:$B$100,0),MATCH(A174,'06_Target KPI'!$E$4:$P$4,0)))),0)</f>
        <v>0</v>
      </c>
      <c r="I174" s="24"/>
      <c r="J174" s="27">
        <f>IFERROR(MIN(IF(VLOOKUP(F174,'05_Master KPI'!$B$5:$G$100,5,FALSE)="Lower",H174/I174,I174/H174),1),0)</f>
        <v>0</v>
      </c>
      <c r="K174" s="26">
        <f>IFERROR(VLOOKUP(F174,'05_Master KPI'!$B$5:$G$100,4,FALSE),0)</f>
        <v>0</v>
      </c>
      <c r="L174" s="28">
        <f t="shared" si="2"/>
        <v>0</v>
      </c>
      <c r="M174" s="26" t="str">
        <f>IF(D174="","",IF(J174&gt;='13_Setting'!$H$7,"Tercapai",IF(J174&gt;='13_Setting'!$H$6,"On Track","Tertinggal")))</f>
        <v/>
      </c>
      <c r="N174" s="24"/>
    </row>
    <row r="175" spans="1:14">
      <c r="A175" s="24"/>
      <c r="B175" s="24"/>
      <c r="C175" s="25"/>
      <c r="D175" s="24"/>
      <c r="E175" s="26" t="str">
        <f>IFERROR(VLOOKUP(D175,'04_Master Karyawan'!$A$5:$F$50,2,FALSE),"")</f>
        <v/>
      </c>
      <c r="F175" s="24"/>
      <c r="G175" s="26" t="str">
        <f>IFERROR(VLOOKUP(F175,'05_Master KPI'!$B$5:$G$100,2,FALSE)&amp;" ("&amp;VLOOKUP(F175,'05_Master KPI'!$B$5:$G$100,3,FALSE)&amp;")","")</f>
        <v/>
      </c>
      <c r="H175" s="26">
        <f>IFERROR(IF(B175&lt;&gt;'06_Target KPI'!$B$3,0,IF(VLOOKUP(F175,'05_Master KPI'!$B$5:$G$100,6,FALSE)="Kumulatif",INDEX('06_Target KPI'!$E$5:$P$100,MATCH(F175,'06_Target KPI'!$B$5:$B$100,0),MATCH(A175,'06_Target KPI'!$E$4:$P$4,0))*DAY(C175)/DAY(EOMONTH(C175,0)),INDEX('06_Target KPI'!$E$5:$P$100,MATCH(F175,'06_Target KPI'!$B$5:$B$100,0),MATCH(A175,'06_Target KPI'!$E$4:$P$4,0)))),0)</f>
        <v>0</v>
      </c>
      <c r="I175" s="24"/>
      <c r="J175" s="27">
        <f>IFERROR(MIN(IF(VLOOKUP(F175,'05_Master KPI'!$B$5:$G$100,5,FALSE)="Lower",H175/I175,I175/H175),1),0)</f>
        <v>0</v>
      </c>
      <c r="K175" s="26">
        <f>IFERROR(VLOOKUP(F175,'05_Master KPI'!$B$5:$G$100,4,FALSE),0)</f>
        <v>0</v>
      </c>
      <c r="L175" s="28">
        <f t="shared" si="2"/>
        <v>0</v>
      </c>
      <c r="M175" s="26" t="str">
        <f>IF(D175="","",IF(J175&gt;='13_Setting'!$H$7,"Tercapai",IF(J175&gt;='13_Setting'!$H$6,"On Track","Tertinggal")))</f>
        <v/>
      </c>
      <c r="N175" s="24"/>
    </row>
    <row r="176" spans="1:14">
      <c r="A176" s="24"/>
      <c r="B176" s="24"/>
      <c r="C176" s="25"/>
      <c r="D176" s="24"/>
      <c r="E176" s="26" t="str">
        <f>IFERROR(VLOOKUP(D176,'04_Master Karyawan'!$A$5:$F$50,2,FALSE),"")</f>
        <v/>
      </c>
      <c r="F176" s="24"/>
      <c r="G176" s="26" t="str">
        <f>IFERROR(VLOOKUP(F176,'05_Master KPI'!$B$5:$G$100,2,FALSE)&amp;" ("&amp;VLOOKUP(F176,'05_Master KPI'!$B$5:$G$100,3,FALSE)&amp;")","")</f>
        <v/>
      </c>
      <c r="H176" s="26">
        <f>IFERROR(IF(B176&lt;&gt;'06_Target KPI'!$B$3,0,IF(VLOOKUP(F176,'05_Master KPI'!$B$5:$G$100,6,FALSE)="Kumulatif",INDEX('06_Target KPI'!$E$5:$P$100,MATCH(F176,'06_Target KPI'!$B$5:$B$100,0),MATCH(A176,'06_Target KPI'!$E$4:$P$4,0))*DAY(C176)/DAY(EOMONTH(C176,0)),INDEX('06_Target KPI'!$E$5:$P$100,MATCH(F176,'06_Target KPI'!$B$5:$B$100,0),MATCH(A176,'06_Target KPI'!$E$4:$P$4,0)))),0)</f>
        <v>0</v>
      </c>
      <c r="I176" s="24"/>
      <c r="J176" s="27">
        <f>IFERROR(MIN(IF(VLOOKUP(F176,'05_Master KPI'!$B$5:$G$100,5,FALSE)="Lower",H176/I176,I176/H176),1),0)</f>
        <v>0</v>
      </c>
      <c r="K176" s="26">
        <f>IFERROR(VLOOKUP(F176,'05_Master KPI'!$B$5:$G$100,4,FALSE),0)</f>
        <v>0</v>
      </c>
      <c r="L176" s="28">
        <f t="shared" si="2"/>
        <v>0</v>
      </c>
      <c r="M176" s="26" t="str">
        <f>IF(D176="","",IF(J176&gt;='13_Setting'!$H$7,"Tercapai",IF(J176&gt;='13_Setting'!$H$6,"On Track","Tertinggal")))</f>
        <v/>
      </c>
      <c r="N176" s="24"/>
    </row>
    <row r="177" spans="1:14">
      <c r="A177" s="24"/>
      <c r="B177" s="24"/>
      <c r="C177" s="25"/>
      <c r="D177" s="24"/>
      <c r="E177" s="26" t="str">
        <f>IFERROR(VLOOKUP(D177,'04_Master Karyawan'!$A$5:$F$50,2,FALSE),"")</f>
        <v/>
      </c>
      <c r="F177" s="24"/>
      <c r="G177" s="26" t="str">
        <f>IFERROR(VLOOKUP(F177,'05_Master KPI'!$B$5:$G$100,2,FALSE)&amp;" ("&amp;VLOOKUP(F177,'05_Master KPI'!$B$5:$G$100,3,FALSE)&amp;")","")</f>
        <v/>
      </c>
      <c r="H177" s="26">
        <f>IFERROR(IF(B177&lt;&gt;'06_Target KPI'!$B$3,0,IF(VLOOKUP(F177,'05_Master KPI'!$B$5:$G$100,6,FALSE)="Kumulatif",INDEX('06_Target KPI'!$E$5:$P$100,MATCH(F177,'06_Target KPI'!$B$5:$B$100,0),MATCH(A177,'06_Target KPI'!$E$4:$P$4,0))*DAY(C177)/DAY(EOMONTH(C177,0)),INDEX('06_Target KPI'!$E$5:$P$100,MATCH(F177,'06_Target KPI'!$B$5:$B$100,0),MATCH(A177,'06_Target KPI'!$E$4:$P$4,0)))),0)</f>
        <v>0</v>
      </c>
      <c r="I177" s="24"/>
      <c r="J177" s="27">
        <f>IFERROR(MIN(IF(VLOOKUP(F177,'05_Master KPI'!$B$5:$G$100,5,FALSE)="Lower",H177/I177,I177/H177),1),0)</f>
        <v>0</v>
      </c>
      <c r="K177" s="26">
        <f>IFERROR(VLOOKUP(F177,'05_Master KPI'!$B$5:$G$100,4,FALSE),0)</f>
        <v>0</v>
      </c>
      <c r="L177" s="28">
        <f t="shared" si="2"/>
        <v>0</v>
      </c>
      <c r="M177" s="26" t="str">
        <f>IF(D177="","",IF(J177&gt;='13_Setting'!$H$7,"Tercapai",IF(J177&gt;='13_Setting'!$H$6,"On Track","Tertinggal")))</f>
        <v/>
      </c>
      <c r="N177" s="24"/>
    </row>
    <row r="178" spans="1:14">
      <c r="A178" s="24"/>
      <c r="B178" s="24"/>
      <c r="C178" s="25"/>
      <c r="D178" s="24"/>
      <c r="E178" s="26" t="str">
        <f>IFERROR(VLOOKUP(D178,'04_Master Karyawan'!$A$5:$F$50,2,FALSE),"")</f>
        <v/>
      </c>
      <c r="F178" s="24"/>
      <c r="G178" s="26" t="str">
        <f>IFERROR(VLOOKUP(F178,'05_Master KPI'!$B$5:$G$100,2,FALSE)&amp;" ("&amp;VLOOKUP(F178,'05_Master KPI'!$B$5:$G$100,3,FALSE)&amp;")","")</f>
        <v/>
      </c>
      <c r="H178" s="26">
        <f>IFERROR(IF(B178&lt;&gt;'06_Target KPI'!$B$3,0,IF(VLOOKUP(F178,'05_Master KPI'!$B$5:$G$100,6,FALSE)="Kumulatif",INDEX('06_Target KPI'!$E$5:$P$100,MATCH(F178,'06_Target KPI'!$B$5:$B$100,0),MATCH(A178,'06_Target KPI'!$E$4:$P$4,0))*DAY(C178)/DAY(EOMONTH(C178,0)),INDEX('06_Target KPI'!$E$5:$P$100,MATCH(F178,'06_Target KPI'!$B$5:$B$100,0),MATCH(A178,'06_Target KPI'!$E$4:$P$4,0)))),0)</f>
        <v>0</v>
      </c>
      <c r="I178" s="24"/>
      <c r="J178" s="27">
        <f>IFERROR(MIN(IF(VLOOKUP(F178,'05_Master KPI'!$B$5:$G$100,5,FALSE)="Lower",H178/I178,I178/H178),1),0)</f>
        <v>0</v>
      </c>
      <c r="K178" s="26">
        <f>IFERROR(VLOOKUP(F178,'05_Master KPI'!$B$5:$G$100,4,FALSE),0)</f>
        <v>0</v>
      </c>
      <c r="L178" s="28">
        <f t="shared" si="2"/>
        <v>0</v>
      </c>
      <c r="M178" s="26" t="str">
        <f>IF(D178="","",IF(J178&gt;='13_Setting'!$H$7,"Tercapai",IF(J178&gt;='13_Setting'!$H$6,"On Track","Tertinggal")))</f>
        <v/>
      </c>
      <c r="N178" s="24"/>
    </row>
    <row r="179" spans="1:14">
      <c r="A179" s="24"/>
      <c r="B179" s="24"/>
      <c r="C179" s="25"/>
      <c r="D179" s="24"/>
      <c r="E179" s="26" t="str">
        <f>IFERROR(VLOOKUP(D179,'04_Master Karyawan'!$A$5:$F$50,2,FALSE),"")</f>
        <v/>
      </c>
      <c r="F179" s="24"/>
      <c r="G179" s="26" t="str">
        <f>IFERROR(VLOOKUP(F179,'05_Master KPI'!$B$5:$G$100,2,FALSE)&amp;" ("&amp;VLOOKUP(F179,'05_Master KPI'!$B$5:$G$100,3,FALSE)&amp;")","")</f>
        <v/>
      </c>
      <c r="H179" s="26">
        <f>IFERROR(IF(B179&lt;&gt;'06_Target KPI'!$B$3,0,IF(VLOOKUP(F179,'05_Master KPI'!$B$5:$G$100,6,FALSE)="Kumulatif",INDEX('06_Target KPI'!$E$5:$P$100,MATCH(F179,'06_Target KPI'!$B$5:$B$100,0),MATCH(A179,'06_Target KPI'!$E$4:$P$4,0))*DAY(C179)/DAY(EOMONTH(C179,0)),INDEX('06_Target KPI'!$E$5:$P$100,MATCH(F179,'06_Target KPI'!$B$5:$B$100,0),MATCH(A179,'06_Target KPI'!$E$4:$P$4,0)))),0)</f>
        <v>0</v>
      </c>
      <c r="I179" s="24"/>
      <c r="J179" s="27">
        <f>IFERROR(MIN(IF(VLOOKUP(F179,'05_Master KPI'!$B$5:$G$100,5,FALSE)="Lower",H179/I179,I179/H179),1),0)</f>
        <v>0</v>
      </c>
      <c r="K179" s="26">
        <f>IFERROR(VLOOKUP(F179,'05_Master KPI'!$B$5:$G$100,4,FALSE),0)</f>
        <v>0</v>
      </c>
      <c r="L179" s="28">
        <f t="shared" si="2"/>
        <v>0</v>
      </c>
      <c r="M179" s="26" t="str">
        <f>IF(D179="","",IF(J179&gt;='13_Setting'!$H$7,"Tercapai",IF(J179&gt;='13_Setting'!$H$6,"On Track","Tertinggal")))</f>
        <v/>
      </c>
      <c r="N179" s="24"/>
    </row>
    <row r="180" spans="1:14">
      <c r="A180" s="24"/>
      <c r="B180" s="24"/>
      <c r="C180" s="25"/>
      <c r="D180" s="24"/>
      <c r="E180" s="26" t="str">
        <f>IFERROR(VLOOKUP(D180,'04_Master Karyawan'!$A$5:$F$50,2,FALSE),"")</f>
        <v/>
      </c>
      <c r="F180" s="24"/>
      <c r="G180" s="26" t="str">
        <f>IFERROR(VLOOKUP(F180,'05_Master KPI'!$B$5:$G$100,2,FALSE)&amp;" ("&amp;VLOOKUP(F180,'05_Master KPI'!$B$5:$G$100,3,FALSE)&amp;")","")</f>
        <v/>
      </c>
      <c r="H180" s="26">
        <f>IFERROR(IF(B180&lt;&gt;'06_Target KPI'!$B$3,0,IF(VLOOKUP(F180,'05_Master KPI'!$B$5:$G$100,6,FALSE)="Kumulatif",INDEX('06_Target KPI'!$E$5:$P$100,MATCH(F180,'06_Target KPI'!$B$5:$B$100,0),MATCH(A180,'06_Target KPI'!$E$4:$P$4,0))*DAY(C180)/DAY(EOMONTH(C180,0)),INDEX('06_Target KPI'!$E$5:$P$100,MATCH(F180,'06_Target KPI'!$B$5:$B$100,0),MATCH(A180,'06_Target KPI'!$E$4:$P$4,0)))),0)</f>
        <v>0</v>
      </c>
      <c r="I180" s="24"/>
      <c r="J180" s="27">
        <f>IFERROR(MIN(IF(VLOOKUP(F180,'05_Master KPI'!$B$5:$G$100,5,FALSE)="Lower",H180/I180,I180/H180),1),0)</f>
        <v>0</v>
      </c>
      <c r="K180" s="26">
        <f>IFERROR(VLOOKUP(F180,'05_Master KPI'!$B$5:$G$100,4,FALSE),0)</f>
        <v>0</v>
      </c>
      <c r="L180" s="28">
        <f t="shared" si="2"/>
        <v>0</v>
      </c>
      <c r="M180" s="26" t="str">
        <f>IF(D180="","",IF(J180&gt;='13_Setting'!$H$7,"Tercapai",IF(J180&gt;='13_Setting'!$H$6,"On Track","Tertinggal")))</f>
        <v/>
      </c>
      <c r="N180" s="24"/>
    </row>
    <row r="181" spans="1:14">
      <c r="A181" s="24"/>
      <c r="B181" s="24"/>
      <c r="C181" s="25"/>
      <c r="D181" s="24"/>
      <c r="E181" s="26" t="str">
        <f>IFERROR(VLOOKUP(D181,'04_Master Karyawan'!$A$5:$F$50,2,FALSE),"")</f>
        <v/>
      </c>
      <c r="F181" s="24"/>
      <c r="G181" s="26" t="str">
        <f>IFERROR(VLOOKUP(F181,'05_Master KPI'!$B$5:$G$100,2,FALSE)&amp;" ("&amp;VLOOKUP(F181,'05_Master KPI'!$B$5:$G$100,3,FALSE)&amp;")","")</f>
        <v/>
      </c>
      <c r="H181" s="26">
        <f>IFERROR(IF(B181&lt;&gt;'06_Target KPI'!$B$3,0,IF(VLOOKUP(F181,'05_Master KPI'!$B$5:$G$100,6,FALSE)="Kumulatif",INDEX('06_Target KPI'!$E$5:$P$100,MATCH(F181,'06_Target KPI'!$B$5:$B$100,0),MATCH(A181,'06_Target KPI'!$E$4:$P$4,0))*DAY(C181)/DAY(EOMONTH(C181,0)),INDEX('06_Target KPI'!$E$5:$P$100,MATCH(F181,'06_Target KPI'!$B$5:$B$100,0),MATCH(A181,'06_Target KPI'!$E$4:$P$4,0)))),0)</f>
        <v>0</v>
      </c>
      <c r="I181" s="24"/>
      <c r="J181" s="27">
        <f>IFERROR(MIN(IF(VLOOKUP(F181,'05_Master KPI'!$B$5:$G$100,5,FALSE)="Lower",H181/I181,I181/H181),1),0)</f>
        <v>0</v>
      </c>
      <c r="K181" s="26">
        <f>IFERROR(VLOOKUP(F181,'05_Master KPI'!$B$5:$G$100,4,FALSE),0)</f>
        <v>0</v>
      </c>
      <c r="L181" s="28">
        <f t="shared" si="2"/>
        <v>0</v>
      </c>
      <c r="M181" s="26" t="str">
        <f>IF(D181="","",IF(J181&gt;='13_Setting'!$H$7,"Tercapai",IF(J181&gt;='13_Setting'!$H$6,"On Track","Tertinggal")))</f>
        <v/>
      </c>
      <c r="N181" s="24"/>
    </row>
    <row r="182" spans="1:14">
      <c r="A182" s="24"/>
      <c r="B182" s="24"/>
      <c r="C182" s="25"/>
      <c r="D182" s="24"/>
      <c r="E182" s="26" t="str">
        <f>IFERROR(VLOOKUP(D182,'04_Master Karyawan'!$A$5:$F$50,2,FALSE),"")</f>
        <v/>
      </c>
      <c r="F182" s="24"/>
      <c r="G182" s="26" t="str">
        <f>IFERROR(VLOOKUP(F182,'05_Master KPI'!$B$5:$G$100,2,FALSE)&amp;" ("&amp;VLOOKUP(F182,'05_Master KPI'!$B$5:$G$100,3,FALSE)&amp;")","")</f>
        <v/>
      </c>
      <c r="H182" s="26">
        <f>IFERROR(IF(B182&lt;&gt;'06_Target KPI'!$B$3,0,IF(VLOOKUP(F182,'05_Master KPI'!$B$5:$G$100,6,FALSE)="Kumulatif",INDEX('06_Target KPI'!$E$5:$P$100,MATCH(F182,'06_Target KPI'!$B$5:$B$100,0),MATCH(A182,'06_Target KPI'!$E$4:$P$4,0))*DAY(C182)/DAY(EOMONTH(C182,0)),INDEX('06_Target KPI'!$E$5:$P$100,MATCH(F182,'06_Target KPI'!$B$5:$B$100,0),MATCH(A182,'06_Target KPI'!$E$4:$P$4,0)))),0)</f>
        <v>0</v>
      </c>
      <c r="I182" s="24"/>
      <c r="J182" s="27">
        <f>IFERROR(MIN(IF(VLOOKUP(F182,'05_Master KPI'!$B$5:$G$100,5,FALSE)="Lower",H182/I182,I182/H182),1),0)</f>
        <v>0</v>
      </c>
      <c r="K182" s="26">
        <f>IFERROR(VLOOKUP(F182,'05_Master KPI'!$B$5:$G$100,4,FALSE),0)</f>
        <v>0</v>
      </c>
      <c r="L182" s="28">
        <f t="shared" si="2"/>
        <v>0</v>
      </c>
      <c r="M182" s="26" t="str">
        <f>IF(D182="","",IF(J182&gt;='13_Setting'!$H$7,"Tercapai",IF(J182&gt;='13_Setting'!$H$6,"On Track","Tertinggal")))</f>
        <v/>
      </c>
      <c r="N182" s="24"/>
    </row>
    <row r="183" spans="1:14">
      <c r="A183" s="24"/>
      <c r="B183" s="24"/>
      <c r="C183" s="25"/>
      <c r="D183" s="24"/>
      <c r="E183" s="26" t="str">
        <f>IFERROR(VLOOKUP(D183,'04_Master Karyawan'!$A$5:$F$50,2,FALSE),"")</f>
        <v/>
      </c>
      <c r="F183" s="24"/>
      <c r="G183" s="26" t="str">
        <f>IFERROR(VLOOKUP(F183,'05_Master KPI'!$B$5:$G$100,2,FALSE)&amp;" ("&amp;VLOOKUP(F183,'05_Master KPI'!$B$5:$G$100,3,FALSE)&amp;")","")</f>
        <v/>
      </c>
      <c r="H183" s="26">
        <f>IFERROR(IF(B183&lt;&gt;'06_Target KPI'!$B$3,0,IF(VLOOKUP(F183,'05_Master KPI'!$B$5:$G$100,6,FALSE)="Kumulatif",INDEX('06_Target KPI'!$E$5:$P$100,MATCH(F183,'06_Target KPI'!$B$5:$B$100,0),MATCH(A183,'06_Target KPI'!$E$4:$P$4,0))*DAY(C183)/DAY(EOMONTH(C183,0)),INDEX('06_Target KPI'!$E$5:$P$100,MATCH(F183,'06_Target KPI'!$B$5:$B$100,0),MATCH(A183,'06_Target KPI'!$E$4:$P$4,0)))),0)</f>
        <v>0</v>
      </c>
      <c r="I183" s="24"/>
      <c r="J183" s="27">
        <f>IFERROR(MIN(IF(VLOOKUP(F183,'05_Master KPI'!$B$5:$G$100,5,FALSE)="Lower",H183/I183,I183/H183),1),0)</f>
        <v>0</v>
      </c>
      <c r="K183" s="26">
        <f>IFERROR(VLOOKUP(F183,'05_Master KPI'!$B$5:$G$100,4,FALSE),0)</f>
        <v>0</v>
      </c>
      <c r="L183" s="28">
        <f t="shared" si="2"/>
        <v>0</v>
      </c>
      <c r="M183" s="26" t="str">
        <f>IF(D183="","",IF(J183&gt;='13_Setting'!$H$7,"Tercapai",IF(J183&gt;='13_Setting'!$H$6,"On Track","Tertinggal")))</f>
        <v/>
      </c>
      <c r="N183" s="24"/>
    </row>
    <row r="184" spans="1:14">
      <c r="A184" s="24"/>
      <c r="B184" s="24"/>
      <c r="C184" s="25"/>
      <c r="D184" s="24"/>
      <c r="E184" s="26" t="str">
        <f>IFERROR(VLOOKUP(D184,'04_Master Karyawan'!$A$5:$F$50,2,FALSE),"")</f>
        <v/>
      </c>
      <c r="F184" s="24"/>
      <c r="G184" s="26" t="str">
        <f>IFERROR(VLOOKUP(F184,'05_Master KPI'!$B$5:$G$100,2,FALSE)&amp;" ("&amp;VLOOKUP(F184,'05_Master KPI'!$B$5:$G$100,3,FALSE)&amp;")","")</f>
        <v/>
      </c>
      <c r="H184" s="26">
        <f>IFERROR(IF(B184&lt;&gt;'06_Target KPI'!$B$3,0,IF(VLOOKUP(F184,'05_Master KPI'!$B$5:$G$100,6,FALSE)="Kumulatif",INDEX('06_Target KPI'!$E$5:$P$100,MATCH(F184,'06_Target KPI'!$B$5:$B$100,0),MATCH(A184,'06_Target KPI'!$E$4:$P$4,0))*DAY(C184)/DAY(EOMONTH(C184,0)),INDEX('06_Target KPI'!$E$5:$P$100,MATCH(F184,'06_Target KPI'!$B$5:$B$100,0),MATCH(A184,'06_Target KPI'!$E$4:$P$4,0)))),0)</f>
        <v>0</v>
      </c>
      <c r="I184" s="24"/>
      <c r="J184" s="27">
        <f>IFERROR(MIN(IF(VLOOKUP(F184,'05_Master KPI'!$B$5:$G$100,5,FALSE)="Lower",H184/I184,I184/H184),1),0)</f>
        <v>0</v>
      </c>
      <c r="K184" s="26">
        <f>IFERROR(VLOOKUP(F184,'05_Master KPI'!$B$5:$G$100,4,FALSE),0)</f>
        <v>0</v>
      </c>
      <c r="L184" s="28">
        <f t="shared" si="2"/>
        <v>0</v>
      </c>
      <c r="M184" s="26" t="str">
        <f>IF(D184="","",IF(J184&gt;='13_Setting'!$H$7,"Tercapai",IF(J184&gt;='13_Setting'!$H$6,"On Track","Tertinggal")))</f>
        <v/>
      </c>
      <c r="N184" s="24"/>
    </row>
    <row r="185" spans="1:14">
      <c r="A185" s="24"/>
      <c r="B185" s="24"/>
      <c r="C185" s="25"/>
      <c r="D185" s="24"/>
      <c r="E185" s="26" t="str">
        <f>IFERROR(VLOOKUP(D185,'04_Master Karyawan'!$A$5:$F$50,2,FALSE),"")</f>
        <v/>
      </c>
      <c r="F185" s="24"/>
      <c r="G185" s="26" t="str">
        <f>IFERROR(VLOOKUP(F185,'05_Master KPI'!$B$5:$G$100,2,FALSE)&amp;" ("&amp;VLOOKUP(F185,'05_Master KPI'!$B$5:$G$100,3,FALSE)&amp;")","")</f>
        <v/>
      </c>
      <c r="H185" s="26">
        <f>IFERROR(IF(B185&lt;&gt;'06_Target KPI'!$B$3,0,IF(VLOOKUP(F185,'05_Master KPI'!$B$5:$G$100,6,FALSE)="Kumulatif",INDEX('06_Target KPI'!$E$5:$P$100,MATCH(F185,'06_Target KPI'!$B$5:$B$100,0),MATCH(A185,'06_Target KPI'!$E$4:$P$4,0))*DAY(C185)/DAY(EOMONTH(C185,0)),INDEX('06_Target KPI'!$E$5:$P$100,MATCH(F185,'06_Target KPI'!$B$5:$B$100,0),MATCH(A185,'06_Target KPI'!$E$4:$P$4,0)))),0)</f>
        <v>0</v>
      </c>
      <c r="I185" s="24"/>
      <c r="J185" s="27">
        <f>IFERROR(MIN(IF(VLOOKUP(F185,'05_Master KPI'!$B$5:$G$100,5,FALSE)="Lower",H185/I185,I185/H185),1),0)</f>
        <v>0</v>
      </c>
      <c r="K185" s="26">
        <f>IFERROR(VLOOKUP(F185,'05_Master KPI'!$B$5:$G$100,4,FALSE),0)</f>
        <v>0</v>
      </c>
      <c r="L185" s="28">
        <f t="shared" si="2"/>
        <v>0</v>
      </c>
      <c r="M185" s="26" t="str">
        <f>IF(D185="","",IF(J185&gt;='13_Setting'!$H$7,"Tercapai",IF(J185&gt;='13_Setting'!$H$6,"On Track","Tertinggal")))</f>
        <v/>
      </c>
      <c r="N185" s="24"/>
    </row>
    <row r="186" spans="1:14">
      <c r="A186" s="24"/>
      <c r="B186" s="24"/>
      <c r="C186" s="25"/>
      <c r="D186" s="24"/>
      <c r="E186" s="26" t="str">
        <f>IFERROR(VLOOKUP(D186,'04_Master Karyawan'!$A$5:$F$50,2,FALSE),"")</f>
        <v/>
      </c>
      <c r="F186" s="24"/>
      <c r="G186" s="26" t="str">
        <f>IFERROR(VLOOKUP(F186,'05_Master KPI'!$B$5:$G$100,2,FALSE)&amp;" ("&amp;VLOOKUP(F186,'05_Master KPI'!$B$5:$G$100,3,FALSE)&amp;")","")</f>
        <v/>
      </c>
      <c r="H186" s="26">
        <f>IFERROR(IF(B186&lt;&gt;'06_Target KPI'!$B$3,0,IF(VLOOKUP(F186,'05_Master KPI'!$B$5:$G$100,6,FALSE)="Kumulatif",INDEX('06_Target KPI'!$E$5:$P$100,MATCH(F186,'06_Target KPI'!$B$5:$B$100,0),MATCH(A186,'06_Target KPI'!$E$4:$P$4,0))*DAY(C186)/DAY(EOMONTH(C186,0)),INDEX('06_Target KPI'!$E$5:$P$100,MATCH(F186,'06_Target KPI'!$B$5:$B$100,0),MATCH(A186,'06_Target KPI'!$E$4:$P$4,0)))),0)</f>
        <v>0</v>
      </c>
      <c r="I186" s="24"/>
      <c r="J186" s="27">
        <f>IFERROR(MIN(IF(VLOOKUP(F186,'05_Master KPI'!$B$5:$G$100,5,FALSE)="Lower",H186/I186,I186/H186),1),0)</f>
        <v>0</v>
      </c>
      <c r="K186" s="26">
        <f>IFERROR(VLOOKUP(F186,'05_Master KPI'!$B$5:$G$100,4,FALSE),0)</f>
        <v>0</v>
      </c>
      <c r="L186" s="28">
        <f t="shared" si="2"/>
        <v>0</v>
      </c>
      <c r="M186" s="26" t="str">
        <f>IF(D186="","",IF(J186&gt;='13_Setting'!$H$7,"Tercapai",IF(J186&gt;='13_Setting'!$H$6,"On Track","Tertinggal")))</f>
        <v/>
      </c>
      <c r="N186" s="24"/>
    </row>
    <row r="187" spans="1:14">
      <c r="A187" s="24"/>
      <c r="B187" s="24"/>
      <c r="C187" s="25"/>
      <c r="D187" s="24"/>
      <c r="E187" s="26" t="str">
        <f>IFERROR(VLOOKUP(D187,'04_Master Karyawan'!$A$5:$F$50,2,FALSE),"")</f>
        <v/>
      </c>
      <c r="F187" s="24"/>
      <c r="G187" s="26" t="str">
        <f>IFERROR(VLOOKUP(F187,'05_Master KPI'!$B$5:$G$100,2,FALSE)&amp;" ("&amp;VLOOKUP(F187,'05_Master KPI'!$B$5:$G$100,3,FALSE)&amp;")","")</f>
        <v/>
      </c>
      <c r="H187" s="26">
        <f>IFERROR(IF(B187&lt;&gt;'06_Target KPI'!$B$3,0,IF(VLOOKUP(F187,'05_Master KPI'!$B$5:$G$100,6,FALSE)="Kumulatif",INDEX('06_Target KPI'!$E$5:$P$100,MATCH(F187,'06_Target KPI'!$B$5:$B$100,0),MATCH(A187,'06_Target KPI'!$E$4:$P$4,0))*DAY(C187)/DAY(EOMONTH(C187,0)),INDEX('06_Target KPI'!$E$5:$P$100,MATCH(F187,'06_Target KPI'!$B$5:$B$100,0),MATCH(A187,'06_Target KPI'!$E$4:$P$4,0)))),0)</f>
        <v>0</v>
      </c>
      <c r="I187" s="24"/>
      <c r="J187" s="27">
        <f>IFERROR(MIN(IF(VLOOKUP(F187,'05_Master KPI'!$B$5:$G$100,5,FALSE)="Lower",H187/I187,I187/H187),1),0)</f>
        <v>0</v>
      </c>
      <c r="K187" s="26">
        <f>IFERROR(VLOOKUP(F187,'05_Master KPI'!$B$5:$G$100,4,FALSE),0)</f>
        <v>0</v>
      </c>
      <c r="L187" s="28">
        <f t="shared" si="2"/>
        <v>0</v>
      </c>
      <c r="M187" s="26" t="str">
        <f>IF(D187="","",IF(J187&gt;='13_Setting'!$H$7,"Tercapai",IF(J187&gt;='13_Setting'!$H$6,"On Track","Tertinggal")))</f>
        <v/>
      </c>
      <c r="N187" s="24"/>
    </row>
    <row r="188" spans="1:14">
      <c r="A188" s="24"/>
      <c r="B188" s="24"/>
      <c r="C188" s="25"/>
      <c r="D188" s="24"/>
      <c r="E188" s="26" t="str">
        <f>IFERROR(VLOOKUP(D188,'04_Master Karyawan'!$A$5:$F$50,2,FALSE),"")</f>
        <v/>
      </c>
      <c r="F188" s="24"/>
      <c r="G188" s="26" t="str">
        <f>IFERROR(VLOOKUP(F188,'05_Master KPI'!$B$5:$G$100,2,FALSE)&amp;" ("&amp;VLOOKUP(F188,'05_Master KPI'!$B$5:$G$100,3,FALSE)&amp;")","")</f>
        <v/>
      </c>
      <c r="H188" s="26">
        <f>IFERROR(IF(B188&lt;&gt;'06_Target KPI'!$B$3,0,IF(VLOOKUP(F188,'05_Master KPI'!$B$5:$G$100,6,FALSE)="Kumulatif",INDEX('06_Target KPI'!$E$5:$P$100,MATCH(F188,'06_Target KPI'!$B$5:$B$100,0),MATCH(A188,'06_Target KPI'!$E$4:$P$4,0))*DAY(C188)/DAY(EOMONTH(C188,0)),INDEX('06_Target KPI'!$E$5:$P$100,MATCH(F188,'06_Target KPI'!$B$5:$B$100,0),MATCH(A188,'06_Target KPI'!$E$4:$P$4,0)))),0)</f>
        <v>0</v>
      </c>
      <c r="I188" s="24"/>
      <c r="J188" s="27">
        <f>IFERROR(MIN(IF(VLOOKUP(F188,'05_Master KPI'!$B$5:$G$100,5,FALSE)="Lower",H188/I188,I188/H188),1),0)</f>
        <v>0</v>
      </c>
      <c r="K188" s="26">
        <f>IFERROR(VLOOKUP(F188,'05_Master KPI'!$B$5:$G$100,4,FALSE),0)</f>
        <v>0</v>
      </c>
      <c r="L188" s="28">
        <f t="shared" si="2"/>
        <v>0</v>
      </c>
      <c r="M188" s="26" t="str">
        <f>IF(D188="","",IF(J188&gt;='13_Setting'!$H$7,"Tercapai",IF(J188&gt;='13_Setting'!$H$6,"On Track","Tertinggal")))</f>
        <v/>
      </c>
      <c r="N188" s="24"/>
    </row>
    <row r="189" spans="1:14">
      <c r="A189" s="24"/>
      <c r="B189" s="24"/>
      <c r="C189" s="25"/>
      <c r="D189" s="24"/>
      <c r="E189" s="26" t="str">
        <f>IFERROR(VLOOKUP(D189,'04_Master Karyawan'!$A$5:$F$50,2,FALSE),"")</f>
        <v/>
      </c>
      <c r="F189" s="24"/>
      <c r="G189" s="26" t="str">
        <f>IFERROR(VLOOKUP(F189,'05_Master KPI'!$B$5:$G$100,2,FALSE)&amp;" ("&amp;VLOOKUP(F189,'05_Master KPI'!$B$5:$G$100,3,FALSE)&amp;")","")</f>
        <v/>
      </c>
      <c r="H189" s="26">
        <f>IFERROR(IF(B189&lt;&gt;'06_Target KPI'!$B$3,0,IF(VLOOKUP(F189,'05_Master KPI'!$B$5:$G$100,6,FALSE)="Kumulatif",INDEX('06_Target KPI'!$E$5:$P$100,MATCH(F189,'06_Target KPI'!$B$5:$B$100,0),MATCH(A189,'06_Target KPI'!$E$4:$P$4,0))*DAY(C189)/DAY(EOMONTH(C189,0)),INDEX('06_Target KPI'!$E$5:$P$100,MATCH(F189,'06_Target KPI'!$B$5:$B$100,0),MATCH(A189,'06_Target KPI'!$E$4:$P$4,0)))),0)</f>
        <v>0</v>
      </c>
      <c r="I189" s="24"/>
      <c r="J189" s="27">
        <f>IFERROR(MIN(IF(VLOOKUP(F189,'05_Master KPI'!$B$5:$G$100,5,FALSE)="Lower",H189/I189,I189/H189),1),0)</f>
        <v>0</v>
      </c>
      <c r="K189" s="26">
        <f>IFERROR(VLOOKUP(F189,'05_Master KPI'!$B$5:$G$100,4,FALSE),0)</f>
        <v>0</v>
      </c>
      <c r="L189" s="28">
        <f t="shared" si="2"/>
        <v>0</v>
      </c>
      <c r="M189" s="26" t="str">
        <f>IF(D189="","",IF(J189&gt;='13_Setting'!$H$7,"Tercapai",IF(J189&gt;='13_Setting'!$H$6,"On Track","Tertinggal")))</f>
        <v/>
      </c>
      <c r="N189" s="24"/>
    </row>
    <row r="190" spans="1:14">
      <c r="A190" s="24"/>
      <c r="B190" s="24"/>
      <c r="C190" s="25"/>
      <c r="D190" s="24"/>
      <c r="E190" s="26" t="str">
        <f>IFERROR(VLOOKUP(D190,'04_Master Karyawan'!$A$5:$F$50,2,FALSE),"")</f>
        <v/>
      </c>
      <c r="F190" s="24"/>
      <c r="G190" s="26" t="str">
        <f>IFERROR(VLOOKUP(F190,'05_Master KPI'!$B$5:$G$100,2,FALSE)&amp;" ("&amp;VLOOKUP(F190,'05_Master KPI'!$B$5:$G$100,3,FALSE)&amp;")","")</f>
        <v/>
      </c>
      <c r="H190" s="26">
        <f>IFERROR(IF(B190&lt;&gt;'06_Target KPI'!$B$3,0,IF(VLOOKUP(F190,'05_Master KPI'!$B$5:$G$100,6,FALSE)="Kumulatif",INDEX('06_Target KPI'!$E$5:$P$100,MATCH(F190,'06_Target KPI'!$B$5:$B$100,0),MATCH(A190,'06_Target KPI'!$E$4:$P$4,0))*DAY(C190)/DAY(EOMONTH(C190,0)),INDEX('06_Target KPI'!$E$5:$P$100,MATCH(F190,'06_Target KPI'!$B$5:$B$100,0),MATCH(A190,'06_Target KPI'!$E$4:$P$4,0)))),0)</f>
        <v>0</v>
      </c>
      <c r="I190" s="24"/>
      <c r="J190" s="27">
        <f>IFERROR(MIN(IF(VLOOKUP(F190,'05_Master KPI'!$B$5:$G$100,5,FALSE)="Lower",H190/I190,I190/H190),1),0)</f>
        <v>0</v>
      </c>
      <c r="K190" s="26">
        <f>IFERROR(VLOOKUP(F190,'05_Master KPI'!$B$5:$G$100,4,FALSE),0)</f>
        <v>0</v>
      </c>
      <c r="L190" s="28">
        <f t="shared" si="2"/>
        <v>0</v>
      </c>
      <c r="M190" s="26" t="str">
        <f>IF(D190="","",IF(J190&gt;='13_Setting'!$H$7,"Tercapai",IF(J190&gt;='13_Setting'!$H$6,"On Track","Tertinggal")))</f>
        <v/>
      </c>
      <c r="N190" s="24"/>
    </row>
    <row r="191" spans="1:14">
      <c r="A191" s="24"/>
      <c r="B191" s="24"/>
      <c r="C191" s="25"/>
      <c r="D191" s="24"/>
      <c r="E191" s="26" t="str">
        <f>IFERROR(VLOOKUP(D191,'04_Master Karyawan'!$A$5:$F$50,2,FALSE),"")</f>
        <v/>
      </c>
      <c r="F191" s="24"/>
      <c r="G191" s="26" t="str">
        <f>IFERROR(VLOOKUP(F191,'05_Master KPI'!$B$5:$G$100,2,FALSE)&amp;" ("&amp;VLOOKUP(F191,'05_Master KPI'!$B$5:$G$100,3,FALSE)&amp;")","")</f>
        <v/>
      </c>
      <c r="H191" s="26">
        <f>IFERROR(IF(B191&lt;&gt;'06_Target KPI'!$B$3,0,IF(VLOOKUP(F191,'05_Master KPI'!$B$5:$G$100,6,FALSE)="Kumulatif",INDEX('06_Target KPI'!$E$5:$P$100,MATCH(F191,'06_Target KPI'!$B$5:$B$100,0),MATCH(A191,'06_Target KPI'!$E$4:$P$4,0))*DAY(C191)/DAY(EOMONTH(C191,0)),INDEX('06_Target KPI'!$E$5:$P$100,MATCH(F191,'06_Target KPI'!$B$5:$B$100,0),MATCH(A191,'06_Target KPI'!$E$4:$P$4,0)))),0)</f>
        <v>0</v>
      </c>
      <c r="I191" s="24"/>
      <c r="J191" s="27">
        <f>IFERROR(MIN(IF(VLOOKUP(F191,'05_Master KPI'!$B$5:$G$100,5,FALSE)="Lower",H191/I191,I191/H191),1),0)</f>
        <v>0</v>
      </c>
      <c r="K191" s="26">
        <f>IFERROR(VLOOKUP(F191,'05_Master KPI'!$B$5:$G$100,4,FALSE),0)</f>
        <v>0</v>
      </c>
      <c r="L191" s="28">
        <f t="shared" si="2"/>
        <v>0</v>
      </c>
      <c r="M191" s="26" t="str">
        <f>IF(D191="","",IF(J191&gt;='13_Setting'!$H$7,"Tercapai",IF(J191&gt;='13_Setting'!$H$6,"On Track","Tertinggal")))</f>
        <v/>
      </c>
      <c r="N191" s="24"/>
    </row>
    <row r="192" spans="1:14">
      <c r="A192" s="24"/>
      <c r="B192" s="24"/>
      <c r="C192" s="25"/>
      <c r="D192" s="24"/>
      <c r="E192" s="26" t="str">
        <f>IFERROR(VLOOKUP(D192,'04_Master Karyawan'!$A$5:$F$50,2,FALSE),"")</f>
        <v/>
      </c>
      <c r="F192" s="24"/>
      <c r="G192" s="26" t="str">
        <f>IFERROR(VLOOKUP(F192,'05_Master KPI'!$B$5:$G$100,2,FALSE)&amp;" ("&amp;VLOOKUP(F192,'05_Master KPI'!$B$5:$G$100,3,FALSE)&amp;")","")</f>
        <v/>
      </c>
      <c r="H192" s="26">
        <f>IFERROR(IF(B192&lt;&gt;'06_Target KPI'!$B$3,0,IF(VLOOKUP(F192,'05_Master KPI'!$B$5:$G$100,6,FALSE)="Kumulatif",INDEX('06_Target KPI'!$E$5:$P$100,MATCH(F192,'06_Target KPI'!$B$5:$B$100,0),MATCH(A192,'06_Target KPI'!$E$4:$P$4,0))*DAY(C192)/DAY(EOMONTH(C192,0)),INDEX('06_Target KPI'!$E$5:$P$100,MATCH(F192,'06_Target KPI'!$B$5:$B$100,0),MATCH(A192,'06_Target KPI'!$E$4:$P$4,0)))),0)</f>
        <v>0</v>
      </c>
      <c r="I192" s="24"/>
      <c r="J192" s="27">
        <f>IFERROR(MIN(IF(VLOOKUP(F192,'05_Master KPI'!$B$5:$G$100,5,FALSE)="Lower",H192/I192,I192/H192),1),0)</f>
        <v>0</v>
      </c>
      <c r="K192" s="26">
        <f>IFERROR(VLOOKUP(F192,'05_Master KPI'!$B$5:$G$100,4,FALSE),0)</f>
        <v>0</v>
      </c>
      <c r="L192" s="28">
        <f t="shared" si="2"/>
        <v>0</v>
      </c>
      <c r="M192" s="26" t="str">
        <f>IF(D192="","",IF(J192&gt;='13_Setting'!$H$7,"Tercapai",IF(J192&gt;='13_Setting'!$H$6,"On Track","Tertinggal")))</f>
        <v/>
      </c>
      <c r="N192" s="24"/>
    </row>
    <row r="193" spans="1:14">
      <c r="A193" s="24"/>
      <c r="B193" s="24"/>
      <c r="C193" s="25"/>
      <c r="D193" s="24"/>
      <c r="E193" s="26" t="str">
        <f>IFERROR(VLOOKUP(D193,'04_Master Karyawan'!$A$5:$F$50,2,FALSE),"")</f>
        <v/>
      </c>
      <c r="F193" s="24"/>
      <c r="G193" s="26" t="str">
        <f>IFERROR(VLOOKUP(F193,'05_Master KPI'!$B$5:$G$100,2,FALSE)&amp;" ("&amp;VLOOKUP(F193,'05_Master KPI'!$B$5:$G$100,3,FALSE)&amp;")","")</f>
        <v/>
      </c>
      <c r="H193" s="26">
        <f>IFERROR(IF(B193&lt;&gt;'06_Target KPI'!$B$3,0,IF(VLOOKUP(F193,'05_Master KPI'!$B$5:$G$100,6,FALSE)="Kumulatif",INDEX('06_Target KPI'!$E$5:$P$100,MATCH(F193,'06_Target KPI'!$B$5:$B$100,0),MATCH(A193,'06_Target KPI'!$E$4:$P$4,0))*DAY(C193)/DAY(EOMONTH(C193,0)),INDEX('06_Target KPI'!$E$5:$P$100,MATCH(F193,'06_Target KPI'!$B$5:$B$100,0),MATCH(A193,'06_Target KPI'!$E$4:$P$4,0)))),0)</f>
        <v>0</v>
      </c>
      <c r="I193" s="24"/>
      <c r="J193" s="27">
        <f>IFERROR(MIN(IF(VLOOKUP(F193,'05_Master KPI'!$B$5:$G$100,5,FALSE)="Lower",H193/I193,I193/H193),1),0)</f>
        <v>0</v>
      </c>
      <c r="K193" s="26">
        <f>IFERROR(VLOOKUP(F193,'05_Master KPI'!$B$5:$G$100,4,FALSE),0)</f>
        <v>0</v>
      </c>
      <c r="L193" s="28">
        <f t="shared" si="2"/>
        <v>0</v>
      </c>
      <c r="M193" s="26" t="str">
        <f>IF(D193="","",IF(J193&gt;='13_Setting'!$H$7,"Tercapai",IF(J193&gt;='13_Setting'!$H$6,"On Track","Tertinggal")))</f>
        <v/>
      </c>
      <c r="N193" s="24"/>
    </row>
    <row r="194" spans="1:14">
      <c r="A194" s="24"/>
      <c r="B194" s="24"/>
      <c r="C194" s="25"/>
      <c r="D194" s="24"/>
      <c r="E194" s="26" t="str">
        <f>IFERROR(VLOOKUP(D194,'04_Master Karyawan'!$A$5:$F$50,2,FALSE),"")</f>
        <v/>
      </c>
      <c r="F194" s="24"/>
      <c r="G194" s="26" t="str">
        <f>IFERROR(VLOOKUP(F194,'05_Master KPI'!$B$5:$G$100,2,FALSE)&amp;" ("&amp;VLOOKUP(F194,'05_Master KPI'!$B$5:$G$100,3,FALSE)&amp;")","")</f>
        <v/>
      </c>
      <c r="H194" s="26">
        <f>IFERROR(IF(B194&lt;&gt;'06_Target KPI'!$B$3,0,IF(VLOOKUP(F194,'05_Master KPI'!$B$5:$G$100,6,FALSE)="Kumulatif",INDEX('06_Target KPI'!$E$5:$P$100,MATCH(F194,'06_Target KPI'!$B$5:$B$100,0),MATCH(A194,'06_Target KPI'!$E$4:$P$4,0))*DAY(C194)/DAY(EOMONTH(C194,0)),INDEX('06_Target KPI'!$E$5:$P$100,MATCH(F194,'06_Target KPI'!$B$5:$B$100,0),MATCH(A194,'06_Target KPI'!$E$4:$P$4,0)))),0)</f>
        <v>0</v>
      </c>
      <c r="I194" s="24"/>
      <c r="J194" s="27">
        <f>IFERROR(MIN(IF(VLOOKUP(F194,'05_Master KPI'!$B$5:$G$100,5,FALSE)="Lower",H194/I194,I194/H194),1),0)</f>
        <v>0</v>
      </c>
      <c r="K194" s="26">
        <f>IFERROR(VLOOKUP(F194,'05_Master KPI'!$B$5:$G$100,4,FALSE),0)</f>
        <v>0</v>
      </c>
      <c r="L194" s="28">
        <f t="shared" si="2"/>
        <v>0</v>
      </c>
      <c r="M194" s="26" t="str">
        <f>IF(D194="","",IF(J194&gt;='13_Setting'!$H$7,"Tercapai",IF(J194&gt;='13_Setting'!$H$6,"On Track","Tertinggal")))</f>
        <v/>
      </c>
      <c r="N194" s="24"/>
    </row>
    <row r="195" spans="1:14">
      <c r="A195" s="24"/>
      <c r="B195" s="24"/>
      <c r="C195" s="25"/>
      <c r="D195" s="24"/>
      <c r="E195" s="26" t="str">
        <f>IFERROR(VLOOKUP(D195,'04_Master Karyawan'!$A$5:$F$50,2,FALSE),"")</f>
        <v/>
      </c>
      <c r="F195" s="24"/>
      <c r="G195" s="26" t="str">
        <f>IFERROR(VLOOKUP(F195,'05_Master KPI'!$B$5:$G$100,2,FALSE)&amp;" ("&amp;VLOOKUP(F195,'05_Master KPI'!$B$5:$G$100,3,FALSE)&amp;")","")</f>
        <v/>
      </c>
      <c r="H195" s="26">
        <f>IFERROR(IF(B195&lt;&gt;'06_Target KPI'!$B$3,0,IF(VLOOKUP(F195,'05_Master KPI'!$B$5:$G$100,6,FALSE)="Kumulatif",INDEX('06_Target KPI'!$E$5:$P$100,MATCH(F195,'06_Target KPI'!$B$5:$B$100,0),MATCH(A195,'06_Target KPI'!$E$4:$P$4,0))*DAY(C195)/DAY(EOMONTH(C195,0)),INDEX('06_Target KPI'!$E$5:$P$100,MATCH(F195,'06_Target KPI'!$B$5:$B$100,0),MATCH(A195,'06_Target KPI'!$E$4:$P$4,0)))),0)</f>
        <v>0</v>
      </c>
      <c r="I195" s="24"/>
      <c r="J195" s="27">
        <f>IFERROR(MIN(IF(VLOOKUP(F195,'05_Master KPI'!$B$5:$G$100,5,FALSE)="Lower",H195/I195,I195/H195),1),0)</f>
        <v>0</v>
      </c>
      <c r="K195" s="26">
        <f>IFERROR(VLOOKUP(F195,'05_Master KPI'!$B$5:$G$100,4,FALSE),0)</f>
        <v>0</v>
      </c>
      <c r="L195" s="28">
        <f t="shared" si="2"/>
        <v>0</v>
      </c>
      <c r="M195" s="26" t="str">
        <f>IF(D195="","",IF(J195&gt;='13_Setting'!$H$7,"Tercapai",IF(J195&gt;='13_Setting'!$H$6,"On Track","Tertinggal")))</f>
        <v/>
      </c>
      <c r="N195" s="24"/>
    </row>
    <row r="196" spans="1:14">
      <c r="A196" s="24"/>
      <c r="B196" s="24"/>
      <c r="C196" s="25"/>
      <c r="D196" s="24"/>
      <c r="E196" s="26" t="str">
        <f>IFERROR(VLOOKUP(D196,'04_Master Karyawan'!$A$5:$F$50,2,FALSE),"")</f>
        <v/>
      </c>
      <c r="F196" s="24"/>
      <c r="G196" s="26" t="str">
        <f>IFERROR(VLOOKUP(F196,'05_Master KPI'!$B$5:$G$100,2,FALSE)&amp;" ("&amp;VLOOKUP(F196,'05_Master KPI'!$B$5:$G$100,3,FALSE)&amp;")","")</f>
        <v/>
      </c>
      <c r="H196" s="26">
        <f>IFERROR(IF(B196&lt;&gt;'06_Target KPI'!$B$3,0,IF(VLOOKUP(F196,'05_Master KPI'!$B$5:$G$100,6,FALSE)="Kumulatif",INDEX('06_Target KPI'!$E$5:$P$100,MATCH(F196,'06_Target KPI'!$B$5:$B$100,0),MATCH(A196,'06_Target KPI'!$E$4:$P$4,0))*DAY(C196)/DAY(EOMONTH(C196,0)),INDEX('06_Target KPI'!$E$5:$P$100,MATCH(F196,'06_Target KPI'!$B$5:$B$100,0),MATCH(A196,'06_Target KPI'!$E$4:$P$4,0)))),0)</f>
        <v>0</v>
      </c>
      <c r="I196" s="24"/>
      <c r="J196" s="27">
        <f>IFERROR(MIN(IF(VLOOKUP(F196,'05_Master KPI'!$B$5:$G$100,5,FALSE)="Lower",H196/I196,I196/H196),1),0)</f>
        <v>0</v>
      </c>
      <c r="K196" s="26">
        <f>IFERROR(VLOOKUP(F196,'05_Master KPI'!$B$5:$G$100,4,FALSE),0)</f>
        <v>0</v>
      </c>
      <c r="L196" s="28">
        <f t="shared" si="2"/>
        <v>0</v>
      </c>
      <c r="M196" s="26" t="str">
        <f>IF(D196="","",IF(J196&gt;='13_Setting'!$H$7,"Tercapai",IF(J196&gt;='13_Setting'!$H$6,"On Track","Tertinggal")))</f>
        <v/>
      </c>
      <c r="N196" s="24"/>
    </row>
    <row r="197" spans="1:14">
      <c r="A197" s="24"/>
      <c r="B197" s="24"/>
      <c r="C197" s="25"/>
      <c r="D197" s="24"/>
      <c r="E197" s="26" t="str">
        <f>IFERROR(VLOOKUP(D197,'04_Master Karyawan'!$A$5:$F$50,2,FALSE),"")</f>
        <v/>
      </c>
      <c r="F197" s="24"/>
      <c r="G197" s="26" t="str">
        <f>IFERROR(VLOOKUP(F197,'05_Master KPI'!$B$5:$G$100,2,FALSE)&amp;" ("&amp;VLOOKUP(F197,'05_Master KPI'!$B$5:$G$100,3,FALSE)&amp;")","")</f>
        <v/>
      </c>
      <c r="H197" s="26">
        <f>IFERROR(IF(B197&lt;&gt;'06_Target KPI'!$B$3,0,IF(VLOOKUP(F197,'05_Master KPI'!$B$5:$G$100,6,FALSE)="Kumulatif",INDEX('06_Target KPI'!$E$5:$P$100,MATCH(F197,'06_Target KPI'!$B$5:$B$100,0),MATCH(A197,'06_Target KPI'!$E$4:$P$4,0))*DAY(C197)/DAY(EOMONTH(C197,0)),INDEX('06_Target KPI'!$E$5:$P$100,MATCH(F197,'06_Target KPI'!$B$5:$B$100,0),MATCH(A197,'06_Target KPI'!$E$4:$P$4,0)))),0)</f>
        <v>0</v>
      </c>
      <c r="I197" s="24"/>
      <c r="J197" s="27">
        <f>IFERROR(MIN(IF(VLOOKUP(F197,'05_Master KPI'!$B$5:$G$100,5,FALSE)="Lower",H197/I197,I197/H197),1),0)</f>
        <v>0</v>
      </c>
      <c r="K197" s="26">
        <f>IFERROR(VLOOKUP(F197,'05_Master KPI'!$B$5:$G$100,4,FALSE),0)</f>
        <v>0</v>
      </c>
      <c r="L197" s="28">
        <f t="shared" ref="L197:L260" si="3">J197*K197</f>
        <v>0</v>
      </c>
      <c r="M197" s="26" t="str">
        <f>IF(D197="","",IF(J197&gt;='13_Setting'!$H$7,"Tercapai",IF(J197&gt;='13_Setting'!$H$6,"On Track","Tertinggal")))</f>
        <v/>
      </c>
      <c r="N197" s="24"/>
    </row>
    <row r="198" spans="1:14">
      <c r="A198" s="24"/>
      <c r="B198" s="24"/>
      <c r="C198" s="25"/>
      <c r="D198" s="24"/>
      <c r="E198" s="26" t="str">
        <f>IFERROR(VLOOKUP(D198,'04_Master Karyawan'!$A$5:$F$50,2,FALSE),"")</f>
        <v/>
      </c>
      <c r="F198" s="24"/>
      <c r="G198" s="26" t="str">
        <f>IFERROR(VLOOKUP(F198,'05_Master KPI'!$B$5:$G$100,2,FALSE)&amp;" ("&amp;VLOOKUP(F198,'05_Master KPI'!$B$5:$G$100,3,FALSE)&amp;")","")</f>
        <v/>
      </c>
      <c r="H198" s="26">
        <f>IFERROR(IF(B198&lt;&gt;'06_Target KPI'!$B$3,0,IF(VLOOKUP(F198,'05_Master KPI'!$B$5:$G$100,6,FALSE)="Kumulatif",INDEX('06_Target KPI'!$E$5:$P$100,MATCH(F198,'06_Target KPI'!$B$5:$B$100,0),MATCH(A198,'06_Target KPI'!$E$4:$P$4,0))*DAY(C198)/DAY(EOMONTH(C198,0)),INDEX('06_Target KPI'!$E$5:$P$100,MATCH(F198,'06_Target KPI'!$B$5:$B$100,0),MATCH(A198,'06_Target KPI'!$E$4:$P$4,0)))),0)</f>
        <v>0</v>
      </c>
      <c r="I198" s="24"/>
      <c r="J198" s="27">
        <f>IFERROR(MIN(IF(VLOOKUP(F198,'05_Master KPI'!$B$5:$G$100,5,FALSE)="Lower",H198/I198,I198/H198),1),0)</f>
        <v>0</v>
      </c>
      <c r="K198" s="26">
        <f>IFERROR(VLOOKUP(F198,'05_Master KPI'!$B$5:$G$100,4,FALSE),0)</f>
        <v>0</v>
      </c>
      <c r="L198" s="28">
        <f t="shared" si="3"/>
        <v>0</v>
      </c>
      <c r="M198" s="26" t="str">
        <f>IF(D198="","",IF(J198&gt;='13_Setting'!$H$7,"Tercapai",IF(J198&gt;='13_Setting'!$H$6,"On Track","Tertinggal")))</f>
        <v/>
      </c>
      <c r="N198" s="24"/>
    </row>
    <row r="199" spans="1:14">
      <c r="A199" s="24"/>
      <c r="B199" s="24"/>
      <c r="C199" s="25"/>
      <c r="D199" s="24"/>
      <c r="E199" s="26" t="str">
        <f>IFERROR(VLOOKUP(D199,'04_Master Karyawan'!$A$5:$F$50,2,FALSE),"")</f>
        <v/>
      </c>
      <c r="F199" s="24"/>
      <c r="G199" s="26" t="str">
        <f>IFERROR(VLOOKUP(F199,'05_Master KPI'!$B$5:$G$100,2,FALSE)&amp;" ("&amp;VLOOKUP(F199,'05_Master KPI'!$B$5:$G$100,3,FALSE)&amp;")","")</f>
        <v/>
      </c>
      <c r="H199" s="26">
        <f>IFERROR(IF(B199&lt;&gt;'06_Target KPI'!$B$3,0,IF(VLOOKUP(F199,'05_Master KPI'!$B$5:$G$100,6,FALSE)="Kumulatif",INDEX('06_Target KPI'!$E$5:$P$100,MATCH(F199,'06_Target KPI'!$B$5:$B$100,0),MATCH(A199,'06_Target KPI'!$E$4:$P$4,0))*DAY(C199)/DAY(EOMONTH(C199,0)),INDEX('06_Target KPI'!$E$5:$P$100,MATCH(F199,'06_Target KPI'!$B$5:$B$100,0),MATCH(A199,'06_Target KPI'!$E$4:$P$4,0)))),0)</f>
        <v>0</v>
      </c>
      <c r="I199" s="24"/>
      <c r="J199" s="27">
        <f>IFERROR(MIN(IF(VLOOKUP(F199,'05_Master KPI'!$B$5:$G$100,5,FALSE)="Lower",H199/I199,I199/H199),1),0)</f>
        <v>0</v>
      </c>
      <c r="K199" s="26">
        <f>IFERROR(VLOOKUP(F199,'05_Master KPI'!$B$5:$G$100,4,FALSE),0)</f>
        <v>0</v>
      </c>
      <c r="L199" s="28">
        <f t="shared" si="3"/>
        <v>0</v>
      </c>
      <c r="M199" s="26" t="str">
        <f>IF(D199="","",IF(J199&gt;='13_Setting'!$H$7,"Tercapai",IF(J199&gt;='13_Setting'!$H$6,"On Track","Tertinggal")))</f>
        <v/>
      </c>
      <c r="N199" s="24"/>
    </row>
    <row r="200" spans="1:14">
      <c r="A200" s="24"/>
      <c r="B200" s="24"/>
      <c r="C200" s="25"/>
      <c r="D200" s="24"/>
      <c r="E200" s="26" t="str">
        <f>IFERROR(VLOOKUP(D200,'04_Master Karyawan'!$A$5:$F$50,2,FALSE),"")</f>
        <v/>
      </c>
      <c r="F200" s="24"/>
      <c r="G200" s="26" t="str">
        <f>IFERROR(VLOOKUP(F200,'05_Master KPI'!$B$5:$G$100,2,FALSE)&amp;" ("&amp;VLOOKUP(F200,'05_Master KPI'!$B$5:$G$100,3,FALSE)&amp;")","")</f>
        <v/>
      </c>
      <c r="H200" s="26">
        <f>IFERROR(IF(B200&lt;&gt;'06_Target KPI'!$B$3,0,IF(VLOOKUP(F200,'05_Master KPI'!$B$5:$G$100,6,FALSE)="Kumulatif",INDEX('06_Target KPI'!$E$5:$P$100,MATCH(F200,'06_Target KPI'!$B$5:$B$100,0),MATCH(A200,'06_Target KPI'!$E$4:$P$4,0))*DAY(C200)/DAY(EOMONTH(C200,0)),INDEX('06_Target KPI'!$E$5:$P$100,MATCH(F200,'06_Target KPI'!$B$5:$B$100,0),MATCH(A200,'06_Target KPI'!$E$4:$P$4,0)))),0)</f>
        <v>0</v>
      </c>
      <c r="I200" s="24"/>
      <c r="J200" s="27">
        <f>IFERROR(MIN(IF(VLOOKUP(F200,'05_Master KPI'!$B$5:$G$100,5,FALSE)="Lower",H200/I200,I200/H200),1),0)</f>
        <v>0</v>
      </c>
      <c r="K200" s="26">
        <f>IFERROR(VLOOKUP(F200,'05_Master KPI'!$B$5:$G$100,4,FALSE),0)</f>
        <v>0</v>
      </c>
      <c r="L200" s="28">
        <f t="shared" si="3"/>
        <v>0</v>
      </c>
      <c r="M200" s="26" t="str">
        <f>IF(D200="","",IF(J200&gt;='13_Setting'!$H$7,"Tercapai",IF(J200&gt;='13_Setting'!$H$6,"On Track","Tertinggal")))</f>
        <v/>
      </c>
      <c r="N200" s="24"/>
    </row>
    <row r="201" spans="1:14">
      <c r="A201" s="24"/>
      <c r="B201" s="24"/>
      <c r="C201" s="25"/>
      <c r="D201" s="24"/>
      <c r="E201" s="26" t="str">
        <f>IFERROR(VLOOKUP(D201,'04_Master Karyawan'!$A$5:$F$50,2,FALSE),"")</f>
        <v/>
      </c>
      <c r="F201" s="24"/>
      <c r="G201" s="26" t="str">
        <f>IFERROR(VLOOKUP(F201,'05_Master KPI'!$B$5:$G$100,2,FALSE)&amp;" ("&amp;VLOOKUP(F201,'05_Master KPI'!$B$5:$G$100,3,FALSE)&amp;")","")</f>
        <v/>
      </c>
      <c r="H201" s="26">
        <f>IFERROR(IF(B201&lt;&gt;'06_Target KPI'!$B$3,0,IF(VLOOKUP(F201,'05_Master KPI'!$B$5:$G$100,6,FALSE)="Kumulatif",INDEX('06_Target KPI'!$E$5:$P$100,MATCH(F201,'06_Target KPI'!$B$5:$B$100,0),MATCH(A201,'06_Target KPI'!$E$4:$P$4,0))*DAY(C201)/DAY(EOMONTH(C201,0)),INDEX('06_Target KPI'!$E$5:$P$100,MATCH(F201,'06_Target KPI'!$B$5:$B$100,0),MATCH(A201,'06_Target KPI'!$E$4:$P$4,0)))),0)</f>
        <v>0</v>
      </c>
      <c r="I201" s="24"/>
      <c r="J201" s="27">
        <f>IFERROR(MIN(IF(VLOOKUP(F201,'05_Master KPI'!$B$5:$G$100,5,FALSE)="Lower",H201/I201,I201/H201),1),0)</f>
        <v>0</v>
      </c>
      <c r="K201" s="26">
        <f>IFERROR(VLOOKUP(F201,'05_Master KPI'!$B$5:$G$100,4,FALSE),0)</f>
        <v>0</v>
      </c>
      <c r="L201" s="28">
        <f t="shared" si="3"/>
        <v>0</v>
      </c>
      <c r="M201" s="26" t="str">
        <f>IF(D201="","",IF(J201&gt;='13_Setting'!$H$7,"Tercapai",IF(J201&gt;='13_Setting'!$H$6,"On Track","Tertinggal")))</f>
        <v/>
      </c>
      <c r="N201" s="24"/>
    </row>
    <row r="202" spans="1:14">
      <c r="A202" s="24"/>
      <c r="B202" s="24"/>
      <c r="C202" s="25"/>
      <c r="D202" s="24"/>
      <c r="E202" s="26" t="str">
        <f>IFERROR(VLOOKUP(D202,'04_Master Karyawan'!$A$5:$F$50,2,FALSE),"")</f>
        <v/>
      </c>
      <c r="F202" s="24"/>
      <c r="G202" s="26" t="str">
        <f>IFERROR(VLOOKUP(F202,'05_Master KPI'!$B$5:$G$100,2,FALSE)&amp;" ("&amp;VLOOKUP(F202,'05_Master KPI'!$B$5:$G$100,3,FALSE)&amp;")","")</f>
        <v/>
      </c>
      <c r="H202" s="26">
        <f>IFERROR(IF(B202&lt;&gt;'06_Target KPI'!$B$3,0,IF(VLOOKUP(F202,'05_Master KPI'!$B$5:$G$100,6,FALSE)="Kumulatif",INDEX('06_Target KPI'!$E$5:$P$100,MATCH(F202,'06_Target KPI'!$B$5:$B$100,0),MATCH(A202,'06_Target KPI'!$E$4:$P$4,0))*DAY(C202)/DAY(EOMONTH(C202,0)),INDEX('06_Target KPI'!$E$5:$P$100,MATCH(F202,'06_Target KPI'!$B$5:$B$100,0),MATCH(A202,'06_Target KPI'!$E$4:$P$4,0)))),0)</f>
        <v>0</v>
      </c>
      <c r="I202" s="24"/>
      <c r="J202" s="27">
        <f>IFERROR(MIN(IF(VLOOKUP(F202,'05_Master KPI'!$B$5:$G$100,5,FALSE)="Lower",H202/I202,I202/H202),1),0)</f>
        <v>0</v>
      </c>
      <c r="K202" s="26">
        <f>IFERROR(VLOOKUP(F202,'05_Master KPI'!$B$5:$G$100,4,FALSE),0)</f>
        <v>0</v>
      </c>
      <c r="L202" s="28">
        <f t="shared" si="3"/>
        <v>0</v>
      </c>
      <c r="M202" s="26" t="str">
        <f>IF(D202="","",IF(J202&gt;='13_Setting'!$H$7,"Tercapai",IF(J202&gt;='13_Setting'!$H$6,"On Track","Tertinggal")))</f>
        <v/>
      </c>
      <c r="N202" s="24"/>
    </row>
    <row r="203" spans="1:14">
      <c r="A203" s="24"/>
      <c r="B203" s="24"/>
      <c r="C203" s="25"/>
      <c r="D203" s="24"/>
      <c r="E203" s="26" t="str">
        <f>IFERROR(VLOOKUP(D203,'04_Master Karyawan'!$A$5:$F$50,2,FALSE),"")</f>
        <v/>
      </c>
      <c r="F203" s="24"/>
      <c r="G203" s="26" t="str">
        <f>IFERROR(VLOOKUP(F203,'05_Master KPI'!$B$5:$G$100,2,FALSE)&amp;" ("&amp;VLOOKUP(F203,'05_Master KPI'!$B$5:$G$100,3,FALSE)&amp;")","")</f>
        <v/>
      </c>
      <c r="H203" s="26">
        <f>IFERROR(IF(B203&lt;&gt;'06_Target KPI'!$B$3,0,IF(VLOOKUP(F203,'05_Master KPI'!$B$5:$G$100,6,FALSE)="Kumulatif",INDEX('06_Target KPI'!$E$5:$P$100,MATCH(F203,'06_Target KPI'!$B$5:$B$100,0),MATCH(A203,'06_Target KPI'!$E$4:$P$4,0))*DAY(C203)/DAY(EOMONTH(C203,0)),INDEX('06_Target KPI'!$E$5:$P$100,MATCH(F203,'06_Target KPI'!$B$5:$B$100,0),MATCH(A203,'06_Target KPI'!$E$4:$P$4,0)))),0)</f>
        <v>0</v>
      </c>
      <c r="I203" s="24"/>
      <c r="J203" s="27">
        <f>IFERROR(MIN(IF(VLOOKUP(F203,'05_Master KPI'!$B$5:$G$100,5,FALSE)="Lower",H203/I203,I203/H203),1),0)</f>
        <v>0</v>
      </c>
      <c r="K203" s="26">
        <f>IFERROR(VLOOKUP(F203,'05_Master KPI'!$B$5:$G$100,4,FALSE),0)</f>
        <v>0</v>
      </c>
      <c r="L203" s="28">
        <f t="shared" si="3"/>
        <v>0</v>
      </c>
      <c r="M203" s="26" t="str">
        <f>IF(D203="","",IF(J203&gt;='13_Setting'!$H$7,"Tercapai",IF(J203&gt;='13_Setting'!$H$6,"On Track","Tertinggal")))</f>
        <v/>
      </c>
      <c r="N203" s="24"/>
    </row>
    <row r="204" spans="1:14">
      <c r="A204" s="24"/>
      <c r="B204" s="24"/>
      <c r="C204" s="25"/>
      <c r="D204" s="24"/>
      <c r="E204" s="26" t="str">
        <f>IFERROR(VLOOKUP(D204,'04_Master Karyawan'!$A$5:$F$50,2,FALSE),"")</f>
        <v/>
      </c>
      <c r="F204" s="24"/>
      <c r="G204" s="26" t="str">
        <f>IFERROR(VLOOKUP(F204,'05_Master KPI'!$B$5:$G$100,2,FALSE)&amp;" ("&amp;VLOOKUP(F204,'05_Master KPI'!$B$5:$G$100,3,FALSE)&amp;")","")</f>
        <v/>
      </c>
      <c r="H204" s="26">
        <f>IFERROR(IF(B204&lt;&gt;'06_Target KPI'!$B$3,0,IF(VLOOKUP(F204,'05_Master KPI'!$B$5:$G$100,6,FALSE)="Kumulatif",INDEX('06_Target KPI'!$E$5:$P$100,MATCH(F204,'06_Target KPI'!$B$5:$B$100,0),MATCH(A204,'06_Target KPI'!$E$4:$P$4,0))*DAY(C204)/DAY(EOMONTH(C204,0)),INDEX('06_Target KPI'!$E$5:$P$100,MATCH(F204,'06_Target KPI'!$B$5:$B$100,0),MATCH(A204,'06_Target KPI'!$E$4:$P$4,0)))),0)</f>
        <v>0</v>
      </c>
      <c r="I204" s="24"/>
      <c r="J204" s="27">
        <f>IFERROR(MIN(IF(VLOOKUP(F204,'05_Master KPI'!$B$5:$G$100,5,FALSE)="Lower",H204/I204,I204/H204),1),0)</f>
        <v>0</v>
      </c>
      <c r="K204" s="26">
        <f>IFERROR(VLOOKUP(F204,'05_Master KPI'!$B$5:$G$100,4,FALSE),0)</f>
        <v>0</v>
      </c>
      <c r="L204" s="28">
        <f t="shared" si="3"/>
        <v>0</v>
      </c>
      <c r="M204" s="26" t="str">
        <f>IF(D204="","",IF(J204&gt;='13_Setting'!$H$7,"Tercapai",IF(J204&gt;='13_Setting'!$H$6,"On Track","Tertinggal")))</f>
        <v/>
      </c>
      <c r="N204" s="24"/>
    </row>
    <row r="205" spans="1:14">
      <c r="A205" s="24"/>
      <c r="B205" s="24"/>
      <c r="C205" s="25"/>
      <c r="D205" s="24"/>
      <c r="E205" s="26" t="str">
        <f>IFERROR(VLOOKUP(D205,'04_Master Karyawan'!$A$5:$F$50,2,FALSE),"")</f>
        <v/>
      </c>
      <c r="F205" s="24"/>
      <c r="G205" s="26" t="str">
        <f>IFERROR(VLOOKUP(F205,'05_Master KPI'!$B$5:$G$100,2,FALSE)&amp;" ("&amp;VLOOKUP(F205,'05_Master KPI'!$B$5:$G$100,3,FALSE)&amp;")","")</f>
        <v/>
      </c>
      <c r="H205" s="26">
        <f>IFERROR(IF(B205&lt;&gt;'06_Target KPI'!$B$3,0,IF(VLOOKUP(F205,'05_Master KPI'!$B$5:$G$100,6,FALSE)="Kumulatif",INDEX('06_Target KPI'!$E$5:$P$100,MATCH(F205,'06_Target KPI'!$B$5:$B$100,0),MATCH(A205,'06_Target KPI'!$E$4:$P$4,0))*DAY(C205)/DAY(EOMONTH(C205,0)),INDEX('06_Target KPI'!$E$5:$P$100,MATCH(F205,'06_Target KPI'!$B$5:$B$100,0),MATCH(A205,'06_Target KPI'!$E$4:$P$4,0)))),0)</f>
        <v>0</v>
      </c>
      <c r="I205" s="24"/>
      <c r="J205" s="27">
        <f>IFERROR(MIN(IF(VLOOKUP(F205,'05_Master KPI'!$B$5:$G$100,5,FALSE)="Lower",H205/I205,I205/H205),1),0)</f>
        <v>0</v>
      </c>
      <c r="K205" s="26">
        <f>IFERROR(VLOOKUP(F205,'05_Master KPI'!$B$5:$G$100,4,FALSE),0)</f>
        <v>0</v>
      </c>
      <c r="L205" s="28">
        <f t="shared" si="3"/>
        <v>0</v>
      </c>
      <c r="M205" s="26" t="str">
        <f>IF(D205="","",IF(J205&gt;='13_Setting'!$H$7,"Tercapai",IF(J205&gt;='13_Setting'!$H$6,"On Track","Tertinggal")))</f>
        <v/>
      </c>
      <c r="N205" s="24"/>
    </row>
    <row r="206" spans="1:14">
      <c r="A206" s="24"/>
      <c r="B206" s="24"/>
      <c r="C206" s="25"/>
      <c r="D206" s="24"/>
      <c r="E206" s="26" t="str">
        <f>IFERROR(VLOOKUP(D206,'04_Master Karyawan'!$A$5:$F$50,2,FALSE),"")</f>
        <v/>
      </c>
      <c r="F206" s="24"/>
      <c r="G206" s="26" t="str">
        <f>IFERROR(VLOOKUP(F206,'05_Master KPI'!$B$5:$G$100,2,FALSE)&amp;" ("&amp;VLOOKUP(F206,'05_Master KPI'!$B$5:$G$100,3,FALSE)&amp;")","")</f>
        <v/>
      </c>
      <c r="H206" s="26">
        <f>IFERROR(IF(B206&lt;&gt;'06_Target KPI'!$B$3,0,IF(VLOOKUP(F206,'05_Master KPI'!$B$5:$G$100,6,FALSE)="Kumulatif",INDEX('06_Target KPI'!$E$5:$P$100,MATCH(F206,'06_Target KPI'!$B$5:$B$100,0),MATCH(A206,'06_Target KPI'!$E$4:$P$4,0))*DAY(C206)/DAY(EOMONTH(C206,0)),INDEX('06_Target KPI'!$E$5:$P$100,MATCH(F206,'06_Target KPI'!$B$5:$B$100,0),MATCH(A206,'06_Target KPI'!$E$4:$P$4,0)))),0)</f>
        <v>0</v>
      </c>
      <c r="I206" s="24"/>
      <c r="J206" s="27">
        <f>IFERROR(MIN(IF(VLOOKUP(F206,'05_Master KPI'!$B$5:$G$100,5,FALSE)="Lower",H206/I206,I206/H206),1),0)</f>
        <v>0</v>
      </c>
      <c r="K206" s="26">
        <f>IFERROR(VLOOKUP(F206,'05_Master KPI'!$B$5:$G$100,4,FALSE),0)</f>
        <v>0</v>
      </c>
      <c r="L206" s="28">
        <f t="shared" si="3"/>
        <v>0</v>
      </c>
      <c r="M206" s="26" t="str">
        <f>IF(D206="","",IF(J206&gt;='13_Setting'!$H$7,"Tercapai",IF(J206&gt;='13_Setting'!$H$6,"On Track","Tertinggal")))</f>
        <v/>
      </c>
      <c r="N206" s="24"/>
    </row>
    <row r="207" spans="1:14">
      <c r="A207" s="24"/>
      <c r="B207" s="24"/>
      <c r="C207" s="25"/>
      <c r="D207" s="24"/>
      <c r="E207" s="26" t="str">
        <f>IFERROR(VLOOKUP(D207,'04_Master Karyawan'!$A$5:$F$50,2,FALSE),"")</f>
        <v/>
      </c>
      <c r="F207" s="24"/>
      <c r="G207" s="26" t="str">
        <f>IFERROR(VLOOKUP(F207,'05_Master KPI'!$B$5:$G$100,2,FALSE)&amp;" ("&amp;VLOOKUP(F207,'05_Master KPI'!$B$5:$G$100,3,FALSE)&amp;")","")</f>
        <v/>
      </c>
      <c r="H207" s="26">
        <f>IFERROR(IF(B207&lt;&gt;'06_Target KPI'!$B$3,0,IF(VLOOKUP(F207,'05_Master KPI'!$B$5:$G$100,6,FALSE)="Kumulatif",INDEX('06_Target KPI'!$E$5:$P$100,MATCH(F207,'06_Target KPI'!$B$5:$B$100,0),MATCH(A207,'06_Target KPI'!$E$4:$P$4,0))*DAY(C207)/DAY(EOMONTH(C207,0)),INDEX('06_Target KPI'!$E$5:$P$100,MATCH(F207,'06_Target KPI'!$B$5:$B$100,0),MATCH(A207,'06_Target KPI'!$E$4:$P$4,0)))),0)</f>
        <v>0</v>
      </c>
      <c r="I207" s="24"/>
      <c r="J207" s="27">
        <f>IFERROR(MIN(IF(VLOOKUP(F207,'05_Master KPI'!$B$5:$G$100,5,FALSE)="Lower",H207/I207,I207/H207),1),0)</f>
        <v>0</v>
      </c>
      <c r="K207" s="26">
        <f>IFERROR(VLOOKUP(F207,'05_Master KPI'!$B$5:$G$100,4,FALSE),0)</f>
        <v>0</v>
      </c>
      <c r="L207" s="28">
        <f t="shared" si="3"/>
        <v>0</v>
      </c>
      <c r="M207" s="26" t="str">
        <f>IF(D207="","",IF(J207&gt;='13_Setting'!$H$7,"Tercapai",IF(J207&gt;='13_Setting'!$H$6,"On Track","Tertinggal")))</f>
        <v/>
      </c>
      <c r="N207" s="24"/>
    </row>
    <row r="208" spans="1:14">
      <c r="A208" s="24"/>
      <c r="B208" s="24"/>
      <c r="C208" s="25"/>
      <c r="D208" s="24"/>
      <c r="E208" s="26" t="str">
        <f>IFERROR(VLOOKUP(D208,'04_Master Karyawan'!$A$5:$F$50,2,FALSE),"")</f>
        <v/>
      </c>
      <c r="F208" s="24"/>
      <c r="G208" s="26" t="str">
        <f>IFERROR(VLOOKUP(F208,'05_Master KPI'!$B$5:$G$100,2,FALSE)&amp;" ("&amp;VLOOKUP(F208,'05_Master KPI'!$B$5:$G$100,3,FALSE)&amp;")","")</f>
        <v/>
      </c>
      <c r="H208" s="26">
        <f>IFERROR(IF(B208&lt;&gt;'06_Target KPI'!$B$3,0,IF(VLOOKUP(F208,'05_Master KPI'!$B$5:$G$100,6,FALSE)="Kumulatif",INDEX('06_Target KPI'!$E$5:$P$100,MATCH(F208,'06_Target KPI'!$B$5:$B$100,0),MATCH(A208,'06_Target KPI'!$E$4:$P$4,0))*DAY(C208)/DAY(EOMONTH(C208,0)),INDEX('06_Target KPI'!$E$5:$P$100,MATCH(F208,'06_Target KPI'!$B$5:$B$100,0),MATCH(A208,'06_Target KPI'!$E$4:$P$4,0)))),0)</f>
        <v>0</v>
      </c>
      <c r="I208" s="24"/>
      <c r="J208" s="27">
        <f>IFERROR(MIN(IF(VLOOKUP(F208,'05_Master KPI'!$B$5:$G$100,5,FALSE)="Lower",H208/I208,I208/H208),1),0)</f>
        <v>0</v>
      </c>
      <c r="K208" s="26">
        <f>IFERROR(VLOOKUP(F208,'05_Master KPI'!$B$5:$G$100,4,FALSE),0)</f>
        <v>0</v>
      </c>
      <c r="L208" s="28">
        <f t="shared" si="3"/>
        <v>0</v>
      </c>
      <c r="M208" s="26" t="str">
        <f>IF(D208="","",IF(J208&gt;='13_Setting'!$H$7,"Tercapai",IF(J208&gt;='13_Setting'!$H$6,"On Track","Tertinggal")))</f>
        <v/>
      </c>
      <c r="N208" s="24"/>
    </row>
    <row r="209" spans="1:14">
      <c r="A209" s="24"/>
      <c r="B209" s="24"/>
      <c r="C209" s="25"/>
      <c r="D209" s="24"/>
      <c r="E209" s="26" t="str">
        <f>IFERROR(VLOOKUP(D209,'04_Master Karyawan'!$A$5:$F$50,2,FALSE),"")</f>
        <v/>
      </c>
      <c r="F209" s="24"/>
      <c r="G209" s="26" t="str">
        <f>IFERROR(VLOOKUP(F209,'05_Master KPI'!$B$5:$G$100,2,FALSE)&amp;" ("&amp;VLOOKUP(F209,'05_Master KPI'!$B$5:$G$100,3,FALSE)&amp;")","")</f>
        <v/>
      </c>
      <c r="H209" s="26">
        <f>IFERROR(IF(B209&lt;&gt;'06_Target KPI'!$B$3,0,IF(VLOOKUP(F209,'05_Master KPI'!$B$5:$G$100,6,FALSE)="Kumulatif",INDEX('06_Target KPI'!$E$5:$P$100,MATCH(F209,'06_Target KPI'!$B$5:$B$100,0),MATCH(A209,'06_Target KPI'!$E$4:$P$4,0))*DAY(C209)/DAY(EOMONTH(C209,0)),INDEX('06_Target KPI'!$E$5:$P$100,MATCH(F209,'06_Target KPI'!$B$5:$B$100,0),MATCH(A209,'06_Target KPI'!$E$4:$P$4,0)))),0)</f>
        <v>0</v>
      </c>
      <c r="I209" s="24"/>
      <c r="J209" s="27">
        <f>IFERROR(MIN(IF(VLOOKUP(F209,'05_Master KPI'!$B$5:$G$100,5,FALSE)="Lower",H209/I209,I209/H209),1),0)</f>
        <v>0</v>
      </c>
      <c r="K209" s="26">
        <f>IFERROR(VLOOKUP(F209,'05_Master KPI'!$B$5:$G$100,4,FALSE),0)</f>
        <v>0</v>
      </c>
      <c r="L209" s="28">
        <f t="shared" si="3"/>
        <v>0</v>
      </c>
      <c r="M209" s="26" t="str">
        <f>IF(D209="","",IF(J209&gt;='13_Setting'!$H$7,"Tercapai",IF(J209&gt;='13_Setting'!$H$6,"On Track","Tertinggal")))</f>
        <v/>
      </c>
      <c r="N209" s="24"/>
    </row>
    <row r="210" spans="1:14">
      <c r="A210" s="24"/>
      <c r="B210" s="24"/>
      <c r="C210" s="25"/>
      <c r="D210" s="24"/>
      <c r="E210" s="26" t="str">
        <f>IFERROR(VLOOKUP(D210,'04_Master Karyawan'!$A$5:$F$50,2,FALSE),"")</f>
        <v/>
      </c>
      <c r="F210" s="24"/>
      <c r="G210" s="26" t="str">
        <f>IFERROR(VLOOKUP(F210,'05_Master KPI'!$B$5:$G$100,2,FALSE)&amp;" ("&amp;VLOOKUP(F210,'05_Master KPI'!$B$5:$G$100,3,FALSE)&amp;")","")</f>
        <v/>
      </c>
      <c r="H210" s="26">
        <f>IFERROR(IF(B210&lt;&gt;'06_Target KPI'!$B$3,0,IF(VLOOKUP(F210,'05_Master KPI'!$B$5:$G$100,6,FALSE)="Kumulatif",INDEX('06_Target KPI'!$E$5:$P$100,MATCH(F210,'06_Target KPI'!$B$5:$B$100,0),MATCH(A210,'06_Target KPI'!$E$4:$P$4,0))*DAY(C210)/DAY(EOMONTH(C210,0)),INDEX('06_Target KPI'!$E$5:$P$100,MATCH(F210,'06_Target KPI'!$B$5:$B$100,0),MATCH(A210,'06_Target KPI'!$E$4:$P$4,0)))),0)</f>
        <v>0</v>
      </c>
      <c r="I210" s="24"/>
      <c r="J210" s="27">
        <f>IFERROR(MIN(IF(VLOOKUP(F210,'05_Master KPI'!$B$5:$G$100,5,FALSE)="Lower",H210/I210,I210/H210),1),0)</f>
        <v>0</v>
      </c>
      <c r="K210" s="26">
        <f>IFERROR(VLOOKUP(F210,'05_Master KPI'!$B$5:$G$100,4,FALSE),0)</f>
        <v>0</v>
      </c>
      <c r="L210" s="28">
        <f t="shared" si="3"/>
        <v>0</v>
      </c>
      <c r="M210" s="26" t="str">
        <f>IF(D210="","",IF(J210&gt;='13_Setting'!$H$7,"Tercapai",IF(J210&gt;='13_Setting'!$H$6,"On Track","Tertinggal")))</f>
        <v/>
      </c>
      <c r="N210" s="24"/>
    </row>
    <row r="211" spans="1:14">
      <c r="A211" s="24"/>
      <c r="B211" s="24"/>
      <c r="C211" s="25"/>
      <c r="D211" s="24"/>
      <c r="E211" s="26" t="str">
        <f>IFERROR(VLOOKUP(D211,'04_Master Karyawan'!$A$5:$F$50,2,FALSE),"")</f>
        <v/>
      </c>
      <c r="F211" s="24"/>
      <c r="G211" s="26" t="str">
        <f>IFERROR(VLOOKUP(F211,'05_Master KPI'!$B$5:$G$100,2,FALSE)&amp;" ("&amp;VLOOKUP(F211,'05_Master KPI'!$B$5:$G$100,3,FALSE)&amp;")","")</f>
        <v/>
      </c>
      <c r="H211" s="26">
        <f>IFERROR(IF(B211&lt;&gt;'06_Target KPI'!$B$3,0,IF(VLOOKUP(F211,'05_Master KPI'!$B$5:$G$100,6,FALSE)="Kumulatif",INDEX('06_Target KPI'!$E$5:$P$100,MATCH(F211,'06_Target KPI'!$B$5:$B$100,0),MATCH(A211,'06_Target KPI'!$E$4:$P$4,0))*DAY(C211)/DAY(EOMONTH(C211,0)),INDEX('06_Target KPI'!$E$5:$P$100,MATCH(F211,'06_Target KPI'!$B$5:$B$100,0),MATCH(A211,'06_Target KPI'!$E$4:$P$4,0)))),0)</f>
        <v>0</v>
      </c>
      <c r="I211" s="24"/>
      <c r="J211" s="27">
        <f>IFERROR(MIN(IF(VLOOKUP(F211,'05_Master KPI'!$B$5:$G$100,5,FALSE)="Lower",H211/I211,I211/H211),1),0)</f>
        <v>0</v>
      </c>
      <c r="K211" s="26">
        <f>IFERROR(VLOOKUP(F211,'05_Master KPI'!$B$5:$G$100,4,FALSE),0)</f>
        <v>0</v>
      </c>
      <c r="L211" s="28">
        <f t="shared" si="3"/>
        <v>0</v>
      </c>
      <c r="M211" s="26" t="str">
        <f>IF(D211="","",IF(J211&gt;='13_Setting'!$H$7,"Tercapai",IF(J211&gt;='13_Setting'!$H$6,"On Track","Tertinggal")))</f>
        <v/>
      </c>
      <c r="N211" s="24"/>
    </row>
    <row r="212" spans="1:14">
      <c r="A212" s="24"/>
      <c r="B212" s="24"/>
      <c r="C212" s="25"/>
      <c r="D212" s="24"/>
      <c r="E212" s="26" t="str">
        <f>IFERROR(VLOOKUP(D212,'04_Master Karyawan'!$A$5:$F$50,2,FALSE),"")</f>
        <v/>
      </c>
      <c r="F212" s="24"/>
      <c r="G212" s="26" t="str">
        <f>IFERROR(VLOOKUP(F212,'05_Master KPI'!$B$5:$G$100,2,FALSE)&amp;" ("&amp;VLOOKUP(F212,'05_Master KPI'!$B$5:$G$100,3,FALSE)&amp;")","")</f>
        <v/>
      </c>
      <c r="H212" s="26">
        <f>IFERROR(IF(B212&lt;&gt;'06_Target KPI'!$B$3,0,IF(VLOOKUP(F212,'05_Master KPI'!$B$5:$G$100,6,FALSE)="Kumulatif",INDEX('06_Target KPI'!$E$5:$P$100,MATCH(F212,'06_Target KPI'!$B$5:$B$100,0),MATCH(A212,'06_Target KPI'!$E$4:$P$4,0))*DAY(C212)/DAY(EOMONTH(C212,0)),INDEX('06_Target KPI'!$E$5:$P$100,MATCH(F212,'06_Target KPI'!$B$5:$B$100,0),MATCH(A212,'06_Target KPI'!$E$4:$P$4,0)))),0)</f>
        <v>0</v>
      </c>
      <c r="I212" s="24"/>
      <c r="J212" s="27">
        <f>IFERROR(MIN(IF(VLOOKUP(F212,'05_Master KPI'!$B$5:$G$100,5,FALSE)="Lower",H212/I212,I212/H212),1),0)</f>
        <v>0</v>
      </c>
      <c r="K212" s="26">
        <f>IFERROR(VLOOKUP(F212,'05_Master KPI'!$B$5:$G$100,4,FALSE),0)</f>
        <v>0</v>
      </c>
      <c r="L212" s="28">
        <f t="shared" si="3"/>
        <v>0</v>
      </c>
      <c r="M212" s="26" t="str">
        <f>IF(D212="","",IF(J212&gt;='13_Setting'!$H$7,"Tercapai",IF(J212&gt;='13_Setting'!$H$6,"On Track","Tertinggal")))</f>
        <v/>
      </c>
      <c r="N212" s="24"/>
    </row>
    <row r="213" spans="1:14">
      <c r="A213" s="24"/>
      <c r="B213" s="24"/>
      <c r="C213" s="25"/>
      <c r="D213" s="24"/>
      <c r="E213" s="26" t="str">
        <f>IFERROR(VLOOKUP(D213,'04_Master Karyawan'!$A$5:$F$50,2,FALSE),"")</f>
        <v/>
      </c>
      <c r="F213" s="24"/>
      <c r="G213" s="26" t="str">
        <f>IFERROR(VLOOKUP(F213,'05_Master KPI'!$B$5:$G$100,2,FALSE)&amp;" ("&amp;VLOOKUP(F213,'05_Master KPI'!$B$5:$G$100,3,FALSE)&amp;")","")</f>
        <v/>
      </c>
      <c r="H213" s="26">
        <f>IFERROR(IF(B213&lt;&gt;'06_Target KPI'!$B$3,0,IF(VLOOKUP(F213,'05_Master KPI'!$B$5:$G$100,6,FALSE)="Kumulatif",INDEX('06_Target KPI'!$E$5:$P$100,MATCH(F213,'06_Target KPI'!$B$5:$B$100,0),MATCH(A213,'06_Target KPI'!$E$4:$P$4,0))*DAY(C213)/DAY(EOMONTH(C213,0)),INDEX('06_Target KPI'!$E$5:$P$100,MATCH(F213,'06_Target KPI'!$B$5:$B$100,0),MATCH(A213,'06_Target KPI'!$E$4:$P$4,0)))),0)</f>
        <v>0</v>
      </c>
      <c r="I213" s="24"/>
      <c r="J213" s="27">
        <f>IFERROR(MIN(IF(VLOOKUP(F213,'05_Master KPI'!$B$5:$G$100,5,FALSE)="Lower",H213/I213,I213/H213),1),0)</f>
        <v>0</v>
      </c>
      <c r="K213" s="26">
        <f>IFERROR(VLOOKUP(F213,'05_Master KPI'!$B$5:$G$100,4,FALSE),0)</f>
        <v>0</v>
      </c>
      <c r="L213" s="28">
        <f t="shared" si="3"/>
        <v>0</v>
      </c>
      <c r="M213" s="26" t="str">
        <f>IF(D213="","",IF(J213&gt;='13_Setting'!$H$7,"Tercapai",IF(J213&gt;='13_Setting'!$H$6,"On Track","Tertinggal")))</f>
        <v/>
      </c>
      <c r="N213" s="24"/>
    </row>
    <row r="214" spans="1:14">
      <c r="A214" s="24"/>
      <c r="B214" s="24"/>
      <c r="C214" s="25"/>
      <c r="D214" s="24"/>
      <c r="E214" s="26" t="str">
        <f>IFERROR(VLOOKUP(D214,'04_Master Karyawan'!$A$5:$F$50,2,FALSE),"")</f>
        <v/>
      </c>
      <c r="F214" s="24"/>
      <c r="G214" s="26" t="str">
        <f>IFERROR(VLOOKUP(F214,'05_Master KPI'!$B$5:$G$100,2,FALSE)&amp;" ("&amp;VLOOKUP(F214,'05_Master KPI'!$B$5:$G$100,3,FALSE)&amp;")","")</f>
        <v/>
      </c>
      <c r="H214" s="26">
        <f>IFERROR(IF(B214&lt;&gt;'06_Target KPI'!$B$3,0,IF(VLOOKUP(F214,'05_Master KPI'!$B$5:$G$100,6,FALSE)="Kumulatif",INDEX('06_Target KPI'!$E$5:$P$100,MATCH(F214,'06_Target KPI'!$B$5:$B$100,0),MATCH(A214,'06_Target KPI'!$E$4:$P$4,0))*DAY(C214)/DAY(EOMONTH(C214,0)),INDEX('06_Target KPI'!$E$5:$P$100,MATCH(F214,'06_Target KPI'!$B$5:$B$100,0),MATCH(A214,'06_Target KPI'!$E$4:$P$4,0)))),0)</f>
        <v>0</v>
      </c>
      <c r="I214" s="24"/>
      <c r="J214" s="27">
        <f>IFERROR(MIN(IF(VLOOKUP(F214,'05_Master KPI'!$B$5:$G$100,5,FALSE)="Lower",H214/I214,I214/H214),1),0)</f>
        <v>0</v>
      </c>
      <c r="K214" s="26">
        <f>IFERROR(VLOOKUP(F214,'05_Master KPI'!$B$5:$G$100,4,FALSE),0)</f>
        <v>0</v>
      </c>
      <c r="L214" s="28">
        <f t="shared" si="3"/>
        <v>0</v>
      </c>
      <c r="M214" s="26" t="str">
        <f>IF(D214="","",IF(J214&gt;='13_Setting'!$H$7,"Tercapai",IF(J214&gt;='13_Setting'!$H$6,"On Track","Tertinggal")))</f>
        <v/>
      </c>
      <c r="N214" s="24"/>
    </row>
    <row r="215" spans="1:14">
      <c r="A215" s="24"/>
      <c r="B215" s="24"/>
      <c r="C215" s="25"/>
      <c r="D215" s="24"/>
      <c r="E215" s="26" t="str">
        <f>IFERROR(VLOOKUP(D215,'04_Master Karyawan'!$A$5:$F$50,2,FALSE),"")</f>
        <v/>
      </c>
      <c r="F215" s="24"/>
      <c r="G215" s="26" t="str">
        <f>IFERROR(VLOOKUP(F215,'05_Master KPI'!$B$5:$G$100,2,FALSE)&amp;" ("&amp;VLOOKUP(F215,'05_Master KPI'!$B$5:$G$100,3,FALSE)&amp;")","")</f>
        <v/>
      </c>
      <c r="H215" s="26">
        <f>IFERROR(IF(B215&lt;&gt;'06_Target KPI'!$B$3,0,IF(VLOOKUP(F215,'05_Master KPI'!$B$5:$G$100,6,FALSE)="Kumulatif",INDEX('06_Target KPI'!$E$5:$P$100,MATCH(F215,'06_Target KPI'!$B$5:$B$100,0),MATCH(A215,'06_Target KPI'!$E$4:$P$4,0))*DAY(C215)/DAY(EOMONTH(C215,0)),INDEX('06_Target KPI'!$E$5:$P$100,MATCH(F215,'06_Target KPI'!$B$5:$B$100,0),MATCH(A215,'06_Target KPI'!$E$4:$P$4,0)))),0)</f>
        <v>0</v>
      </c>
      <c r="I215" s="24"/>
      <c r="J215" s="27">
        <f>IFERROR(MIN(IF(VLOOKUP(F215,'05_Master KPI'!$B$5:$G$100,5,FALSE)="Lower",H215/I215,I215/H215),1),0)</f>
        <v>0</v>
      </c>
      <c r="K215" s="26">
        <f>IFERROR(VLOOKUP(F215,'05_Master KPI'!$B$5:$G$100,4,FALSE),0)</f>
        <v>0</v>
      </c>
      <c r="L215" s="28">
        <f t="shared" si="3"/>
        <v>0</v>
      </c>
      <c r="M215" s="26" t="str">
        <f>IF(D215="","",IF(J215&gt;='13_Setting'!$H$7,"Tercapai",IF(J215&gt;='13_Setting'!$H$6,"On Track","Tertinggal")))</f>
        <v/>
      </c>
      <c r="N215" s="24"/>
    </row>
    <row r="216" spans="1:14">
      <c r="A216" s="24"/>
      <c r="B216" s="24"/>
      <c r="C216" s="25"/>
      <c r="D216" s="24"/>
      <c r="E216" s="26" t="str">
        <f>IFERROR(VLOOKUP(D216,'04_Master Karyawan'!$A$5:$F$50,2,FALSE),"")</f>
        <v/>
      </c>
      <c r="F216" s="24"/>
      <c r="G216" s="26" t="str">
        <f>IFERROR(VLOOKUP(F216,'05_Master KPI'!$B$5:$G$100,2,FALSE)&amp;" ("&amp;VLOOKUP(F216,'05_Master KPI'!$B$5:$G$100,3,FALSE)&amp;")","")</f>
        <v/>
      </c>
      <c r="H216" s="26">
        <f>IFERROR(IF(B216&lt;&gt;'06_Target KPI'!$B$3,0,IF(VLOOKUP(F216,'05_Master KPI'!$B$5:$G$100,6,FALSE)="Kumulatif",INDEX('06_Target KPI'!$E$5:$P$100,MATCH(F216,'06_Target KPI'!$B$5:$B$100,0),MATCH(A216,'06_Target KPI'!$E$4:$P$4,0))*DAY(C216)/DAY(EOMONTH(C216,0)),INDEX('06_Target KPI'!$E$5:$P$100,MATCH(F216,'06_Target KPI'!$B$5:$B$100,0),MATCH(A216,'06_Target KPI'!$E$4:$P$4,0)))),0)</f>
        <v>0</v>
      </c>
      <c r="I216" s="24"/>
      <c r="J216" s="27">
        <f>IFERROR(MIN(IF(VLOOKUP(F216,'05_Master KPI'!$B$5:$G$100,5,FALSE)="Lower",H216/I216,I216/H216),1),0)</f>
        <v>0</v>
      </c>
      <c r="K216" s="26">
        <f>IFERROR(VLOOKUP(F216,'05_Master KPI'!$B$5:$G$100,4,FALSE),0)</f>
        <v>0</v>
      </c>
      <c r="L216" s="28">
        <f t="shared" si="3"/>
        <v>0</v>
      </c>
      <c r="M216" s="26" t="str">
        <f>IF(D216="","",IF(J216&gt;='13_Setting'!$H$7,"Tercapai",IF(J216&gt;='13_Setting'!$H$6,"On Track","Tertinggal")))</f>
        <v/>
      </c>
      <c r="N216" s="24"/>
    </row>
    <row r="217" spans="1:14">
      <c r="A217" s="24"/>
      <c r="B217" s="24"/>
      <c r="C217" s="25"/>
      <c r="D217" s="24"/>
      <c r="E217" s="26" t="str">
        <f>IFERROR(VLOOKUP(D217,'04_Master Karyawan'!$A$5:$F$50,2,FALSE),"")</f>
        <v/>
      </c>
      <c r="F217" s="24"/>
      <c r="G217" s="26" t="str">
        <f>IFERROR(VLOOKUP(F217,'05_Master KPI'!$B$5:$G$100,2,FALSE)&amp;" ("&amp;VLOOKUP(F217,'05_Master KPI'!$B$5:$G$100,3,FALSE)&amp;")","")</f>
        <v/>
      </c>
      <c r="H217" s="26">
        <f>IFERROR(IF(B217&lt;&gt;'06_Target KPI'!$B$3,0,IF(VLOOKUP(F217,'05_Master KPI'!$B$5:$G$100,6,FALSE)="Kumulatif",INDEX('06_Target KPI'!$E$5:$P$100,MATCH(F217,'06_Target KPI'!$B$5:$B$100,0),MATCH(A217,'06_Target KPI'!$E$4:$P$4,0))*DAY(C217)/DAY(EOMONTH(C217,0)),INDEX('06_Target KPI'!$E$5:$P$100,MATCH(F217,'06_Target KPI'!$B$5:$B$100,0),MATCH(A217,'06_Target KPI'!$E$4:$P$4,0)))),0)</f>
        <v>0</v>
      </c>
      <c r="I217" s="24"/>
      <c r="J217" s="27">
        <f>IFERROR(MIN(IF(VLOOKUP(F217,'05_Master KPI'!$B$5:$G$100,5,FALSE)="Lower",H217/I217,I217/H217),1),0)</f>
        <v>0</v>
      </c>
      <c r="K217" s="26">
        <f>IFERROR(VLOOKUP(F217,'05_Master KPI'!$B$5:$G$100,4,FALSE),0)</f>
        <v>0</v>
      </c>
      <c r="L217" s="28">
        <f t="shared" si="3"/>
        <v>0</v>
      </c>
      <c r="M217" s="26" t="str">
        <f>IF(D217="","",IF(J217&gt;='13_Setting'!$H$7,"Tercapai",IF(J217&gt;='13_Setting'!$H$6,"On Track","Tertinggal")))</f>
        <v/>
      </c>
      <c r="N217" s="24"/>
    </row>
    <row r="218" spans="1:14">
      <c r="A218" s="24"/>
      <c r="B218" s="24"/>
      <c r="C218" s="25"/>
      <c r="D218" s="24"/>
      <c r="E218" s="26" t="str">
        <f>IFERROR(VLOOKUP(D218,'04_Master Karyawan'!$A$5:$F$50,2,FALSE),"")</f>
        <v/>
      </c>
      <c r="F218" s="24"/>
      <c r="G218" s="26" t="str">
        <f>IFERROR(VLOOKUP(F218,'05_Master KPI'!$B$5:$G$100,2,FALSE)&amp;" ("&amp;VLOOKUP(F218,'05_Master KPI'!$B$5:$G$100,3,FALSE)&amp;")","")</f>
        <v/>
      </c>
      <c r="H218" s="26">
        <f>IFERROR(IF(B218&lt;&gt;'06_Target KPI'!$B$3,0,IF(VLOOKUP(F218,'05_Master KPI'!$B$5:$G$100,6,FALSE)="Kumulatif",INDEX('06_Target KPI'!$E$5:$P$100,MATCH(F218,'06_Target KPI'!$B$5:$B$100,0),MATCH(A218,'06_Target KPI'!$E$4:$P$4,0))*DAY(C218)/DAY(EOMONTH(C218,0)),INDEX('06_Target KPI'!$E$5:$P$100,MATCH(F218,'06_Target KPI'!$B$5:$B$100,0),MATCH(A218,'06_Target KPI'!$E$4:$P$4,0)))),0)</f>
        <v>0</v>
      </c>
      <c r="I218" s="24"/>
      <c r="J218" s="27">
        <f>IFERROR(MIN(IF(VLOOKUP(F218,'05_Master KPI'!$B$5:$G$100,5,FALSE)="Lower",H218/I218,I218/H218),1),0)</f>
        <v>0</v>
      </c>
      <c r="K218" s="26">
        <f>IFERROR(VLOOKUP(F218,'05_Master KPI'!$B$5:$G$100,4,FALSE),0)</f>
        <v>0</v>
      </c>
      <c r="L218" s="28">
        <f t="shared" si="3"/>
        <v>0</v>
      </c>
      <c r="M218" s="26" t="str">
        <f>IF(D218="","",IF(J218&gt;='13_Setting'!$H$7,"Tercapai",IF(J218&gt;='13_Setting'!$H$6,"On Track","Tertinggal")))</f>
        <v/>
      </c>
      <c r="N218" s="24"/>
    </row>
    <row r="219" spans="1:14">
      <c r="A219" s="24"/>
      <c r="B219" s="24"/>
      <c r="C219" s="25"/>
      <c r="D219" s="24"/>
      <c r="E219" s="26" t="str">
        <f>IFERROR(VLOOKUP(D219,'04_Master Karyawan'!$A$5:$F$50,2,FALSE),"")</f>
        <v/>
      </c>
      <c r="F219" s="24"/>
      <c r="G219" s="26" t="str">
        <f>IFERROR(VLOOKUP(F219,'05_Master KPI'!$B$5:$G$100,2,FALSE)&amp;" ("&amp;VLOOKUP(F219,'05_Master KPI'!$B$5:$G$100,3,FALSE)&amp;")","")</f>
        <v/>
      </c>
      <c r="H219" s="26">
        <f>IFERROR(IF(B219&lt;&gt;'06_Target KPI'!$B$3,0,IF(VLOOKUP(F219,'05_Master KPI'!$B$5:$G$100,6,FALSE)="Kumulatif",INDEX('06_Target KPI'!$E$5:$P$100,MATCH(F219,'06_Target KPI'!$B$5:$B$100,0),MATCH(A219,'06_Target KPI'!$E$4:$P$4,0))*DAY(C219)/DAY(EOMONTH(C219,0)),INDEX('06_Target KPI'!$E$5:$P$100,MATCH(F219,'06_Target KPI'!$B$5:$B$100,0),MATCH(A219,'06_Target KPI'!$E$4:$P$4,0)))),0)</f>
        <v>0</v>
      </c>
      <c r="I219" s="24"/>
      <c r="J219" s="27">
        <f>IFERROR(MIN(IF(VLOOKUP(F219,'05_Master KPI'!$B$5:$G$100,5,FALSE)="Lower",H219/I219,I219/H219),1),0)</f>
        <v>0</v>
      </c>
      <c r="K219" s="26">
        <f>IFERROR(VLOOKUP(F219,'05_Master KPI'!$B$5:$G$100,4,FALSE),0)</f>
        <v>0</v>
      </c>
      <c r="L219" s="28">
        <f t="shared" si="3"/>
        <v>0</v>
      </c>
      <c r="M219" s="26" t="str">
        <f>IF(D219="","",IF(J219&gt;='13_Setting'!$H$7,"Tercapai",IF(J219&gt;='13_Setting'!$H$6,"On Track","Tertinggal")))</f>
        <v/>
      </c>
      <c r="N219" s="24"/>
    </row>
    <row r="220" spans="1:14">
      <c r="A220" s="24"/>
      <c r="B220" s="24"/>
      <c r="C220" s="25"/>
      <c r="D220" s="24"/>
      <c r="E220" s="26" t="str">
        <f>IFERROR(VLOOKUP(D220,'04_Master Karyawan'!$A$5:$F$50,2,FALSE),"")</f>
        <v/>
      </c>
      <c r="F220" s="24"/>
      <c r="G220" s="26" t="str">
        <f>IFERROR(VLOOKUP(F220,'05_Master KPI'!$B$5:$G$100,2,FALSE)&amp;" ("&amp;VLOOKUP(F220,'05_Master KPI'!$B$5:$G$100,3,FALSE)&amp;")","")</f>
        <v/>
      </c>
      <c r="H220" s="26">
        <f>IFERROR(IF(B220&lt;&gt;'06_Target KPI'!$B$3,0,IF(VLOOKUP(F220,'05_Master KPI'!$B$5:$G$100,6,FALSE)="Kumulatif",INDEX('06_Target KPI'!$E$5:$P$100,MATCH(F220,'06_Target KPI'!$B$5:$B$100,0),MATCH(A220,'06_Target KPI'!$E$4:$P$4,0))*DAY(C220)/DAY(EOMONTH(C220,0)),INDEX('06_Target KPI'!$E$5:$P$100,MATCH(F220,'06_Target KPI'!$B$5:$B$100,0),MATCH(A220,'06_Target KPI'!$E$4:$P$4,0)))),0)</f>
        <v>0</v>
      </c>
      <c r="I220" s="24"/>
      <c r="J220" s="27">
        <f>IFERROR(MIN(IF(VLOOKUP(F220,'05_Master KPI'!$B$5:$G$100,5,FALSE)="Lower",H220/I220,I220/H220),1),0)</f>
        <v>0</v>
      </c>
      <c r="K220" s="26">
        <f>IFERROR(VLOOKUP(F220,'05_Master KPI'!$B$5:$G$100,4,FALSE),0)</f>
        <v>0</v>
      </c>
      <c r="L220" s="28">
        <f t="shared" si="3"/>
        <v>0</v>
      </c>
      <c r="M220" s="26" t="str">
        <f>IF(D220="","",IF(J220&gt;='13_Setting'!$H$7,"Tercapai",IF(J220&gt;='13_Setting'!$H$6,"On Track","Tertinggal")))</f>
        <v/>
      </c>
      <c r="N220" s="24"/>
    </row>
    <row r="221" spans="1:14">
      <c r="A221" s="24"/>
      <c r="B221" s="24"/>
      <c r="C221" s="25"/>
      <c r="D221" s="24"/>
      <c r="E221" s="26" t="str">
        <f>IFERROR(VLOOKUP(D221,'04_Master Karyawan'!$A$5:$F$50,2,FALSE),"")</f>
        <v/>
      </c>
      <c r="F221" s="24"/>
      <c r="G221" s="26" t="str">
        <f>IFERROR(VLOOKUP(F221,'05_Master KPI'!$B$5:$G$100,2,FALSE)&amp;" ("&amp;VLOOKUP(F221,'05_Master KPI'!$B$5:$G$100,3,FALSE)&amp;")","")</f>
        <v/>
      </c>
      <c r="H221" s="26">
        <f>IFERROR(IF(B221&lt;&gt;'06_Target KPI'!$B$3,0,IF(VLOOKUP(F221,'05_Master KPI'!$B$5:$G$100,6,FALSE)="Kumulatif",INDEX('06_Target KPI'!$E$5:$P$100,MATCH(F221,'06_Target KPI'!$B$5:$B$100,0),MATCH(A221,'06_Target KPI'!$E$4:$P$4,0))*DAY(C221)/DAY(EOMONTH(C221,0)),INDEX('06_Target KPI'!$E$5:$P$100,MATCH(F221,'06_Target KPI'!$B$5:$B$100,0),MATCH(A221,'06_Target KPI'!$E$4:$P$4,0)))),0)</f>
        <v>0</v>
      </c>
      <c r="I221" s="24"/>
      <c r="J221" s="27">
        <f>IFERROR(MIN(IF(VLOOKUP(F221,'05_Master KPI'!$B$5:$G$100,5,FALSE)="Lower",H221/I221,I221/H221),1),0)</f>
        <v>0</v>
      </c>
      <c r="K221" s="26">
        <f>IFERROR(VLOOKUP(F221,'05_Master KPI'!$B$5:$G$100,4,FALSE),0)</f>
        <v>0</v>
      </c>
      <c r="L221" s="28">
        <f t="shared" si="3"/>
        <v>0</v>
      </c>
      <c r="M221" s="26" t="str">
        <f>IF(D221="","",IF(J221&gt;='13_Setting'!$H$7,"Tercapai",IF(J221&gt;='13_Setting'!$H$6,"On Track","Tertinggal")))</f>
        <v/>
      </c>
      <c r="N221" s="24"/>
    </row>
    <row r="222" spans="1:14">
      <c r="A222" s="24"/>
      <c r="B222" s="24"/>
      <c r="C222" s="25"/>
      <c r="D222" s="24"/>
      <c r="E222" s="26" t="str">
        <f>IFERROR(VLOOKUP(D222,'04_Master Karyawan'!$A$5:$F$50,2,FALSE),"")</f>
        <v/>
      </c>
      <c r="F222" s="24"/>
      <c r="G222" s="26" t="str">
        <f>IFERROR(VLOOKUP(F222,'05_Master KPI'!$B$5:$G$100,2,FALSE)&amp;" ("&amp;VLOOKUP(F222,'05_Master KPI'!$B$5:$G$100,3,FALSE)&amp;")","")</f>
        <v/>
      </c>
      <c r="H222" s="26">
        <f>IFERROR(IF(B222&lt;&gt;'06_Target KPI'!$B$3,0,IF(VLOOKUP(F222,'05_Master KPI'!$B$5:$G$100,6,FALSE)="Kumulatif",INDEX('06_Target KPI'!$E$5:$P$100,MATCH(F222,'06_Target KPI'!$B$5:$B$100,0),MATCH(A222,'06_Target KPI'!$E$4:$P$4,0))*DAY(C222)/DAY(EOMONTH(C222,0)),INDEX('06_Target KPI'!$E$5:$P$100,MATCH(F222,'06_Target KPI'!$B$5:$B$100,0),MATCH(A222,'06_Target KPI'!$E$4:$P$4,0)))),0)</f>
        <v>0</v>
      </c>
      <c r="I222" s="24"/>
      <c r="J222" s="27">
        <f>IFERROR(MIN(IF(VLOOKUP(F222,'05_Master KPI'!$B$5:$G$100,5,FALSE)="Lower",H222/I222,I222/H222),1),0)</f>
        <v>0</v>
      </c>
      <c r="K222" s="26">
        <f>IFERROR(VLOOKUP(F222,'05_Master KPI'!$B$5:$G$100,4,FALSE),0)</f>
        <v>0</v>
      </c>
      <c r="L222" s="28">
        <f t="shared" si="3"/>
        <v>0</v>
      </c>
      <c r="M222" s="26" t="str">
        <f>IF(D222="","",IF(J222&gt;='13_Setting'!$H$7,"Tercapai",IF(J222&gt;='13_Setting'!$H$6,"On Track","Tertinggal")))</f>
        <v/>
      </c>
      <c r="N222" s="24"/>
    </row>
    <row r="223" spans="1:14">
      <c r="A223" s="24"/>
      <c r="B223" s="24"/>
      <c r="C223" s="25"/>
      <c r="D223" s="24"/>
      <c r="E223" s="26" t="str">
        <f>IFERROR(VLOOKUP(D223,'04_Master Karyawan'!$A$5:$F$50,2,FALSE),"")</f>
        <v/>
      </c>
      <c r="F223" s="24"/>
      <c r="G223" s="26" t="str">
        <f>IFERROR(VLOOKUP(F223,'05_Master KPI'!$B$5:$G$100,2,FALSE)&amp;" ("&amp;VLOOKUP(F223,'05_Master KPI'!$B$5:$G$100,3,FALSE)&amp;")","")</f>
        <v/>
      </c>
      <c r="H223" s="26">
        <f>IFERROR(IF(B223&lt;&gt;'06_Target KPI'!$B$3,0,IF(VLOOKUP(F223,'05_Master KPI'!$B$5:$G$100,6,FALSE)="Kumulatif",INDEX('06_Target KPI'!$E$5:$P$100,MATCH(F223,'06_Target KPI'!$B$5:$B$100,0),MATCH(A223,'06_Target KPI'!$E$4:$P$4,0))*DAY(C223)/DAY(EOMONTH(C223,0)),INDEX('06_Target KPI'!$E$5:$P$100,MATCH(F223,'06_Target KPI'!$B$5:$B$100,0),MATCH(A223,'06_Target KPI'!$E$4:$P$4,0)))),0)</f>
        <v>0</v>
      </c>
      <c r="I223" s="24"/>
      <c r="J223" s="27">
        <f>IFERROR(MIN(IF(VLOOKUP(F223,'05_Master KPI'!$B$5:$G$100,5,FALSE)="Lower",H223/I223,I223/H223),1),0)</f>
        <v>0</v>
      </c>
      <c r="K223" s="26">
        <f>IFERROR(VLOOKUP(F223,'05_Master KPI'!$B$5:$G$100,4,FALSE),0)</f>
        <v>0</v>
      </c>
      <c r="L223" s="28">
        <f t="shared" si="3"/>
        <v>0</v>
      </c>
      <c r="M223" s="26" t="str">
        <f>IF(D223="","",IF(J223&gt;='13_Setting'!$H$7,"Tercapai",IF(J223&gt;='13_Setting'!$H$6,"On Track","Tertinggal")))</f>
        <v/>
      </c>
      <c r="N223" s="24"/>
    </row>
    <row r="224" spans="1:14">
      <c r="A224" s="24"/>
      <c r="B224" s="24"/>
      <c r="C224" s="25"/>
      <c r="D224" s="24"/>
      <c r="E224" s="26" t="str">
        <f>IFERROR(VLOOKUP(D224,'04_Master Karyawan'!$A$5:$F$50,2,FALSE),"")</f>
        <v/>
      </c>
      <c r="F224" s="24"/>
      <c r="G224" s="26" t="str">
        <f>IFERROR(VLOOKUP(F224,'05_Master KPI'!$B$5:$G$100,2,FALSE)&amp;" ("&amp;VLOOKUP(F224,'05_Master KPI'!$B$5:$G$100,3,FALSE)&amp;")","")</f>
        <v/>
      </c>
      <c r="H224" s="26">
        <f>IFERROR(IF(B224&lt;&gt;'06_Target KPI'!$B$3,0,IF(VLOOKUP(F224,'05_Master KPI'!$B$5:$G$100,6,FALSE)="Kumulatif",INDEX('06_Target KPI'!$E$5:$P$100,MATCH(F224,'06_Target KPI'!$B$5:$B$100,0),MATCH(A224,'06_Target KPI'!$E$4:$P$4,0))*DAY(C224)/DAY(EOMONTH(C224,0)),INDEX('06_Target KPI'!$E$5:$P$100,MATCH(F224,'06_Target KPI'!$B$5:$B$100,0),MATCH(A224,'06_Target KPI'!$E$4:$P$4,0)))),0)</f>
        <v>0</v>
      </c>
      <c r="I224" s="24"/>
      <c r="J224" s="27">
        <f>IFERROR(MIN(IF(VLOOKUP(F224,'05_Master KPI'!$B$5:$G$100,5,FALSE)="Lower",H224/I224,I224/H224),1),0)</f>
        <v>0</v>
      </c>
      <c r="K224" s="26">
        <f>IFERROR(VLOOKUP(F224,'05_Master KPI'!$B$5:$G$100,4,FALSE),0)</f>
        <v>0</v>
      </c>
      <c r="L224" s="28">
        <f t="shared" si="3"/>
        <v>0</v>
      </c>
      <c r="M224" s="26" t="str">
        <f>IF(D224="","",IF(J224&gt;='13_Setting'!$H$7,"Tercapai",IF(J224&gt;='13_Setting'!$H$6,"On Track","Tertinggal")))</f>
        <v/>
      </c>
      <c r="N224" s="24"/>
    </row>
    <row r="225" spans="1:14">
      <c r="A225" s="24"/>
      <c r="B225" s="24"/>
      <c r="C225" s="25"/>
      <c r="D225" s="24"/>
      <c r="E225" s="26" t="str">
        <f>IFERROR(VLOOKUP(D225,'04_Master Karyawan'!$A$5:$F$50,2,FALSE),"")</f>
        <v/>
      </c>
      <c r="F225" s="24"/>
      <c r="G225" s="26" t="str">
        <f>IFERROR(VLOOKUP(F225,'05_Master KPI'!$B$5:$G$100,2,FALSE)&amp;" ("&amp;VLOOKUP(F225,'05_Master KPI'!$B$5:$G$100,3,FALSE)&amp;")","")</f>
        <v/>
      </c>
      <c r="H225" s="26">
        <f>IFERROR(IF(B225&lt;&gt;'06_Target KPI'!$B$3,0,IF(VLOOKUP(F225,'05_Master KPI'!$B$5:$G$100,6,FALSE)="Kumulatif",INDEX('06_Target KPI'!$E$5:$P$100,MATCH(F225,'06_Target KPI'!$B$5:$B$100,0),MATCH(A225,'06_Target KPI'!$E$4:$P$4,0))*DAY(C225)/DAY(EOMONTH(C225,0)),INDEX('06_Target KPI'!$E$5:$P$100,MATCH(F225,'06_Target KPI'!$B$5:$B$100,0),MATCH(A225,'06_Target KPI'!$E$4:$P$4,0)))),0)</f>
        <v>0</v>
      </c>
      <c r="I225" s="24"/>
      <c r="J225" s="27">
        <f>IFERROR(MIN(IF(VLOOKUP(F225,'05_Master KPI'!$B$5:$G$100,5,FALSE)="Lower",H225/I225,I225/H225),1),0)</f>
        <v>0</v>
      </c>
      <c r="K225" s="26">
        <f>IFERROR(VLOOKUP(F225,'05_Master KPI'!$B$5:$G$100,4,FALSE),0)</f>
        <v>0</v>
      </c>
      <c r="L225" s="28">
        <f t="shared" si="3"/>
        <v>0</v>
      </c>
      <c r="M225" s="26" t="str">
        <f>IF(D225="","",IF(J225&gt;='13_Setting'!$H$7,"Tercapai",IF(J225&gt;='13_Setting'!$H$6,"On Track","Tertinggal")))</f>
        <v/>
      </c>
      <c r="N225" s="24"/>
    </row>
    <row r="226" spans="1:14">
      <c r="A226" s="24"/>
      <c r="B226" s="24"/>
      <c r="C226" s="25"/>
      <c r="D226" s="24"/>
      <c r="E226" s="26" t="str">
        <f>IFERROR(VLOOKUP(D226,'04_Master Karyawan'!$A$5:$F$50,2,FALSE),"")</f>
        <v/>
      </c>
      <c r="F226" s="24"/>
      <c r="G226" s="26" t="str">
        <f>IFERROR(VLOOKUP(F226,'05_Master KPI'!$B$5:$G$100,2,FALSE)&amp;" ("&amp;VLOOKUP(F226,'05_Master KPI'!$B$5:$G$100,3,FALSE)&amp;")","")</f>
        <v/>
      </c>
      <c r="H226" s="26">
        <f>IFERROR(IF(B226&lt;&gt;'06_Target KPI'!$B$3,0,IF(VLOOKUP(F226,'05_Master KPI'!$B$5:$G$100,6,FALSE)="Kumulatif",INDEX('06_Target KPI'!$E$5:$P$100,MATCH(F226,'06_Target KPI'!$B$5:$B$100,0),MATCH(A226,'06_Target KPI'!$E$4:$P$4,0))*DAY(C226)/DAY(EOMONTH(C226,0)),INDEX('06_Target KPI'!$E$5:$P$100,MATCH(F226,'06_Target KPI'!$B$5:$B$100,0),MATCH(A226,'06_Target KPI'!$E$4:$P$4,0)))),0)</f>
        <v>0</v>
      </c>
      <c r="I226" s="24"/>
      <c r="J226" s="27">
        <f>IFERROR(MIN(IF(VLOOKUP(F226,'05_Master KPI'!$B$5:$G$100,5,FALSE)="Lower",H226/I226,I226/H226),1),0)</f>
        <v>0</v>
      </c>
      <c r="K226" s="26">
        <f>IFERROR(VLOOKUP(F226,'05_Master KPI'!$B$5:$G$100,4,FALSE),0)</f>
        <v>0</v>
      </c>
      <c r="L226" s="28">
        <f t="shared" si="3"/>
        <v>0</v>
      </c>
      <c r="M226" s="26" t="str">
        <f>IF(D226="","",IF(J226&gt;='13_Setting'!$H$7,"Tercapai",IF(J226&gt;='13_Setting'!$H$6,"On Track","Tertinggal")))</f>
        <v/>
      </c>
      <c r="N226" s="24"/>
    </row>
    <row r="227" spans="1:14">
      <c r="A227" s="24"/>
      <c r="B227" s="24"/>
      <c r="C227" s="25"/>
      <c r="D227" s="24"/>
      <c r="E227" s="26" t="str">
        <f>IFERROR(VLOOKUP(D227,'04_Master Karyawan'!$A$5:$F$50,2,FALSE),"")</f>
        <v/>
      </c>
      <c r="F227" s="24"/>
      <c r="G227" s="26" t="str">
        <f>IFERROR(VLOOKUP(F227,'05_Master KPI'!$B$5:$G$100,2,FALSE)&amp;" ("&amp;VLOOKUP(F227,'05_Master KPI'!$B$5:$G$100,3,FALSE)&amp;")","")</f>
        <v/>
      </c>
      <c r="H227" s="26">
        <f>IFERROR(IF(B227&lt;&gt;'06_Target KPI'!$B$3,0,IF(VLOOKUP(F227,'05_Master KPI'!$B$5:$G$100,6,FALSE)="Kumulatif",INDEX('06_Target KPI'!$E$5:$P$100,MATCH(F227,'06_Target KPI'!$B$5:$B$100,0),MATCH(A227,'06_Target KPI'!$E$4:$P$4,0))*DAY(C227)/DAY(EOMONTH(C227,0)),INDEX('06_Target KPI'!$E$5:$P$100,MATCH(F227,'06_Target KPI'!$B$5:$B$100,0),MATCH(A227,'06_Target KPI'!$E$4:$P$4,0)))),0)</f>
        <v>0</v>
      </c>
      <c r="I227" s="24"/>
      <c r="J227" s="27">
        <f>IFERROR(MIN(IF(VLOOKUP(F227,'05_Master KPI'!$B$5:$G$100,5,FALSE)="Lower",H227/I227,I227/H227),1),0)</f>
        <v>0</v>
      </c>
      <c r="K227" s="26">
        <f>IFERROR(VLOOKUP(F227,'05_Master KPI'!$B$5:$G$100,4,FALSE),0)</f>
        <v>0</v>
      </c>
      <c r="L227" s="28">
        <f t="shared" si="3"/>
        <v>0</v>
      </c>
      <c r="M227" s="26" t="str">
        <f>IF(D227="","",IF(J227&gt;='13_Setting'!$H$7,"Tercapai",IF(J227&gt;='13_Setting'!$H$6,"On Track","Tertinggal")))</f>
        <v/>
      </c>
      <c r="N227" s="24"/>
    </row>
    <row r="228" spans="1:14">
      <c r="A228" s="24"/>
      <c r="B228" s="24"/>
      <c r="C228" s="25"/>
      <c r="D228" s="24"/>
      <c r="E228" s="26" t="str">
        <f>IFERROR(VLOOKUP(D228,'04_Master Karyawan'!$A$5:$F$50,2,FALSE),"")</f>
        <v/>
      </c>
      <c r="F228" s="24"/>
      <c r="G228" s="26" t="str">
        <f>IFERROR(VLOOKUP(F228,'05_Master KPI'!$B$5:$G$100,2,FALSE)&amp;" ("&amp;VLOOKUP(F228,'05_Master KPI'!$B$5:$G$100,3,FALSE)&amp;")","")</f>
        <v/>
      </c>
      <c r="H228" s="26">
        <f>IFERROR(IF(B228&lt;&gt;'06_Target KPI'!$B$3,0,IF(VLOOKUP(F228,'05_Master KPI'!$B$5:$G$100,6,FALSE)="Kumulatif",INDEX('06_Target KPI'!$E$5:$P$100,MATCH(F228,'06_Target KPI'!$B$5:$B$100,0),MATCH(A228,'06_Target KPI'!$E$4:$P$4,0))*DAY(C228)/DAY(EOMONTH(C228,0)),INDEX('06_Target KPI'!$E$5:$P$100,MATCH(F228,'06_Target KPI'!$B$5:$B$100,0),MATCH(A228,'06_Target KPI'!$E$4:$P$4,0)))),0)</f>
        <v>0</v>
      </c>
      <c r="I228" s="24"/>
      <c r="J228" s="27">
        <f>IFERROR(MIN(IF(VLOOKUP(F228,'05_Master KPI'!$B$5:$G$100,5,FALSE)="Lower",H228/I228,I228/H228),1),0)</f>
        <v>0</v>
      </c>
      <c r="K228" s="26">
        <f>IFERROR(VLOOKUP(F228,'05_Master KPI'!$B$5:$G$100,4,FALSE),0)</f>
        <v>0</v>
      </c>
      <c r="L228" s="28">
        <f t="shared" si="3"/>
        <v>0</v>
      </c>
      <c r="M228" s="26" t="str">
        <f>IF(D228="","",IF(J228&gt;='13_Setting'!$H$7,"Tercapai",IF(J228&gt;='13_Setting'!$H$6,"On Track","Tertinggal")))</f>
        <v/>
      </c>
      <c r="N228" s="24"/>
    </row>
    <row r="229" spans="1:14">
      <c r="A229" s="24"/>
      <c r="B229" s="24"/>
      <c r="C229" s="25"/>
      <c r="D229" s="24"/>
      <c r="E229" s="26" t="str">
        <f>IFERROR(VLOOKUP(D229,'04_Master Karyawan'!$A$5:$F$50,2,FALSE),"")</f>
        <v/>
      </c>
      <c r="F229" s="24"/>
      <c r="G229" s="26" t="str">
        <f>IFERROR(VLOOKUP(F229,'05_Master KPI'!$B$5:$G$100,2,FALSE)&amp;" ("&amp;VLOOKUP(F229,'05_Master KPI'!$B$5:$G$100,3,FALSE)&amp;")","")</f>
        <v/>
      </c>
      <c r="H229" s="26">
        <f>IFERROR(IF(B229&lt;&gt;'06_Target KPI'!$B$3,0,IF(VLOOKUP(F229,'05_Master KPI'!$B$5:$G$100,6,FALSE)="Kumulatif",INDEX('06_Target KPI'!$E$5:$P$100,MATCH(F229,'06_Target KPI'!$B$5:$B$100,0),MATCH(A229,'06_Target KPI'!$E$4:$P$4,0))*DAY(C229)/DAY(EOMONTH(C229,0)),INDEX('06_Target KPI'!$E$5:$P$100,MATCH(F229,'06_Target KPI'!$B$5:$B$100,0),MATCH(A229,'06_Target KPI'!$E$4:$P$4,0)))),0)</f>
        <v>0</v>
      </c>
      <c r="I229" s="24"/>
      <c r="J229" s="27">
        <f>IFERROR(MIN(IF(VLOOKUP(F229,'05_Master KPI'!$B$5:$G$100,5,FALSE)="Lower",H229/I229,I229/H229),1),0)</f>
        <v>0</v>
      </c>
      <c r="K229" s="26">
        <f>IFERROR(VLOOKUP(F229,'05_Master KPI'!$B$5:$G$100,4,FALSE),0)</f>
        <v>0</v>
      </c>
      <c r="L229" s="28">
        <f t="shared" si="3"/>
        <v>0</v>
      </c>
      <c r="M229" s="26" t="str">
        <f>IF(D229="","",IF(J229&gt;='13_Setting'!$H$7,"Tercapai",IF(J229&gt;='13_Setting'!$H$6,"On Track","Tertinggal")))</f>
        <v/>
      </c>
      <c r="N229" s="24"/>
    </row>
    <row r="230" spans="1:14">
      <c r="A230" s="24"/>
      <c r="B230" s="24"/>
      <c r="C230" s="25"/>
      <c r="D230" s="24"/>
      <c r="E230" s="26" t="str">
        <f>IFERROR(VLOOKUP(D230,'04_Master Karyawan'!$A$5:$F$50,2,FALSE),"")</f>
        <v/>
      </c>
      <c r="F230" s="24"/>
      <c r="G230" s="26" t="str">
        <f>IFERROR(VLOOKUP(F230,'05_Master KPI'!$B$5:$G$100,2,FALSE)&amp;" ("&amp;VLOOKUP(F230,'05_Master KPI'!$B$5:$G$100,3,FALSE)&amp;")","")</f>
        <v/>
      </c>
      <c r="H230" s="26">
        <f>IFERROR(IF(B230&lt;&gt;'06_Target KPI'!$B$3,0,IF(VLOOKUP(F230,'05_Master KPI'!$B$5:$G$100,6,FALSE)="Kumulatif",INDEX('06_Target KPI'!$E$5:$P$100,MATCH(F230,'06_Target KPI'!$B$5:$B$100,0),MATCH(A230,'06_Target KPI'!$E$4:$P$4,0))*DAY(C230)/DAY(EOMONTH(C230,0)),INDEX('06_Target KPI'!$E$5:$P$100,MATCH(F230,'06_Target KPI'!$B$5:$B$100,0),MATCH(A230,'06_Target KPI'!$E$4:$P$4,0)))),0)</f>
        <v>0</v>
      </c>
      <c r="I230" s="24"/>
      <c r="J230" s="27">
        <f>IFERROR(MIN(IF(VLOOKUP(F230,'05_Master KPI'!$B$5:$G$100,5,FALSE)="Lower",H230/I230,I230/H230),1),0)</f>
        <v>0</v>
      </c>
      <c r="K230" s="26">
        <f>IFERROR(VLOOKUP(F230,'05_Master KPI'!$B$5:$G$100,4,FALSE),0)</f>
        <v>0</v>
      </c>
      <c r="L230" s="28">
        <f t="shared" si="3"/>
        <v>0</v>
      </c>
      <c r="M230" s="26" t="str">
        <f>IF(D230="","",IF(J230&gt;='13_Setting'!$H$7,"Tercapai",IF(J230&gt;='13_Setting'!$H$6,"On Track","Tertinggal")))</f>
        <v/>
      </c>
      <c r="N230" s="24"/>
    </row>
    <row r="231" spans="1:14">
      <c r="A231" s="24"/>
      <c r="B231" s="24"/>
      <c r="C231" s="25"/>
      <c r="D231" s="24"/>
      <c r="E231" s="26" t="str">
        <f>IFERROR(VLOOKUP(D231,'04_Master Karyawan'!$A$5:$F$50,2,FALSE),"")</f>
        <v/>
      </c>
      <c r="F231" s="24"/>
      <c r="G231" s="26" t="str">
        <f>IFERROR(VLOOKUP(F231,'05_Master KPI'!$B$5:$G$100,2,FALSE)&amp;" ("&amp;VLOOKUP(F231,'05_Master KPI'!$B$5:$G$100,3,FALSE)&amp;")","")</f>
        <v/>
      </c>
      <c r="H231" s="26">
        <f>IFERROR(IF(B231&lt;&gt;'06_Target KPI'!$B$3,0,IF(VLOOKUP(F231,'05_Master KPI'!$B$5:$G$100,6,FALSE)="Kumulatif",INDEX('06_Target KPI'!$E$5:$P$100,MATCH(F231,'06_Target KPI'!$B$5:$B$100,0),MATCH(A231,'06_Target KPI'!$E$4:$P$4,0))*DAY(C231)/DAY(EOMONTH(C231,0)),INDEX('06_Target KPI'!$E$5:$P$100,MATCH(F231,'06_Target KPI'!$B$5:$B$100,0),MATCH(A231,'06_Target KPI'!$E$4:$P$4,0)))),0)</f>
        <v>0</v>
      </c>
      <c r="I231" s="24"/>
      <c r="J231" s="27">
        <f>IFERROR(MIN(IF(VLOOKUP(F231,'05_Master KPI'!$B$5:$G$100,5,FALSE)="Lower",H231/I231,I231/H231),1),0)</f>
        <v>0</v>
      </c>
      <c r="K231" s="26">
        <f>IFERROR(VLOOKUP(F231,'05_Master KPI'!$B$5:$G$100,4,FALSE),0)</f>
        <v>0</v>
      </c>
      <c r="L231" s="28">
        <f t="shared" si="3"/>
        <v>0</v>
      </c>
      <c r="M231" s="26" t="str">
        <f>IF(D231="","",IF(J231&gt;='13_Setting'!$H$7,"Tercapai",IF(J231&gt;='13_Setting'!$H$6,"On Track","Tertinggal")))</f>
        <v/>
      </c>
      <c r="N231" s="24"/>
    </row>
    <row r="232" spans="1:14">
      <c r="A232" s="24"/>
      <c r="B232" s="24"/>
      <c r="C232" s="25"/>
      <c r="D232" s="24"/>
      <c r="E232" s="26" t="str">
        <f>IFERROR(VLOOKUP(D232,'04_Master Karyawan'!$A$5:$F$50,2,FALSE),"")</f>
        <v/>
      </c>
      <c r="F232" s="24"/>
      <c r="G232" s="26" t="str">
        <f>IFERROR(VLOOKUP(F232,'05_Master KPI'!$B$5:$G$100,2,FALSE)&amp;" ("&amp;VLOOKUP(F232,'05_Master KPI'!$B$5:$G$100,3,FALSE)&amp;")","")</f>
        <v/>
      </c>
      <c r="H232" s="26">
        <f>IFERROR(IF(B232&lt;&gt;'06_Target KPI'!$B$3,0,IF(VLOOKUP(F232,'05_Master KPI'!$B$5:$G$100,6,FALSE)="Kumulatif",INDEX('06_Target KPI'!$E$5:$P$100,MATCH(F232,'06_Target KPI'!$B$5:$B$100,0),MATCH(A232,'06_Target KPI'!$E$4:$P$4,0))*DAY(C232)/DAY(EOMONTH(C232,0)),INDEX('06_Target KPI'!$E$5:$P$100,MATCH(F232,'06_Target KPI'!$B$5:$B$100,0),MATCH(A232,'06_Target KPI'!$E$4:$P$4,0)))),0)</f>
        <v>0</v>
      </c>
      <c r="I232" s="24"/>
      <c r="J232" s="27">
        <f>IFERROR(MIN(IF(VLOOKUP(F232,'05_Master KPI'!$B$5:$G$100,5,FALSE)="Lower",H232/I232,I232/H232),1),0)</f>
        <v>0</v>
      </c>
      <c r="K232" s="26">
        <f>IFERROR(VLOOKUP(F232,'05_Master KPI'!$B$5:$G$100,4,FALSE),0)</f>
        <v>0</v>
      </c>
      <c r="L232" s="28">
        <f t="shared" si="3"/>
        <v>0</v>
      </c>
      <c r="M232" s="26" t="str">
        <f>IF(D232="","",IF(J232&gt;='13_Setting'!$H$7,"Tercapai",IF(J232&gt;='13_Setting'!$H$6,"On Track","Tertinggal")))</f>
        <v/>
      </c>
      <c r="N232" s="24"/>
    </row>
    <row r="233" spans="1:14">
      <c r="A233" s="24"/>
      <c r="B233" s="24"/>
      <c r="C233" s="25"/>
      <c r="D233" s="24"/>
      <c r="E233" s="26" t="str">
        <f>IFERROR(VLOOKUP(D233,'04_Master Karyawan'!$A$5:$F$50,2,FALSE),"")</f>
        <v/>
      </c>
      <c r="F233" s="24"/>
      <c r="G233" s="26" t="str">
        <f>IFERROR(VLOOKUP(F233,'05_Master KPI'!$B$5:$G$100,2,FALSE)&amp;" ("&amp;VLOOKUP(F233,'05_Master KPI'!$B$5:$G$100,3,FALSE)&amp;")","")</f>
        <v/>
      </c>
      <c r="H233" s="26">
        <f>IFERROR(IF(B233&lt;&gt;'06_Target KPI'!$B$3,0,IF(VLOOKUP(F233,'05_Master KPI'!$B$5:$G$100,6,FALSE)="Kumulatif",INDEX('06_Target KPI'!$E$5:$P$100,MATCH(F233,'06_Target KPI'!$B$5:$B$100,0),MATCH(A233,'06_Target KPI'!$E$4:$P$4,0))*DAY(C233)/DAY(EOMONTH(C233,0)),INDEX('06_Target KPI'!$E$5:$P$100,MATCH(F233,'06_Target KPI'!$B$5:$B$100,0),MATCH(A233,'06_Target KPI'!$E$4:$P$4,0)))),0)</f>
        <v>0</v>
      </c>
      <c r="I233" s="24"/>
      <c r="J233" s="27">
        <f>IFERROR(MIN(IF(VLOOKUP(F233,'05_Master KPI'!$B$5:$G$100,5,FALSE)="Lower",H233/I233,I233/H233),1),0)</f>
        <v>0</v>
      </c>
      <c r="K233" s="26">
        <f>IFERROR(VLOOKUP(F233,'05_Master KPI'!$B$5:$G$100,4,FALSE),0)</f>
        <v>0</v>
      </c>
      <c r="L233" s="28">
        <f t="shared" si="3"/>
        <v>0</v>
      </c>
      <c r="M233" s="26" t="str">
        <f>IF(D233="","",IF(J233&gt;='13_Setting'!$H$7,"Tercapai",IF(J233&gt;='13_Setting'!$H$6,"On Track","Tertinggal")))</f>
        <v/>
      </c>
      <c r="N233" s="24"/>
    </row>
    <row r="234" spans="1:14">
      <c r="A234" s="24"/>
      <c r="B234" s="24"/>
      <c r="C234" s="25"/>
      <c r="D234" s="24"/>
      <c r="E234" s="26" t="str">
        <f>IFERROR(VLOOKUP(D234,'04_Master Karyawan'!$A$5:$F$50,2,FALSE),"")</f>
        <v/>
      </c>
      <c r="F234" s="24"/>
      <c r="G234" s="26" t="str">
        <f>IFERROR(VLOOKUP(F234,'05_Master KPI'!$B$5:$G$100,2,FALSE)&amp;" ("&amp;VLOOKUP(F234,'05_Master KPI'!$B$5:$G$100,3,FALSE)&amp;")","")</f>
        <v/>
      </c>
      <c r="H234" s="26">
        <f>IFERROR(IF(B234&lt;&gt;'06_Target KPI'!$B$3,0,IF(VLOOKUP(F234,'05_Master KPI'!$B$5:$G$100,6,FALSE)="Kumulatif",INDEX('06_Target KPI'!$E$5:$P$100,MATCH(F234,'06_Target KPI'!$B$5:$B$100,0),MATCH(A234,'06_Target KPI'!$E$4:$P$4,0))*DAY(C234)/DAY(EOMONTH(C234,0)),INDEX('06_Target KPI'!$E$5:$P$100,MATCH(F234,'06_Target KPI'!$B$5:$B$100,0),MATCH(A234,'06_Target KPI'!$E$4:$P$4,0)))),0)</f>
        <v>0</v>
      </c>
      <c r="I234" s="24"/>
      <c r="J234" s="27">
        <f>IFERROR(MIN(IF(VLOOKUP(F234,'05_Master KPI'!$B$5:$G$100,5,FALSE)="Lower",H234/I234,I234/H234),1),0)</f>
        <v>0</v>
      </c>
      <c r="K234" s="26">
        <f>IFERROR(VLOOKUP(F234,'05_Master KPI'!$B$5:$G$100,4,FALSE),0)</f>
        <v>0</v>
      </c>
      <c r="L234" s="28">
        <f t="shared" si="3"/>
        <v>0</v>
      </c>
      <c r="M234" s="26" t="str">
        <f>IF(D234="","",IF(J234&gt;='13_Setting'!$H$7,"Tercapai",IF(J234&gt;='13_Setting'!$H$6,"On Track","Tertinggal")))</f>
        <v/>
      </c>
      <c r="N234" s="24"/>
    </row>
    <row r="235" spans="1:14">
      <c r="A235" s="24"/>
      <c r="B235" s="24"/>
      <c r="C235" s="25"/>
      <c r="D235" s="24"/>
      <c r="E235" s="26" t="str">
        <f>IFERROR(VLOOKUP(D235,'04_Master Karyawan'!$A$5:$F$50,2,FALSE),"")</f>
        <v/>
      </c>
      <c r="F235" s="24"/>
      <c r="G235" s="26" t="str">
        <f>IFERROR(VLOOKUP(F235,'05_Master KPI'!$B$5:$G$100,2,FALSE)&amp;" ("&amp;VLOOKUP(F235,'05_Master KPI'!$B$5:$G$100,3,FALSE)&amp;")","")</f>
        <v/>
      </c>
      <c r="H235" s="26">
        <f>IFERROR(IF(B235&lt;&gt;'06_Target KPI'!$B$3,0,IF(VLOOKUP(F235,'05_Master KPI'!$B$5:$G$100,6,FALSE)="Kumulatif",INDEX('06_Target KPI'!$E$5:$P$100,MATCH(F235,'06_Target KPI'!$B$5:$B$100,0),MATCH(A235,'06_Target KPI'!$E$4:$P$4,0))*DAY(C235)/DAY(EOMONTH(C235,0)),INDEX('06_Target KPI'!$E$5:$P$100,MATCH(F235,'06_Target KPI'!$B$5:$B$100,0),MATCH(A235,'06_Target KPI'!$E$4:$P$4,0)))),0)</f>
        <v>0</v>
      </c>
      <c r="I235" s="24"/>
      <c r="J235" s="27">
        <f>IFERROR(MIN(IF(VLOOKUP(F235,'05_Master KPI'!$B$5:$G$100,5,FALSE)="Lower",H235/I235,I235/H235),1),0)</f>
        <v>0</v>
      </c>
      <c r="K235" s="26">
        <f>IFERROR(VLOOKUP(F235,'05_Master KPI'!$B$5:$G$100,4,FALSE),0)</f>
        <v>0</v>
      </c>
      <c r="L235" s="28">
        <f t="shared" si="3"/>
        <v>0</v>
      </c>
      <c r="M235" s="26" t="str">
        <f>IF(D235="","",IF(J235&gt;='13_Setting'!$H$7,"Tercapai",IF(J235&gt;='13_Setting'!$H$6,"On Track","Tertinggal")))</f>
        <v/>
      </c>
      <c r="N235" s="24"/>
    </row>
    <row r="236" spans="1:14">
      <c r="A236" s="24"/>
      <c r="B236" s="24"/>
      <c r="C236" s="25"/>
      <c r="D236" s="24"/>
      <c r="E236" s="26" t="str">
        <f>IFERROR(VLOOKUP(D236,'04_Master Karyawan'!$A$5:$F$50,2,FALSE),"")</f>
        <v/>
      </c>
      <c r="F236" s="24"/>
      <c r="G236" s="26" t="str">
        <f>IFERROR(VLOOKUP(F236,'05_Master KPI'!$B$5:$G$100,2,FALSE)&amp;" ("&amp;VLOOKUP(F236,'05_Master KPI'!$B$5:$G$100,3,FALSE)&amp;")","")</f>
        <v/>
      </c>
      <c r="H236" s="26">
        <f>IFERROR(IF(B236&lt;&gt;'06_Target KPI'!$B$3,0,IF(VLOOKUP(F236,'05_Master KPI'!$B$5:$G$100,6,FALSE)="Kumulatif",INDEX('06_Target KPI'!$E$5:$P$100,MATCH(F236,'06_Target KPI'!$B$5:$B$100,0),MATCH(A236,'06_Target KPI'!$E$4:$P$4,0))*DAY(C236)/DAY(EOMONTH(C236,0)),INDEX('06_Target KPI'!$E$5:$P$100,MATCH(F236,'06_Target KPI'!$B$5:$B$100,0),MATCH(A236,'06_Target KPI'!$E$4:$P$4,0)))),0)</f>
        <v>0</v>
      </c>
      <c r="I236" s="24"/>
      <c r="J236" s="27">
        <f>IFERROR(MIN(IF(VLOOKUP(F236,'05_Master KPI'!$B$5:$G$100,5,FALSE)="Lower",H236/I236,I236/H236),1),0)</f>
        <v>0</v>
      </c>
      <c r="K236" s="26">
        <f>IFERROR(VLOOKUP(F236,'05_Master KPI'!$B$5:$G$100,4,FALSE),0)</f>
        <v>0</v>
      </c>
      <c r="L236" s="28">
        <f t="shared" si="3"/>
        <v>0</v>
      </c>
      <c r="M236" s="26" t="str">
        <f>IF(D236="","",IF(J236&gt;='13_Setting'!$H$7,"Tercapai",IF(J236&gt;='13_Setting'!$H$6,"On Track","Tertinggal")))</f>
        <v/>
      </c>
      <c r="N236" s="24"/>
    </row>
    <row r="237" spans="1:14">
      <c r="A237" s="24"/>
      <c r="B237" s="24"/>
      <c r="C237" s="25"/>
      <c r="D237" s="24"/>
      <c r="E237" s="26" t="str">
        <f>IFERROR(VLOOKUP(D237,'04_Master Karyawan'!$A$5:$F$50,2,FALSE),"")</f>
        <v/>
      </c>
      <c r="F237" s="24"/>
      <c r="G237" s="26" t="str">
        <f>IFERROR(VLOOKUP(F237,'05_Master KPI'!$B$5:$G$100,2,FALSE)&amp;" ("&amp;VLOOKUP(F237,'05_Master KPI'!$B$5:$G$100,3,FALSE)&amp;")","")</f>
        <v/>
      </c>
      <c r="H237" s="26">
        <f>IFERROR(IF(B237&lt;&gt;'06_Target KPI'!$B$3,0,IF(VLOOKUP(F237,'05_Master KPI'!$B$5:$G$100,6,FALSE)="Kumulatif",INDEX('06_Target KPI'!$E$5:$P$100,MATCH(F237,'06_Target KPI'!$B$5:$B$100,0),MATCH(A237,'06_Target KPI'!$E$4:$P$4,0))*DAY(C237)/DAY(EOMONTH(C237,0)),INDEX('06_Target KPI'!$E$5:$P$100,MATCH(F237,'06_Target KPI'!$B$5:$B$100,0),MATCH(A237,'06_Target KPI'!$E$4:$P$4,0)))),0)</f>
        <v>0</v>
      </c>
      <c r="I237" s="24"/>
      <c r="J237" s="27">
        <f>IFERROR(MIN(IF(VLOOKUP(F237,'05_Master KPI'!$B$5:$G$100,5,FALSE)="Lower",H237/I237,I237/H237),1),0)</f>
        <v>0</v>
      </c>
      <c r="K237" s="26">
        <f>IFERROR(VLOOKUP(F237,'05_Master KPI'!$B$5:$G$100,4,FALSE),0)</f>
        <v>0</v>
      </c>
      <c r="L237" s="28">
        <f t="shared" si="3"/>
        <v>0</v>
      </c>
      <c r="M237" s="26" t="str">
        <f>IF(D237="","",IF(J237&gt;='13_Setting'!$H$7,"Tercapai",IF(J237&gt;='13_Setting'!$H$6,"On Track","Tertinggal")))</f>
        <v/>
      </c>
      <c r="N237" s="24"/>
    </row>
    <row r="238" spans="1:14">
      <c r="A238" s="24"/>
      <c r="B238" s="24"/>
      <c r="C238" s="25"/>
      <c r="D238" s="24"/>
      <c r="E238" s="26" t="str">
        <f>IFERROR(VLOOKUP(D238,'04_Master Karyawan'!$A$5:$F$50,2,FALSE),"")</f>
        <v/>
      </c>
      <c r="F238" s="24"/>
      <c r="G238" s="26" t="str">
        <f>IFERROR(VLOOKUP(F238,'05_Master KPI'!$B$5:$G$100,2,FALSE)&amp;" ("&amp;VLOOKUP(F238,'05_Master KPI'!$B$5:$G$100,3,FALSE)&amp;")","")</f>
        <v/>
      </c>
      <c r="H238" s="26">
        <f>IFERROR(IF(B238&lt;&gt;'06_Target KPI'!$B$3,0,IF(VLOOKUP(F238,'05_Master KPI'!$B$5:$G$100,6,FALSE)="Kumulatif",INDEX('06_Target KPI'!$E$5:$P$100,MATCH(F238,'06_Target KPI'!$B$5:$B$100,0),MATCH(A238,'06_Target KPI'!$E$4:$P$4,0))*DAY(C238)/DAY(EOMONTH(C238,0)),INDEX('06_Target KPI'!$E$5:$P$100,MATCH(F238,'06_Target KPI'!$B$5:$B$100,0),MATCH(A238,'06_Target KPI'!$E$4:$P$4,0)))),0)</f>
        <v>0</v>
      </c>
      <c r="I238" s="24"/>
      <c r="J238" s="27">
        <f>IFERROR(MIN(IF(VLOOKUP(F238,'05_Master KPI'!$B$5:$G$100,5,FALSE)="Lower",H238/I238,I238/H238),1),0)</f>
        <v>0</v>
      </c>
      <c r="K238" s="26">
        <f>IFERROR(VLOOKUP(F238,'05_Master KPI'!$B$5:$G$100,4,FALSE),0)</f>
        <v>0</v>
      </c>
      <c r="L238" s="28">
        <f t="shared" si="3"/>
        <v>0</v>
      </c>
      <c r="M238" s="26" t="str">
        <f>IF(D238="","",IF(J238&gt;='13_Setting'!$H$7,"Tercapai",IF(J238&gt;='13_Setting'!$H$6,"On Track","Tertinggal")))</f>
        <v/>
      </c>
      <c r="N238" s="24"/>
    </row>
    <row r="239" spans="1:14">
      <c r="A239" s="24"/>
      <c r="B239" s="24"/>
      <c r="C239" s="25"/>
      <c r="D239" s="24"/>
      <c r="E239" s="26" t="str">
        <f>IFERROR(VLOOKUP(D239,'04_Master Karyawan'!$A$5:$F$50,2,FALSE),"")</f>
        <v/>
      </c>
      <c r="F239" s="24"/>
      <c r="G239" s="26" t="str">
        <f>IFERROR(VLOOKUP(F239,'05_Master KPI'!$B$5:$G$100,2,FALSE)&amp;" ("&amp;VLOOKUP(F239,'05_Master KPI'!$B$5:$G$100,3,FALSE)&amp;")","")</f>
        <v/>
      </c>
      <c r="H239" s="26">
        <f>IFERROR(IF(B239&lt;&gt;'06_Target KPI'!$B$3,0,IF(VLOOKUP(F239,'05_Master KPI'!$B$5:$G$100,6,FALSE)="Kumulatif",INDEX('06_Target KPI'!$E$5:$P$100,MATCH(F239,'06_Target KPI'!$B$5:$B$100,0),MATCH(A239,'06_Target KPI'!$E$4:$P$4,0))*DAY(C239)/DAY(EOMONTH(C239,0)),INDEX('06_Target KPI'!$E$5:$P$100,MATCH(F239,'06_Target KPI'!$B$5:$B$100,0),MATCH(A239,'06_Target KPI'!$E$4:$P$4,0)))),0)</f>
        <v>0</v>
      </c>
      <c r="I239" s="24"/>
      <c r="J239" s="27">
        <f>IFERROR(MIN(IF(VLOOKUP(F239,'05_Master KPI'!$B$5:$G$100,5,FALSE)="Lower",H239/I239,I239/H239),1),0)</f>
        <v>0</v>
      </c>
      <c r="K239" s="26">
        <f>IFERROR(VLOOKUP(F239,'05_Master KPI'!$B$5:$G$100,4,FALSE),0)</f>
        <v>0</v>
      </c>
      <c r="L239" s="28">
        <f t="shared" si="3"/>
        <v>0</v>
      </c>
      <c r="M239" s="26" t="str">
        <f>IF(D239="","",IF(J239&gt;='13_Setting'!$H$7,"Tercapai",IF(J239&gt;='13_Setting'!$H$6,"On Track","Tertinggal")))</f>
        <v/>
      </c>
      <c r="N239" s="24"/>
    </row>
    <row r="240" spans="1:14">
      <c r="A240" s="24"/>
      <c r="B240" s="24"/>
      <c r="C240" s="25"/>
      <c r="D240" s="24"/>
      <c r="E240" s="26" t="str">
        <f>IFERROR(VLOOKUP(D240,'04_Master Karyawan'!$A$5:$F$50,2,FALSE),"")</f>
        <v/>
      </c>
      <c r="F240" s="24"/>
      <c r="G240" s="26" t="str">
        <f>IFERROR(VLOOKUP(F240,'05_Master KPI'!$B$5:$G$100,2,FALSE)&amp;" ("&amp;VLOOKUP(F240,'05_Master KPI'!$B$5:$G$100,3,FALSE)&amp;")","")</f>
        <v/>
      </c>
      <c r="H240" s="26">
        <f>IFERROR(IF(B240&lt;&gt;'06_Target KPI'!$B$3,0,IF(VLOOKUP(F240,'05_Master KPI'!$B$5:$G$100,6,FALSE)="Kumulatif",INDEX('06_Target KPI'!$E$5:$P$100,MATCH(F240,'06_Target KPI'!$B$5:$B$100,0),MATCH(A240,'06_Target KPI'!$E$4:$P$4,0))*DAY(C240)/DAY(EOMONTH(C240,0)),INDEX('06_Target KPI'!$E$5:$P$100,MATCH(F240,'06_Target KPI'!$B$5:$B$100,0),MATCH(A240,'06_Target KPI'!$E$4:$P$4,0)))),0)</f>
        <v>0</v>
      </c>
      <c r="I240" s="24"/>
      <c r="J240" s="27">
        <f>IFERROR(MIN(IF(VLOOKUP(F240,'05_Master KPI'!$B$5:$G$100,5,FALSE)="Lower",H240/I240,I240/H240),1),0)</f>
        <v>0</v>
      </c>
      <c r="K240" s="26">
        <f>IFERROR(VLOOKUP(F240,'05_Master KPI'!$B$5:$G$100,4,FALSE),0)</f>
        <v>0</v>
      </c>
      <c r="L240" s="28">
        <f t="shared" si="3"/>
        <v>0</v>
      </c>
      <c r="M240" s="26" t="str">
        <f>IF(D240="","",IF(J240&gt;='13_Setting'!$H$7,"Tercapai",IF(J240&gt;='13_Setting'!$H$6,"On Track","Tertinggal")))</f>
        <v/>
      </c>
      <c r="N240" s="24"/>
    </row>
    <row r="241" spans="1:14">
      <c r="A241" s="24"/>
      <c r="B241" s="24"/>
      <c r="C241" s="25"/>
      <c r="D241" s="24"/>
      <c r="E241" s="26" t="str">
        <f>IFERROR(VLOOKUP(D241,'04_Master Karyawan'!$A$5:$F$50,2,FALSE),"")</f>
        <v/>
      </c>
      <c r="F241" s="24"/>
      <c r="G241" s="26" t="str">
        <f>IFERROR(VLOOKUP(F241,'05_Master KPI'!$B$5:$G$100,2,FALSE)&amp;" ("&amp;VLOOKUP(F241,'05_Master KPI'!$B$5:$G$100,3,FALSE)&amp;")","")</f>
        <v/>
      </c>
      <c r="H241" s="26">
        <f>IFERROR(IF(B241&lt;&gt;'06_Target KPI'!$B$3,0,IF(VLOOKUP(F241,'05_Master KPI'!$B$5:$G$100,6,FALSE)="Kumulatif",INDEX('06_Target KPI'!$E$5:$P$100,MATCH(F241,'06_Target KPI'!$B$5:$B$100,0),MATCH(A241,'06_Target KPI'!$E$4:$P$4,0))*DAY(C241)/DAY(EOMONTH(C241,0)),INDEX('06_Target KPI'!$E$5:$P$100,MATCH(F241,'06_Target KPI'!$B$5:$B$100,0),MATCH(A241,'06_Target KPI'!$E$4:$P$4,0)))),0)</f>
        <v>0</v>
      </c>
      <c r="I241" s="24"/>
      <c r="J241" s="27">
        <f>IFERROR(MIN(IF(VLOOKUP(F241,'05_Master KPI'!$B$5:$G$100,5,FALSE)="Lower",H241/I241,I241/H241),1),0)</f>
        <v>0</v>
      </c>
      <c r="K241" s="26">
        <f>IFERROR(VLOOKUP(F241,'05_Master KPI'!$B$5:$G$100,4,FALSE),0)</f>
        <v>0</v>
      </c>
      <c r="L241" s="28">
        <f t="shared" si="3"/>
        <v>0</v>
      </c>
      <c r="M241" s="26" t="str">
        <f>IF(D241="","",IF(J241&gt;='13_Setting'!$H$7,"Tercapai",IF(J241&gt;='13_Setting'!$H$6,"On Track","Tertinggal")))</f>
        <v/>
      </c>
      <c r="N241" s="24"/>
    </row>
    <row r="242" spans="1:14">
      <c r="A242" s="24"/>
      <c r="B242" s="24"/>
      <c r="C242" s="25"/>
      <c r="D242" s="24"/>
      <c r="E242" s="26" t="str">
        <f>IFERROR(VLOOKUP(D242,'04_Master Karyawan'!$A$5:$F$50,2,FALSE),"")</f>
        <v/>
      </c>
      <c r="F242" s="24"/>
      <c r="G242" s="26" t="str">
        <f>IFERROR(VLOOKUP(F242,'05_Master KPI'!$B$5:$G$100,2,FALSE)&amp;" ("&amp;VLOOKUP(F242,'05_Master KPI'!$B$5:$G$100,3,FALSE)&amp;")","")</f>
        <v/>
      </c>
      <c r="H242" s="26">
        <f>IFERROR(IF(B242&lt;&gt;'06_Target KPI'!$B$3,0,IF(VLOOKUP(F242,'05_Master KPI'!$B$5:$G$100,6,FALSE)="Kumulatif",INDEX('06_Target KPI'!$E$5:$P$100,MATCH(F242,'06_Target KPI'!$B$5:$B$100,0),MATCH(A242,'06_Target KPI'!$E$4:$P$4,0))*DAY(C242)/DAY(EOMONTH(C242,0)),INDEX('06_Target KPI'!$E$5:$P$100,MATCH(F242,'06_Target KPI'!$B$5:$B$100,0),MATCH(A242,'06_Target KPI'!$E$4:$P$4,0)))),0)</f>
        <v>0</v>
      </c>
      <c r="I242" s="24"/>
      <c r="J242" s="27">
        <f>IFERROR(MIN(IF(VLOOKUP(F242,'05_Master KPI'!$B$5:$G$100,5,FALSE)="Lower",H242/I242,I242/H242),1),0)</f>
        <v>0</v>
      </c>
      <c r="K242" s="26">
        <f>IFERROR(VLOOKUP(F242,'05_Master KPI'!$B$5:$G$100,4,FALSE),0)</f>
        <v>0</v>
      </c>
      <c r="L242" s="28">
        <f t="shared" si="3"/>
        <v>0</v>
      </c>
      <c r="M242" s="26" t="str">
        <f>IF(D242="","",IF(J242&gt;='13_Setting'!$H$7,"Tercapai",IF(J242&gt;='13_Setting'!$H$6,"On Track","Tertinggal")))</f>
        <v/>
      </c>
      <c r="N242" s="24"/>
    </row>
    <row r="243" spans="1:14">
      <c r="A243" s="24"/>
      <c r="B243" s="24"/>
      <c r="C243" s="25"/>
      <c r="D243" s="24"/>
      <c r="E243" s="26" t="str">
        <f>IFERROR(VLOOKUP(D243,'04_Master Karyawan'!$A$5:$F$50,2,FALSE),"")</f>
        <v/>
      </c>
      <c r="F243" s="24"/>
      <c r="G243" s="26" t="str">
        <f>IFERROR(VLOOKUP(F243,'05_Master KPI'!$B$5:$G$100,2,FALSE)&amp;" ("&amp;VLOOKUP(F243,'05_Master KPI'!$B$5:$G$100,3,FALSE)&amp;")","")</f>
        <v/>
      </c>
      <c r="H243" s="26">
        <f>IFERROR(IF(B243&lt;&gt;'06_Target KPI'!$B$3,0,IF(VLOOKUP(F243,'05_Master KPI'!$B$5:$G$100,6,FALSE)="Kumulatif",INDEX('06_Target KPI'!$E$5:$P$100,MATCH(F243,'06_Target KPI'!$B$5:$B$100,0),MATCH(A243,'06_Target KPI'!$E$4:$P$4,0))*DAY(C243)/DAY(EOMONTH(C243,0)),INDEX('06_Target KPI'!$E$5:$P$100,MATCH(F243,'06_Target KPI'!$B$5:$B$100,0),MATCH(A243,'06_Target KPI'!$E$4:$P$4,0)))),0)</f>
        <v>0</v>
      </c>
      <c r="I243" s="24"/>
      <c r="J243" s="27">
        <f>IFERROR(MIN(IF(VLOOKUP(F243,'05_Master KPI'!$B$5:$G$100,5,FALSE)="Lower",H243/I243,I243/H243),1),0)</f>
        <v>0</v>
      </c>
      <c r="K243" s="26">
        <f>IFERROR(VLOOKUP(F243,'05_Master KPI'!$B$5:$G$100,4,FALSE),0)</f>
        <v>0</v>
      </c>
      <c r="L243" s="28">
        <f t="shared" si="3"/>
        <v>0</v>
      </c>
      <c r="M243" s="26" t="str">
        <f>IF(D243="","",IF(J243&gt;='13_Setting'!$H$7,"Tercapai",IF(J243&gt;='13_Setting'!$H$6,"On Track","Tertinggal")))</f>
        <v/>
      </c>
      <c r="N243" s="24"/>
    </row>
    <row r="244" spans="1:14">
      <c r="A244" s="24"/>
      <c r="B244" s="24"/>
      <c r="C244" s="25"/>
      <c r="D244" s="24"/>
      <c r="E244" s="26" t="str">
        <f>IFERROR(VLOOKUP(D244,'04_Master Karyawan'!$A$5:$F$50,2,FALSE),"")</f>
        <v/>
      </c>
      <c r="F244" s="24"/>
      <c r="G244" s="26" t="str">
        <f>IFERROR(VLOOKUP(F244,'05_Master KPI'!$B$5:$G$100,2,FALSE)&amp;" ("&amp;VLOOKUP(F244,'05_Master KPI'!$B$5:$G$100,3,FALSE)&amp;")","")</f>
        <v/>
      </c>
      <c r="H244" s="26">
        <f>IFERROR(IF(B244&lt;&gt;'06_Target KPI'!$B$3,0,IF(VLOOKUP(F244,'05_Master KPI'!$B$5:$G$100,6,FALSE)="Kumulatif",INDEX('06_Target KPI'!$E$5:$P$100,MATCH(F244,'06_Target KPI'!$B$5:$B$100,0),MATCH(A244,'06_Target KPI'!$E$4:$P$4,0))*DAY(C244)/DAY(EOMONTH(C244,0)),INDEX('06_Target KPI'!$E$5:$P$100,MATCH(F244,'06_Target KPI'!$B$5:$B$100,0),MATCH(A244,'06_Target KPI'!$E$4:$P$4,0)))),0)</f>
        <v>0</v>
      </c>
      <c r="I244" s="24"/>
      <c r="J244" s="27">
        <f>IFERROR(MIN(IF(VLOOKUP(F244,'05_Master KPI'!$B$5:$G$100,5,FALSE)="Lower",H244/I244,I244/H244),1),0)</f>
        <v>0</v>
      </c>
      <c r="K244" s="26">
        <f>IFERROR(VLOOKUP(F244,'05_Master KPI'!$B$5:$G$100,4,FALSE),0)</f>
        <v>0</v>
      </c>
      <c r="L244" s="28">
        <f t="shared" si="3"/>
        <v>0</v>
      </c>
      <c r="M244" s="26" t="str">
        <f>IF(D244="","",IF(J244&gt;='13_Setting'!$H$7,"Tercapai",IF(J244&gt;='13_Setting'!$H$6,"On Track","Tertinggal")))</f>
        <v/>
      </c>
      <c r="N244" s="24"/>
    </row>
    <row r="245" spans="1:14">
      <c r="A245" s="24"/>
      <c r="B245" s="24"/>
      <c r="C245" s="25"/>
      <c r="D245" s="24"/>
      <c r="E245" s="26" t="str">
        <f>IFERROR(VLOOKUP(D245,'04_Master Karyawan'!$A$5:$F$50,2,FALSE),"")</f>
        <v/>
      </c>
      <c r="F245" s="24"/>
      <c r="G245" s="26" t="str">
        <f>IFERROR(VLOOKUP(F245,'05_Master KPI'!$B$5:$G$100,2,FALSE)&amp;" ("&amp;VLOOKUP(F245,'05_Master KPI'!$B$5:$G$100,3,FALSE)&amp;")","")</f>
        <v/>
      </c>
      <c r="H245" s="26">
        <f>IFERROR(IF(B245&lt;&gt;'06_Target KPI'!$B$3,0,IF(VLOOKUP(F245,'05_Master KPI'!$B$5:$G$100,6,FALSE)="Kumulatif",INDEX('06_Target KPI'!$E$5:$P$100,MATCH(F245,'06_Target KPI'!$B$5:$B$100,0),MATCH(A245,'06_Target KPI'!$E$4:$P$4,0))*DAY(C245)/DAY(EOMONTH(C245,0)),INDEX('06_Target KPI'!$E$5:$P$100,MATCH(F245,'06_Target KPI'!$B$5:$B$100,0),MATCH(A245,'06_Target KPI'!$E$4:$P$4,0)))),0)</f>
        <v>0</v>
      </c>
      <c r="I245" s="24"/>
      <c r="J245" s="27">
        <f>IFERROR(MIN(IF(VLOOKUP(F245,'05_Master KPI'!$B$5:$G$100,5,FALSE)="Lower",H245/I245,I245/H245),1),0)</f>
        <v>0</v>
      </c>
      <c r="K245" s="26">
        <f>IFERROR(VLOOKUP(F245,'05_Master KPI'!$B$5:$G$100,4,FALSE),0)</f>
        <v>0</v>
      </c>
      <c r="L245" s="28">
        <f t="shared" si="3"/>
        <v>0</v>
      </c>
      <c r="M245" s="26" t="str">
        <f>IF(D245="","",IF(J245&gt;='13_Setting'!$H$7,"Tercapai",IF(J245&gt;='13_Setting'!$H$6,"On Track","Tertinggal")))</f>
        <v/>
      </c>
      <c r="N245" s="24"/>
    </row>
    <row r="246" spans="1:14">
      <c r="A246" s="24"/>
      <c r="B246" s="24"/>
      <c r="C246" s="25"/>
      <c r="D246" s="24"/>
      <c r="E246" s="26" t="str">
        <f>IFERROR(VLOOKUP(D246,'04_Master Karyawan'!$A$5:$F$50,2,FALSE),"")</f>
        <v/>
      </c>
      <c r="F246" s="24"/>
      <c r="G246" s="26" t="str">
        <f>IFERROR(VLOOKUP(F246,'05_Master KPI'!$B$5:$G$100,2,FALSE)&amp;" ("&amp;VLOOKUP(F246,'05_Master KPI'!$B$5:$G$100,3,FALSE)&amp;")","")</f>
        <v/>
      </c>
      <c r="H246" s="26">
        <f>IFERROR(IF(B246&lt;&gt;'06_Target KPI'!$B$3,0,IF(VLOOKUP(F246,'05_Master KPI'!$B$5:$G$100,6,FALSE)="Kumulatif",INDEX('06_Target KPI'!$E$5:$P$100,MATCH(F246,'06_Target KPI'!$B$5:$B$100,0),MATCH(A246,'06_Target KPI'!$E$4:$P$4,0))*DAY(C246)/DAY(EOMONTH(C246,0)),INDEX('06_Target KPI'!$E$5:$P$100,MATCH(F246,'06_Target KPI'!$B$5:$B$100,0),MATCH(A246,'06_Target KPI'!$E$4:$P$4,0)))),0)</f>
        <v>0</v>
      </c>
      <c r="I246" s="24"/>
      <c r="J246" s="27">
        <f>IFERROR(MIN(IF(VLOOKUP(F246,'05_Master KPI'!$B$5:$G$100,5,FALSE)="Lower",H246/I246,I246/H246),1),0)</f>
        <v>0</v>
      </c>
      <c r="K246" s="26">
        <f>IFERROR(VLOOKUP(F246,'05_Master KPI'!$B$5:$G$100,4,FALSE),0)</f>
        <v>0</v>
      </c>
      <c r="L246" s="28">
        <f t="shared" si="3"/>
        <v>0</v>
      </c>
      <c r="M246" s="26" t="str">
        <f>IF(D246="","",IF(J246&gt;='13_Setting'!$H$7,"Tercapai",IF(J246&gt;='13_Setting'!$H$6,"On Track","Tertinggal")))</f>
        <v/>
      </c>
      <c r="N246" s="24"/>
    </row>
    <row r="247" spans="1:14">
      <c r="A247" s="24"/>
      <c r="B247" s="24"/>
      <c r="C247" s="25"/>
      <c r="D247" s="24"/>
      <c r="E247" s="26" t="str">
        <f>IFERROR(VLOOKUP(D247,'04_Master Karyawan'!$A$5:$F$50,2,FALSE),"")</f>
        <v/>
      </c>
      <c r="F247" s="24"/>
      <c r="G247" s="26" t="str">
        <f>IFERROR(VLOOKUP(F247,'05_Master KPI'!$B$5:$G$100,2,FALSE)&amp;" ("&amp;VLOOKUP(F247,'05_Master KPI'!$B$5:$G$100,3,FALSE)&amp;")","")</f>
        <v/>
      </c>
      <c r="H247" s="26">
        <f>IFERROR(IF(B247&lt;&gt;'06_Target KPI'!$B$3,0,IF(VLOOKUP(F247,'05_Master KPI'!$B$5:$G$100,6,FALSE)="Kumulatif",INDEX('06_Target KPI'!$E$5:$P$100,MATCH(F247,'06_Target KPI'!$B$5:$B$100,0),MATCH(A247,'06_Target KPI'!$E$4:$P$4,0))*DAY(C247)/DAY(EOMONTH(C247,0)),INDEX('06_Target KPI'!$E$5:$P$100,MATCH(F247,'06_Target KPI'!$B$5:$B$100,0),MATCH(A247,'06_Target KPI'!$E$4:$P$4,0)))),0)</f>
        <v>0</v>
      </c>
      <c r="I247" s="24"/>
      <c r="J247" s="27">
        <f>IFERROR(MIN(IF(VLOOKUP(F247,'05_Master KPI'!$B$5:$G$100,5,FALSE)="Lower",H247/I247,I247/H247),1),0)</f>
        <v>0</v>
      </c>
      <c r="K247" s="26">
        <f>IFERROR(VLOOKUP(F247,'05_Master KPI'!$B$5:$G$100,4,FALSE),0)</f>
        <v>0</v>
      </c>
      <c r="L247" s="28">
        <f t="shared" si="3"/>
        <v>0</v>
      </c>
      <c r="M247" s="26" t="str">
        <f>IF(D247="","",IF(J247&gt;='13_Setting'!$H$7,"Tercapai",IF(J247&gt;='13_Setting'!$H$6,"On Track","Tertinggal")))</f>
        <v/>
      </c>
      <c r="N247" s="24"/>
    </row>
    <row r="248" spans="1:14">
      <c r="A248" s="24"/>
      <c r="B248" s="24"/>
      <c r="C248" s="25"/>
      <c r="D248" s="24"/>
      <c r="E248" s="26" t="str">
        <f>IFERROR(VLOOKUP(D248,'04_Master Karyawan'!$A$5:$F$50,2,FALSE),"")</f>
        <v/>
      </c>
      <c r="F248" s="24"/>
      <c r="G248" s="26" t="str">
        <f>IFERROR(VLOOKUP(F248,'05_Master KPI'!$B$5:$G$100,2,FALSE)&amp;" ("&amp;VLOOKUP(F248,'05_Master KPI'!$B$5:$G$100,3,FALSE)&amp;")","")</f>
        <v/>
      </c>
      <c r="H248" s="26">
        <f>IFERROR(IF(B248&lt;&gt;'06_Target KPI'!$B$3,0,IF(VLOOKUP(F248,'05_Master KPI'!$B$5:$G$100,6,FALSE)="Kumulatif",INDEX('06_Target KPI'!$E$5:$P$100,MATCH(F248,'06_Target KPI'!$B$5:$B$100,0),MATCH(A248,'06_Target KPI'!$E$4:$P$4,0))*DAY(C248)/DAY(EOMONTH(C248,0)),INDEX('06_Target KPI'!$E$5:$P$100,MATCH(F248,'06_Target KPI'!$B$5:$B$100,0),MATCH(A248,'06_Target KPI'!$E$4:$P$4,0)))),0)</f>
        <v>0</v>
      </c>
      <c r="I248" s="24"/>
      <c r="J248" s="27">
        <f>IFERROR(MIN(IF(VLOOKUP(F248,'05_Master KPI'!$B$5:$G$100,5,FALSE)="Lower",H248/I248,I248/H248),1),0)</f>
        <v>0</v>
      </c>
      <c r="K248" s="26">
        <f>IFERROR(VLOOKUP(F248,'05_Master KPI'!$B$5:$G$100,4,FALSE),0)</f>
        <v>0</v>
      </c>
      <c r="L248" s="28">
        <f t="shared" si="3"/>
        <v>0</v>
      </c>
      <c r="M248" s="26" t="str">
        <f>IF(D248="","",IF(J248&gt;='13_Setting'!$H$7,"Tercapai",IF(J248&gt;='13_Setting'!$H$6,"On Track","Tertinggal")))</f>
        <v/>
      </c>
      <c r="N248" s="24"/>
    </row>
    <row r="249" spans="1:14">
      <c r="A249" s="24"/>
      <c r="B249" s="24"/>
      <c r="C249" s="25"/>
      <c r="D249" s="24"/>
      <c r="E249" s="26" t="str">
        <f>IFERROR(VLOOKUP(D249,'04_Master Karyawan'!$A$5:$F$50,2,FALSE),"")</f>
        <v/>
      </c>
      <c r="F249" s="24"/>
      <c r="G249" s="26" t="str">
        <f>IFERROR(VLOOKUP(F249,'05_Master KPI'!$B$5:$G$100,2,FALSE)&amp;" ("&amp;VLOOKUP(F249,'05_Master KPI'!$B$5:$G$100,3,FALSE)&amp;")","")</f>
        <v/>
      </c>
      <c r="H249" s="26">
        <f>IFERROR(IF(B249&lt;&gt;'06_Target KPI'!$B$3,0,IF(VLOOKUP(F249,'05_Master KPI'!$B$5:$G$100,6,FALSE)="Kumulatif",INDEX('06_Target KPI'!$E$5:$P$100,MATCH(F249,'06_Target KPI'!$B$5:$B$100,0),MATCH(A249,'06_Target KPI'!$E$4:$P$4,0))*DAY(C249)/DAY(EOMONTH(C249,0)),INDEX('06_Target KPI'!$E$5:$P$100,MATCH(F249,'06_Target KPI'!$B$5:$B$100,0),MATCH(A249,'06_Target KPI'!$E$4:$P$4,0)))),0)</f>
        <v>0</v>
      </c>
      <c r="I249" s="24"/>
      <c r="J249" s="27">
        <f>IFERROR(MIN(IF(VLOOKUP(F249,'05_Master KPI'!$B$5:$G$100,5,FALSE)="Lower",H249/I249,I249/H249),1),0)</f>
        <v>0</v>
      </c>
      <c r="K249" s="26">
        <f>IFERROR(VLOOKUP(F249,'05_Master KPI'!$B$5:$G$100,4,FALSE),0)</f>
        <v>0</v>
      </c>
      <c r="L249" s="28">
        <f t="shared" si="3"/>
        <v>0</v>
      </c>
      <c r="M249" s="26" t="str">
        <f>IF(D249="","",IF(J249&gt;='13_Setting'!$H$7,"Tercapai",IF(J249&gt;='13_Setting'!$H$6,"On Track","Tertinggal")))</f>
        <v/>
      </c>
      <c r="N249" s="24"/>
    </row>
    <row r="250" spans="1:14">
      <c r="A250" s="24"/>
      <c r="B250" s="24"/>
      <c r="C250" s="25"/>
      <c r="D250" s="24"/>
      <c r="E250" s="26" t="str">
        <f>IFERROR(VLOOKUP(D250,'04_Master Karyawan'!$A$5:$F$50,2,FALSE),"")</f>
        <v/>
      </c>
      <c r="F250" s="24"/>
      <c r="G250" s="26" t="str">
        <f>IFERROR(VLOOKUP(F250,'05_Master KPI'!$B$5:$G$100,2,FALSE)&amp;" ("&amp;VLOOKUP(F250,'05_Master KPI'!$B$5:$G$100,3,FALSE)&amp;")","")</f>
        <v/>
      </c>
      <c r="H250" s="26">
        <f>IFERROR(IF(B250&lt;&gt;'06_Target KPI'!$B$3,0,IF(VLOOKUP(F250,'05_Master KPI'!$B$5:$G$100,6,FALSE)="Kumulatif",INDEX('06_Target KPI'!$E$5:$P$100,MATCH(F250,'06_Target KPI'!$B$5:$B$100,0),MATCH(A250,'06_Target KPI'!$E$4:$P$4,0))*DAY(C250)/DAY(EOMONTH(C250,0)),INDEX('06_Target KPI'!$E$5:$P$100,MATCH(F250,'06_Target KPI'!$B$5:$B$100,0),MATCH(A250,'06_Target KPI'!$E$4:$P$4,0)))),0)</f>
        <v>0</v>
      </c>
      <c r="I250" s="24"/>
      <c r="J250" s="27">
        <f>IFERROR(MIN(IF(VLOOKUP(F250,'05_Master KPI'!$B$5:$G$100,5,FALSE)="Lower",H250/I250,I250/H250),1),0)</f>
        <v>0</v>
      </c>
      <c r="K250" s="26">
        <f>IFERROR(VLOOKUP(F250,'05_Master KPI'!$B$5:$G$100,4,FALSE),0)</f>
        <v>0</v>
      </c>
      <c r="L250" s="28">
        <f t="shared" si="3"/>
        <v>0</v>
      </c>
      <c r="M250" s="26" t="str">
        <f>IF(D250="","",IF(J250&gt;='13_Setting'!$H$7,"Tercapai",IF(J250&gt;='13_Setting'!$H$6,"On Track","Tertinggal")))</f>
        <v/>
      </c>
      <c r="N250" s="24"/>
    </row>
    <row r="251" spans="1:14">
      <c r="A251" s="24"/>
      <c r="B251" s="24"/>
      <c r="C251" s="25"/>
      <c r="D251" s="24"/>
      <c r="E251" s="26" t="str">
        <f>IFERROR(VLOOKUP(D251,'04_Master Karyawan'!$A$5:$F$50,2,FALSE),"")</f>
        <v/>
      </c>
      <c r="F251" s="24"/>
      <c r="G251" s="26" t="str">
        <f>IFERROR(VLOOKUP(F251,'05_Master KPI'!$B$5:$G$100,2,FALSE)&amp;" ("&amp;VLOOKUP(F251,'05_Master KPI'!$B$5:$G$100,3,FALSE)&amp;")","")</f>
        <v/>
      </c>
      <c r="H251" s="26">
        <f>IFERROR(IF(B251&lt;&gt;'06_Target KPI'!$B$3,0,IF(VLOOKUP(F251,'05_Master KPI'!$B$5:$G$100,6,FALSE)="Kumulatif",INDEX('06_Target KPI'!$E$5:$P$100,MATCH(F251,'06_Target KPI'!$B$5:$B$100,0),MATCH(A251,'06_Target KPI'!$E$4:$P$4,0))*DAY(C251)/DAY(EOMONTH(C251,0)),INDEX('06_Target KPI'!$E$5:$P$100,MATCH(F251,'06_Target KPI'!$B$5:$B$100,0),MATCH(A251,'06_Target KPI'!$E$4:$P$4,0)))),0)</f>
        <v>0</v>
      </c>
      <c r="I251" s="24"/>
      <c r="J251" s="27">
        <f>IFERROR(MIN(IF(VLOOKUP(F251,'05_Master KPI'!$B$5:$G$100,5,FALSE)="Lower",H251/I251,I251/H251),1),0)</f>
        <v>0</v>
      </c>
      <c r="K251" s="26">
        <f>IFERROR(VLOOKUP(F251,'05_Master KPI'!$B$5:$G$100,4,FALSE),0)</f>
        <v>0</v>
      </c>
      <c r="L251" s="28">
        <f t="shared" si="3"/>
        <v>0</v>
      </c>
      <c r="M251" s="26" t="str">
        <f>IF(D251="","",IF(J251&gt;='13_Setting'!$H$7,"Tercapai",IF(J251&gt;='13_Setting'!$H$6,"On Track","Tertinggal")))</f>
        <v/>
      </c>
      <c r="N251" s="24"/>
    </row>
    <row r="252" spans="1:14">
      <c r="A252" s="24"/>
      <c r="B252" s="24"/>
      <c r="C252" s="25"/>
      <c r="D252" s="24"/>
      <c r="E252" s="26" t="str">
        <f>IFERROR(VLOOKUP(D252,'04_Master Karyawan'!$A$5:$F$50,2,FALSE),"")</f>
        <v/>
      </c>
      <c r="F252" s="24"/>
      <c r="G252" s="26" t="str">
        <f>IFERROR(VLOOKUP(F252,'05_Master KPI'!$B$5:$G$100,2,FALSE)&amp;" ("&amp;VLOOKUP(F252,'05_Master KPI'!$B$5:$G$100,3,FALSE)&amp;")","")</f>
        <v/>
      </c>
      <c r="H252" s="26">
        <f>IFERROR(IF(B252&lt;&gt;'06_Target KPI'!$B$3,0,IF(VLOOKUP(F252,'05_Master KPI'!$B$5:$G$100,6,FALSE)="Kumulatif",INDEX('06_Target KPI'!$E$5:$P$100,MATCH(F252,'06_Target KPI'!$B$5:$B$100,0),MATCH(A252,'06_Target KPI'!$E$4:$P$4,0))*DAY(C252)/DAY(EOMONTH(C252,0)),INDEX('06_Target KPI'!$E$5:$P$100,MATCH(F252,'06_Target KPI'!$B$5:$B$100,0),MATCH(A252,'06_Target KPI'!$E$4:$P$4,0)))),0)</f>
        <v>0</v>
      </c>
      <c r="I252" s="24"/>
      <c r="J252" s="27">
        <f>IFERROR(MIN(IF(VLOOKUP(F252,'05_Master KPI'!$B$5:$G$100,5,FALSE)="Lower",H252/I252,I252/H252),1),0)</f>
        <v>0</v>
      </c>
      <c r="K252" s="26">
        <f>IFERROR(VLOOKUP(F252,'05_Master KPI'!$B$5:$G$100,4,FALSE),0)</f>
        <v>0</v>
      </c>
      <c r="L252" s="28">
        <f t="shared" si="3"/>
        <v>0</v>
      </c>
      <c r="M252" s="26" t="str">
        <f>IF(D252="","",IF(J252&gt;='13_Setting'!$H$7,"Tercapai",IF(J252&gt;='13_Setting'!$H$6,"On Track","Tertinggal")))</f>
        <v/>
      </c>
      <c r="N252" s="24"/>
    </row>
    <row r="253" spans="1:14">
      <c r="A253" s="24"/>
      <c r="B253" s="24"/>
      <c r="C253" s="25"/>
      <c r="D253" s="24"/>
      <c r="E253" s="26" t="str">
        <f>IFERROR(VLOOKUP(D253,'04_Master Karyawan'!$A$5:$F$50,2,FALSE),"")</f>
        <v/>
      </c>
      <c r="F253" s="24"/>
      <c r="G253" s="26" t="str">
        <f>IFERROR(VLOOKUP(F253,'05_Master KPI'!$B$5:$G$100,2,FALSE)&amp;" ("&amp;VLOOKUP(F253,'05_Master KPI'!$B$5:$G$100,3,FALSE)&amp;")","")</f>
        <v/>
      </c>
      <c r="H253" s="26">
        <f>IFERROR(IF(B253&lt;&gt;'06_Target KPI'!$B$3,0,IF(VLOOKUP(F253,'05_Master KPI'!$B$5:$G$100,6,FALSE)="Kumulatif",INDEX('06_Target KPI'!$E$5:$P$100,MATCH(F253,'06_Target KPI'!$B$5:$B$100,0),MATCH(A253,'06_Target KPI'!$E$4:$P$4,0))*DAY(C253)/DAY(EOMONTH(C253,0)),INDEX('06_Target KPI'!$E$5:$P$100,MATCH(F253,'06_Target KPI'!$B$5:$B$100,0),MATCH(A253,'06_Target KPI'!$E$4:$P$4,0)))),0)</f>
        <v>0</v>
      </c>
      <c r="I253" s="24"/>
      <c r="J253" s="27">
        <f>IFERROR(MIN(IF(VLOOKUP(F253,'05_Master KPI'!$B$5:$G$100,5,FALSE)="Lower",H253/I253,I253/H253),1),0)</f>
        <v>0</v>
      </c>
      <c r="K253" s="26">
        <f>IFERROR(VLOOKUP(F253,'05_Master KPI'!$B$5:$G$100,4,FALSE),0)</f>
        <v>0</v>
      </c>
      <c r="L253" s="28">
        <f t="shared" si="3"/>
        <v>0</v>
      </c>
      <c r="M253" s="26" t="str">
        <f>IF(D253="","",IF(J253&gt;='13_Setting'!$H$7,"Tercapai",IF(J253&gt;='13_Setting'!$H$6,"On Track","Tertinggal")))</f>
        <v/>
      </c>
      <c r="N253" s="24"/>
    </row>
    <row r="254" spans="1:14">
      <c r="A254" s="24"/>
      <c r="B254" s="24"/>
      <c r="C254" s="25"/>
      <c r="D254" s="24"/>
      <c r="E254" s="26" t="str">
        <f>IFERROR(VLOOKUP(D254,'04_Master Karyawan'!$A$5:$F$50,2,FALSE),"")</f>
        <v/>
      </c>
      <c r="F254" s="24"/>
      <c r="G254" s="26" t="str">
        <f>IFERROR(VLOOKUP(F254,'05_Master KPI'!$B$5:$G$100,2,FALSE)&amp;" ("&amp;VLOOKUP(F254,'05_Master KPI'!$B$5:$G$100,3,FALSE)&amp;")","")</f>
        <v/>
      </c>
      <c r="H254" s="26">
        <f>IFERROR(IF(B254&lt;&gt;'06_Target KPI'!$B$3,0,IF(VLOOKUP(F254,'05_Master KPI'!$B$5:$G$100,6,FALSE)="Kumulatif",INDEX('06_Target KPI'!$E$5:$P$100,MATCH(F254,'06_Target KPI'!$B$5:$B$100,0),MATCH(A254,'06_Target KPI'!$E$4:$P$4,0))*DAY(C254)/DAY(EOMONTH(C254,0)),INDEX('06_Target KPI'!$E$5:$P$100,MATCH(F254,'06_Target KPI'!$B$5:$B$100,0),MATCH(A254,'06_Target KPI'!$E$4:$P$4,0)))),0)</f>
        <v>0</v>
      </c>
      <c r="I254" s="24"/>
      <c r="J254" s="27">
        <f>IFERROR(MIN(IF(VLOOKUP(F254,'05_Master KPI'!$B$5:$G$100,5,FALSE)="Lower",H254/I254,I254/H254),1),0)</f>
        <v>0</v>
      </c>
      <c r="K254" s="26">
        <f>IFERROR(VLOOKUP(F254,'05_Master KPI'!$B$5:$G$100,4,FALSE),0)</f>
        <v>0</v>
      </c>
      <c r="L254" s="28">
        <f t="shared" si="3"/>
        <v>0</v>
      </c>
      <c r="M254" s="26" t="str">
        <f>IF(D254="","",IF(J254&gt;='13_Setting'!$H$7,"Tercapai",IF(J254&gt;='13_Setting'!$H$6,"On Track","Tertinggal")))</f>
        <v/>
      </c>
      <c r="N254" s="24"/>
    </row>
    <row r="255" spans="1:14">
      <c r="A255" s="24"/>
      <c r="B255" s="24"/>
      <c r="C255" s="25"/>
      <c r="D255" s="24"/>
      <c r="E255" s="26" t="str">
        <f>IFERROR(VLOOKUP(D255,'04_Master Karyawan'!$A$5:$F$50,2,FALSE),"")</f>
        <v/>
      </c>
      <c r="F255" s="24"/>
      <c r="G255" s="26" t="str">
        <f>IFERROR(VLOOKUP(F255,'05_Master KPI'!$B$5:$G$100,2,FALSE)&amp;" ("&amp;VLOOKUP(F255,'05_Master KPI'!$B$5:$G$100,3,FALSE)&amp;")","")</f>
        <v/>
      </c>
      <c r="H255" s="26">
        <f>IFERROR(IF(B255&lt;&gt;'06_Target KPI'!$B$3,0,IF(VLOOKUP(F255,'05_Master KPI'!$B$5:$G$100,6,FALSE)="Kumulatif",INDEX('06_Target KPI'!$E$5:$P$100,MATCH(F255,'06_Target KPI'!$B$5:$B$100,0),MATCH(A255,'06_Target KPI'!$E$4:$P$4,0))*DAY(C255)/DAY(EOMONTH(C255,0)),INDEX('06_Target KPI'!$E$5:$P$100,MATCH(F255,'06_Target KPI'!$B$5:$B$100,0),MATCH(A255,'06_Target KPI'!$E$4:$P$4,0)))),0)</f>
        <v>0</v>
      </c>
      <c r="I255" s="24"/>
      <c r="J255" s="27">
        <f>IFERROR(MIN(IF(VLOOKUP(F255,'05_Master KPI'!$B$5:$G$100,5,FALSE)="Lower",H255/I255,I255/H255),1),0)</f>
        <v>0</v>
      </c>
      <c r="K255" s="26">
        <f>IFERROR(VLOOKUP(F255,'05_Master KPI'!$B$5:$G$100,4,FALSE),0)</f>
        <v>0</v>
      </c>
      <c r="L255" s="28">
        <f t="shared" si="3"/>
        <v>0</v>
      </c>
      <c r="M255" s="26" t="str">
        <f>IF(D255="","",IF(J255&gt;='13_Setting'!$H$7,"Tercapai",IF(J255&gt;='13_Setting'!$H$6,"On Track","Tertinggal")))</f>
        <v/>
      </c>
      <c r="N255" s="24"/>
    </row>
    <row r="256" spans="1:14">
      <c r="A256" s="24"/>
      <c r="B256" s="24"/>
      <c r="C256" s="25"/>
      <c r="D256" s="24"/>
      <c r="E256" s="26" t="str">
        <f>IFERROR(VLOOKUP(D256,'04_Master Karyawan'!$A$5:$F$50,2,FALSE),"")</f>
        <v/>
      </c>
      <c r="F256" s="24"/>
      <c r="G256" s="26" t="str">
        <f>IFERROR(VLOOKUP(F256,'05_Master KPI'!$B$5:$G$100,2,FALSE)&amp;" ("&amp;VLOOKUP(F256,'05_Master KPI'!$B$5:$G$100,3,FALSE)&amp;")","")</f>
        <v/>
      </c>
      <c r="H256" s="26">
        <f>IFERROR(IF(B256&lt;&gt;'06_Target KPI'!$B$3,0,IF(VLOOKUP(F256,'05_Master KPI'!$B$5:$G$100,6,FALSE)="Kumulatif",INDEX('06_Target KPI'!$E$5:$P$100,MATCH(F256,'06_Target KPI'!$B$5:$B$100,0),MATCH(A256,'06_Target KPI'!$E$4:$P$4,0))*DAY(C256)/DAY(EOMONTH(C256,0)),INDEX('06_Target KPI'!$E$5:$P$100,MATCH(F256,'06_Target KPI'!$B$5:$B$100,0),MATCH(A256,'06_Target KPI'!$E$4:$P$4,0)))),0)</f>
        <v>0</v>
      </c>
      <c r="I256" s="24"/>
      <c r="J256" s="27">
        <f>IFERROR(MIN(IF(VLOOKUP(F256,'05_Master KPI'!$B$5:$G$100,5,FALSE)="Lower",H256/I256,I256/H256),1),0)</f>
        <v>0</v>
      </c>
      <c r="K256" s="26">
        <f>IFERROR(VLOOKUP(F256,'05_Master KPI'!$B$5:$G$100,4,FALSE),0)</f>
        <v>0</v>
      </c>
      <c r="L256" s="28">
        <f t="shared" si="3"/>
        <v>0</v>
      </c>
      <c r="M256" s="26" t="str">
        <f>IF(D256="","",IF(J256&gt;='13_Setting'!$H$7,"Tercapai",IF(J256&gt;='13_Setting'!$H$6,"On Track","Tertinggal")))</f>
        <v/>
      </c>
      <c r="N256" s="24"/>
    </row>
    <row r="257" spans="1:14">
      <c r="A257" s="24"/>
      <c r="B257" s="24"/>
      <c r="C257" s="25"/>
      <c r="D257" s="24"/>
      <c r="E257" s="26" t="str">
        <f>IFERROR(VLOOKUP(D257,'04_Master Karyawan'!$A$5:$F$50,2,FALSE),"")</f>
        <v/>
      </c>
      <c r="F257" s="24"/>
      <c r="G257" s="26" t="str">
        <f>IFERROR(VLOOKUP(F257,'05_Master KPI'!$B$5:$G$100,2,FALSE)&amp;" ("&amp;VLOOKUP(F257,'05_Master KPI'!$B$5:$G$100,3,FALSE)&amp;")","")</f>
        <v/>
      </c>
      <c r="H257" s="26">
        <f>IFERROR(IF(B257&lt;&gt;'06_Target KPI'!$B$3,0,IF(VLOOKUP(F257,'05_Master KPI'!$B$5:$G$100,6,FALSE)="Kumulatif",INDEX('06_Target KPI'!$E$5:$P$100,MATCH(F257,'06_Target KPI'!$B$5:$B$100,0),MATCH(A257,'06_Target KPI'!$E$4:$P$4,0))*DAY(C257)/DAY(EOMONTH(C257,0)),INDEX('06_Target KPI'!$E$5:$P$100,MATCH(F257,'06_Target KPI'!$B$5:$B$100,0),MATCH(A257,'06_Target KPI'!$E$4:$P$4,0)))),0)</f>
        <v>0</v>
      </c>
      <c r="I257" s="24"/>
      <c r="J257" s="27">
        <f>IFERROR(MIN(IF(VLOOKUP(F257,'05_Master KPI'!$B$5:$G$100,5,FALSE)="Lower",H257/I257,I257/H257),1),0)</f>
        <v>0</v>
      </c>
      <c r="K257" s="26">
        <f>IFERROR(VLOOKUP(F257,'05_Master KPI'!$B$5:$G$100,4,FALSE),0)</f>
        <v>0</v>
      </c>
      <c r="L257" s="28">
        <f t="shared" si="3"/>
        <v>0</v>
      </c>
      <c r="M257" s="26" t="str">
        <f>IF(D257="","",IF(J257&gt;='13_Setting'!$H$7,"Tercapai",IF(J257&gt;='13_Setting'!$H$6,"On Track","Tertinggal")))</f>
        <v/>
      </c>
      <c r="N257" s="24"/>
    </row>
    <row r="258" spans="1:14">
      <c r="A258" s="24"/>
      <c r="B258" s="24"/>
      <c r="C258" s="25"/>
      <c r="D258" s="24"/>
      <c r="E258" s="26" t="str">
        <f>IFERROR(VLOOKUP(D258,'04_Master Karyawan'!$A$5:$F$50,2,FALSE),"")</f>
        <v/>
      </c>
      <c r="F258" s="24"/>
      <c r="G258" s="26" t="str">
        <f>IFERROR(VLOOKUP(F258,'05_Master KPI'!$B$5:$G$100,2,FALSE)&amp;" ("&amp;VLOOKUP(F258,'05_Master KPI'!$B$5:$G$100,3,FALSE)&amp;")","")</f>
        <v/>
      </c>
      <c r="H258" s="26">
        <f>IFERROR(IF(B258&lt;&gt;'06_Target KPI'!$B$3,0,IF(VLOOKUP(F258,'05_Master KPI'!$B$5:$G$100,6,FALSE)="Kumulatif",INDEX('06_Target KPI'!$E$5:$P$100,MATCH(F258,'06_Target KPI'!$B$5:$B$100,0),MATCH(A258,'06_Target KPI'!$E$4:$P$4,0))*DAY(C258)/DAY(EOMONTH(C258,0)),INDEX('06_Target KPI'!$E$5:$P$100,MATCH(F258,'06_Target KPI'!$B$5:$B$100,0),MATCH(A258,'06_Target KPI'!$E$4:$P$4,0)))),0)</f>
        <v>0</v>
      </c>
      <c r="I258" s="24"/>
      <c r="J258" s="27">
        <f>IFERROR(MIN(IF(VLOOKUP(F258,'05_Master KPI'!$B$5:$G$100,5,FALSE)="Lower",H258/I258,I258/H258),1),0)</f>
        <v>0</v>
      </c>
      <c r="K258" s="26">
        <f>IFERROR(VLOOKUP(F258,'05_Master KPI'!$B$5:$G$100,4,FALSE),0)</f>
        <v>0</v>
      </c>
      <c r="L258" s="28">
        <f t="shared" si="3"/>
        <v>0</v>
      </c>
      <c r="M258" s="26" t="str">
        <f>IF(D258="","",IF(J258&gt;='13_Setting'!$H$7,"Tercapai",IF(J258&gt;='13_Setting'!$H$6,"On Track","Tertinggal")))</f>
        <v/>
      </c>
      <c r="N258" s="24"/>
    </row>
    <row r="259" spans="1:14">
      <c r="A259" s="24"/>
      <c r="B259" s="24"/>
      <c r="C259" s="25"/>
      <c r="D259" s="24"/>
      <c r="E259" s="26" t="str">
        <f>IFERROR(VLOOKUP(D259,'04_Master Karyawan'!$A$5:$F$50,2,FALSE),"")</f>
        <v/>
      </c>
      <c r="F259" s="24"/>
      <c r="G259" s="26" t="str">
        <f>IFERROR(VLOOKUP(F259,'05_Master KPI'!$B$5:$G$100,2,FALSE)&amp;" ("&amp;VLOOKUP(F259,'05_Master KPI'!$B$5:$G$100,3,FALSE)&amp;")","")</f>
        <v/>
      </c>
      <c r="H259" s="26">
        <f>IFERROR(IF(B259&lt;&gt;'06_Target KPI'!$B$3,0,IF(VLOOKUP(F259,'05_Master KPI'!$B$5:$G$100,6,FALSE)="Kumulatif",INDEX('06_Target KPI'!$E$5:$P$100,MATCH(F259,'06_Target KPI'!$B$5:$B$100,0),MATCH(A259,'06_Target KPI'!$E$4:$P$4,0))*DAY(C259)/DAY(EOMONTH(C259,0)),INDEX('06_Target KPI'!$E$5:$P$100,MATCH(F259,'06_Target KPI'!$B$5:$B$100,0),MATCH(A259,'06_Target KPI'!$E$4:$P$4,0)))),0)</f>
        <v>0</v>
      </c>
      <c r="I259" s="24"/>
      <c r="J259" s="27">
        <f>IFERROR(MIN(IF(VLOOKUP(F259,'05_Master KPI'!$B$5:$G$100,5,FALSE)="Lower",H259/I259,I259/H259),1),0)</f>
        <v>0</v>
      </c>
      <c r="K259" s="26">
        <f>IFERROR(VLOOKUP(F259,'05_Master KPI'!$B$5:$G$100,4,FALSE),0)</f>
        <v>0</v>
      </c>
      <c r="L259" s="28">
        <f t="shared" si="3"/>
        <v>0</v>
      </c>
      <c r="M259" s="26" t="str">
        <f>IF(D259="","",IF(J259&gt;='13_Setting'!$H$7,"Tercapai",IF(J259&gt;='13_Setting'!$H$6,"On Track","Tertinggal")))</f>
        <v/>
      </c>
      <c r="N259" s="24"/>
    </row>
    <row r="260" spans="1:14">
      <c r="A260" s="24"/>
      <c r="B260" s="24"/>
      <c r="C260" s="25"/>
      <c r="D260" s="24"/>
      <c r="E260" s="26" t="str">
        <f>IFERROR(VLOOKUP(D260,'04_Master Karyawan'!$A$5:$F$50,2,FALSE),"")</f>
        <v/>
      </c>
      <c r="F260" s="24"/>
      <c r="G260" s="26" t="str">
        <f>IFERROR(VLOOKUP(F260,'05_Master KPI'!$B$5:$G$100,2,FALSE)&amp;" ("&amp;VLOOKUP(F260,'05_Master KPI'!$B$5:$G$100,3,FALSE)&amp;")","")</f>
        <v/>
      </c>
      <c r="H260" s="26">
        <f>IFERROR(IF(B260&lt;&gt;'06_Target KPI'!$B$3,0,IF(VLOOKUP(F260,'05_Master KPI'!$B$5:$G$100,6,FALSE)="Kumulatif",INDEX('06_Target KPI'!$E$5:$P$100,MATCH(F260,'06_Target KPI'!$B$5:$B$100,0),MATCH(A260,'06_Target KPI'!$E$4:$P$4,0))*DAY(C260)/DAY(EOMONTH(C260,0)),INDEX('06_Target KPI'!$E$5:$P$100,MATCH(F260,'06_Target KPI'!$B$5:$B$100,0),MATCH(A260,'06_Target KPI'!$E$4:$P$4,0)))),0)</f>
        <v>0</v>
      </c>
      <c r="I260" s="24"/>
      <c r="J260" s="27">
        <f>IFERROR(MIN(IF(VLOOKUP(F260,'05_Master KPI'!$B$5:$G$100,5,FALSE)="Lower",H260/I260,I260/H260),1),0)</f>
        <v>0</v>
      </c>
      <c r="K260" s="26">
        <f>IFERROR(VLOOKUP(F260,'05_Master KPI'!$B$5:$G$100,4,FALSE),0)</f>
        <v>0</v>
      </c>
      <c r="L260" s="28">
        <f t="shared" si="3"/>
        <v>0</v>
      </c>
      <c r="M260" s="26" t="str">
        <f>IF(D260="","",IF(J260&gt;='13_Setting'!$H$7,"Tercapai",IF(J260&gt;='13_Setting'!$H$6,"On Track","Tertinggal")))</f>
        <v/>
      </c>
      <c r="N260" s="24"/>
    </row>
    <row r="261" spans="1:14">
      <c r="A261" s="24"/>
      <c r="B261" s="24"/>
      <c r="C261" s="25"/>
      <c r="D261" s="24"/>
      <c r="E261" s="26" t="str">
        <f>IFERROR(VLOOKUP(D261,'04_Master Karyawan'!$A$5:$F$50,2,FALSE),"")</f>
        <v/>
      </c>
      <c r="F261" s="24"/>
      <c r="G261" s="26" t="str">
        <f>IFERROR(VLOOKUP(F261,'05_Master KPI'!$B$5:$G$100,2,FALSE)&amp;" ("&amp;VLOOKUP(F261,'05_Master KPI'!$B$5:$G$100,3,FALSE)&amp;")","")</f>
        <v/>
      </c>
      <c r="H261" s="26">
        <f>IFERROR(IF(B261&lt;&gt;'06_Target KPI'!$B$3,0,IF(VLOOKUP(F261,'05_Master KPI'!$B$5:$G$100,6,FALSE)="Kumulatif",INDEX('06_Target KPI'!$E$5:$P$100,MATCH(F261,'06_Target KPI'!$B$5:$B$100,0),MATCH(A261,'06_Target KPI'!$E$4:$P$4,0))*DAY(C261)/DAY(EOMONTH(C261,0)),INDEX('06_Target KPI'!$E$5:$P$100,MATCH(F261,'06_Target KPI'!$B$5:$B$100,0),MATCH(A261,'06_Target KPI'!$E$4:$P$4,0)))),0)</f>
        <v>0</v>
      </c>
      <c r="I261" s="24"/>
      <c r="J261" s="27">
        <f>IFERROR(MIN(IF(VLOOKUP(F261,'05_Master KPI'!$B$5:$G$100,5,FALSE)="Lower",H261/I261,I261/H261),1),0)</f>
        <v>0</v>
      </c>
      <c r="K261" s="26">
        <f>IFERROR(VLOOKUP(F261,'05_Master KPI'!$B$5:$G$100,4,FALSE),0)</f>
        <v>0</v>
      </c>
      <c r="L261" s="28">
        <f t="shared" ref="L261:L304" si="4">J261*K261</f>
        <v>0</v>
      </c>
      <c r="M261" s="26" t="str">
        <f>IF(D261="","",IF(J261&gt;='13_Setting'!$H$7,"Tercapai",IF(J261&gt;='13_Setting'!$H$6,"On Track","Tertinggal")))</f>
        <v/>
      </c>
      <c r="N261" s="24"/>
    </row>
    <row r="262" spans="1:14">
      <c r="A262" s="24"/>
      <c r="B262" s="24"/>
      <c r="C262" s="25"/>
      <c r="D262" s="24"/>
      <c r="E262" s="26" t="str">
        <f>IFERROR(VLOOKUP(D262,'04_Master Karyawan'!$A$5:$F$50,2,FALSE),"")</f>
        <v/>
      </c>
      <c r="F262" s="24"/>
      <c r="G262" s="26" t="str">
        <f>IFERROR(VLOOKUP(F262,'05_Master KPI'!$B$5:$G$100,2,FALSE)&amp;" ("&amp;VLOOKUP(F262,'05_Master KPI'!$B$5:$G$100,3,FALSE)&amp;")","")</f>
        <v/>
      </c>
      <c r="H262" s="26">
        <f>IFERROR(IF(B262&lt;&gt;'06_Target KPI'!$B$3,0,IF(VLOOKUP(F262,'05_Master KPI'!$B$5:$G$100,6,FALSE)="Kumulatif",INDEX('06_Target KPI'!$E$5:$P$100,MATCH(F262,'06_Target KPI'!$B$5:$B$100,0),MATCH(A262,'06_Target KPI'!$E$4:$P$4,0))*DAY(C262)/DAY(EOMONTH(C262,0)),INDEX('06_Target KPI'!$E$5:$P$100,MATCH(F262,'06_Target KPI'!$B$5:$B$100,0),MATCH(A262,'06_Target KPI'!$E$4:$P$4,0)))),0)</f>
        <v>0</v>
      </c>
      <c r="I262" s="24"/>
      <c r="J262" s="27">
        <f>IFERROR(MIN(IF(VLOOKUP(F262,'05_Master KPI'!$B$5:$G$100,5,FALSE)="Lower",H262/I262,I262/H262),1),0)</f>
        <v>0</v>
      </c>
      <c r="K262" s="26">
        <f>IFERROR(VLOOKUP(F262,'05_Master KPI'!$B$5:$G$100,4,FALSE),0)</f>
        <v>0</v>
      </c>
      <c r="L262" s="28">
        <f t="shared" si="4"/>
        <v>0</v>
      </c>
      <c r="M262" s="26" t="str">
        <f>IF(D262="","",IF(J262&gt;='13_Setting'!$H$7,"Tercapai",IF(J262&gt;='13_Setting'!$H$6,"On Track","Tertinggal")))</f>
        <v/>
      </c>
      <c r="N262" s="24"/>
    </row>
    <row r="263" spans="1:14">
      <c r="A263" s="24"/>
      <c r="B263" s="24"/>
      <c r="C263" s="25"/>
      <c r="D263" s="24"/>
      <c r="E263" s="26" t="str">
        <f>IFERROR(VLOOKUP(D263,'04_Master Karyawan'!$A$5:$F$50,2,FALSE),"")</f>
        <v/>
      </c>
      <c r="F263" s="24"/>
      <c r="G263" s="26" t="str">
        <f>IFERROR(VLOOKUP(F263,'05_Master KPI'!$B$5:$G$100,2,FALSE)&amp;" ("&amp;VLOOKUP(F263,'05_Master KPI'!$B$5:$G$100,3,FALSE)&amp;")","")</f>
        <v/>
      </c>
      <c r="H263" s="26">
        <f>IFERROR(IF(B263&lt;&gt;'06_Target KPI'!$B$3,0,IF(VLOOKUP(F263,'05_Master KPI'!$B$5:$G$100,6,FALSE)="Kumulatif",INDEX('06_Target KPI'!$E$5:$P$100,MATCH(F263,'06_Target KPI'!$B$5:$B$100,0),MATCH(A263,'06_Target KPI'!$E$4:$P$4,0))*DAY(C263)/DAY(EOMONTH(C263,0)),INDEX('06_Target KPI'!$E$5:$P$100,MATCH(F263,'06_Target KPI'!$B$5:$B$100,0),MATCH(A263,'06_Target KPI'!$E$4:$P$4,0)))),0)</f>
        <v>0</v>
      </c>
      <c r="I263" s="24"/>
      <c r="J263" s="27">
        <f>IFERROR(MIN(IF(VLOOKUP(F263,'05_Master KPI'!$B$5:$G$100,5,FALSE)="Lower",H263/I263,I263/H263),1),0)</f>
        <v>0</v>
      </c>
      <c r="K263" s="26">
        <f>IFERROR(VLOOKUP(F263,'05_Master KPI'!$B$5:$G$100,4,FALSE),0)</f>
        <v>0</v>
      </c>
      <c r="L263" s="28">
        <f t="shared" si="4"/>
        <v>0</v>
      </c>
      <c r="M263" s="26" t="str">
        <f>IF(D263="","",IF(J263&gt;='13_Setting'!$H$7,"Tercapai",IF(J263&gt;='13_Setting'!$H$6,"On Track","Tertinggal")))</f>
        <v/>
      </c>
      <c r="N263" s="24"/>
    </row>
    <row r="264" spans="1:14">
      <c r="A264" s="24"/>
      <c r="B264" s="24"/>
      <c r="C264" s="25"/>
      <c r="D264" s="24"/>
      <c r="E264" s="26" t="str">
        <f>IFERROR(VLOOKUP(D264,'04_Master Karyawan'!$A$5:$F$50,2,FALSE),"")</f>
        <v/>
      </c>
      <c r="F264" s="24"/>
      <c r="G264" s="26" t="str">
        <f>IFERROR(VLOOKUP(F264,'05_Master KPI'!$B$5:$G$100,2,FALSE)&amp;" ("&amp;VLOOKUP(F264,'05_Master KPI'!$B$5:$G$100,3,FALSE)&amp;")","")</f>
        <v/>
      </c>
      <c r="H264" s="26">
        <f>IFERROR(IF(B264&lt;&gt;'06_Target KPI'!$B$3,0,IF(VLOOKUP(F264,'05_Master KPI'!$B$5:$G$100,6,FALSE)="Kumulatif",INDEX('06_Target KPI'!$E$5:$P$100,MATCH(F264,'06_Target KPI'!$B$5:$B$100,0),MATCH(A264,'06_Target KPI'!$E$4:$P$4,0))*DAY(C264)/DAY(EOMONTH(C264,0)),INDEX('06_Target KPI'!$E$5:$P$100,MATCH(F264,'06_Target KPI'!$B$5:$B$100,0),MATCH(A264,'06_Target KPI'!$E$4:$P$4,0)))),0)</f>
        <v>0</v>
      </c>
      <c r="I264" s="24"/>
      <c r="J264" s="27">
        <f>IFERROR(MIN(IF(VLOOKUP(F264,'05_Master KPI'!$B$5:$G$100,5,FALSE)="Lower",H264/I264,I264/H264),1),0)</f>
        <v>0</v>
      </c>
      <c r="K264" s="26">
        <f>IFERROR(VLOOKUP(F264,'05_Master KPI'!$B$5:$G$100,4,FALSE),0)</f>
        <v>0</v>
      </c>
      <c r="L264" s="28">
        <f t="shared" si="4"/>
        <v>0</v>
      </c>
      <c r="M264" s="26" t="str">
        <f>IF(D264="","",IF(J264&gt;='13_Setting'!$H$7,"Tercapai",IF(J264&gt;='13_Setting'!$H$6,"On Track","Tertinggal")))</f>
        <v/>
      </c>
      <c r="N264" s="24"/>
    </row>
    <row r="265" spans="1:14">
      <c r="A265" s="24"/>
      <c r="B265" s="24"/>
      <c r="C265" s="25"/>
      <c r="D265" s="24"/>
      <c r="E265" s="26" t="str">
        <f>IFERROR(VLOOKUP(D265,'04_Master Karyawan'!$A$5:$F$50,2,FALSE),"")</f>
        <v/>
      </c>
      <c r="F265" s="24"/>
      <c r="G265" s="26" t="str">
        <f>IFERROR(VLOOKUP(F265,'05_Master KPI'!$B$5:$G$100,2,FALSE)&amp;" ("&amp;VLOOKUP(F265,'05_Master KPI'!$B$5:$G$100,3,FALSE)&amp;")","")</f>
        <v/>
      </c>
      <c r="H265" s="26">
        <f>IFERROR(IF(B265&lt;&gt;'06_Target KPI'!$B$3,0,IF(VLOOKUP(F265,'05_Master KPI'!$B$5:$G$100,6,FALSE)="Kumulatif",INDEX('06_Target KPI'!$E$5:$P$100,MATCH(F265,'06_Target KPI'!$B$5:$B$100,0),MATCH(A265,'06_Target KPI'!$E$4:$P$4,0))*DAY(C265)/DAY(EOMONTH(C265,0)),INDEX('06_Target KPI'!$E$5:$P$100,MATCH(F265,'06_Target KPI'!$B$5:$B$100,0),MATCH(A265,'06_Target KPI'!$E$4:$P$4,0)))),0)</f>
        <v>0</v>
      </c>
      <c r="I265" s="24"/>
      <c r="J265" s="27">
        <f>IFERROR(MIN(IF(VLOOKUP(F265,'05_Master KPI'!$B$5:$G$100,5,FALSE)="Lower",H265/I265,I265/H265),1),0)</f>
        <v>0</v>
      </c>
      <c r="K265" s="26">
        <f>IFERROR(VLOOKUP(F265,'05_Master KPI'!$B$5:$G$100,4,FALSE),0)</f>
        <v>0</v>
      </c>
      <c r="L265" s="28">
        <f t="shared" si="4"/>
        <v>0</v>
      </c>
      <c r="M265" s="26" t="str">
        <f>IF(D265="","",IF(J265&gt;='13_Setting'!$H$7,"Tercapai",IF(J265&gt;='13_Setting'!$H$6,"On Track","Tertinggal")))</f>
        <v/>
      </c>
      <c r="N265" s="24"/>
    </row>
    <row r="266" spans="1:14">
      <c r="A266" s="24"/>
      <c r="B266" s="24"/>
      <c r="C266" s="25"/>
      <c r="D266" s="24"/>
      <c r="E266" s="26" t="str">
        <f>IFERROR(VLOOKUP(D266,'04_Master Karyawan'!$A$5:$F$50,2,FALSE),"")</f>
        <v/>
      </c>
      <c r="F266" s="24"/>
      <c r="G266" s="26" t="str">
        <f>IFERROR(VLOOKUP(F266,'05_Master KPI'!$B$5:$G$100,2,FALSE)&amp;" ("&amp;VLOOKUP(F266,'05_Master KPI'!$B$5:$G$100,3,FALSE)&amp;")","")</f>
        <v/>
      </c>
      <c r="H266" s="26">
        <f>IFERROR(IF(B266&lt;&gt;'06_Target KPI'!$B$3,0,IF(VLOOKUP(F266,'05_Master KPI'!$B$5:$G$100,6,FALSE)="Kumulatif",INDEX('06_Target KPI'!$E$5:$P$100,MATCH(F266,'06_Target KPI'!$B$5:$B$100,0),MATCH(A266,'06_Target KPI'!$E$4:$P$4,0))*DAY(C266)/DAY(EOMONTH(C266,0)),INDEX('06_Target KPI'!$E$5:$P$100,MATCH(F266,'06_Target KPI'!$B$5:$B$100,0),MATCH(A266,'06_Target KPI'!$E$4:$P$4,0)))),0)</f>
        <v>0</v>
      </c>
      <c r="I266" s="24"/>
      <c r="J266" s="27">
        <f>IFERROR(MIN(IF(VLOOKUP(F266,'05_Master KPI'!$B$5:$G$100,5,FALSE)="Lower",H266/I266,I266/H266),1),0)</f>
        <v>0</v>
      </c>
      <c r="K266" s="26">
        <f>IFERROR(VLOOKUP(F266,'05_Master KPI'!$B$5:$G$100,4,FALSE),0)</f>
        <v>0</v>
      </c>
      <c r="L266" s="28">
        <f t="shared" si="4"/>
        <v>0</v>
      </c>
      <c r="M266" s="26" t="str">
        <f>IF(D266="","",IF(J266&gt;='13_Setting'!$H$7,"Tercapai",IF(J266&gt;='13_Setting'!$H$6,"On Track","Tertinggal")))</f>
        <v/>
      </c>
      <c r="N266" s="24"/>
    </row>
    <row r="267" spans="1:14">
      <c r="A267" s="24"/>
      <c r="B267" s="24"/>
      <c r="C267" s="25"/>
      <c r="D267" s="24"/>
      <c r="E267" s="26" t="str">
        <f>IFERROR(VLOOKUP(D267,'04_Master Karyawan'!$A$5:$F$50,2,FALSE),"")</f>
        <v/>
      </c>
      <c r="F267" s="24"/>
      <c r="G267" s="26" t="str">
        <f>IFERROR(VLOOKUP(F267,'05_Master KPI'!$B$5:$G$100,2,FALSE)&amp;" ("&amp;VLOOKUP(F267,'05_Master KPI'!$B$5:$G$100,3,FALSE)&amp;")","")</f>
        <v/>
      </c>
      <c r="H267" s="26">
        <f>IFERROR(IF(B267&lt;&gt;'06_Target KPI'!$B$3,0,IF(VLOOKUP(F267,'05_Master KPI'!$B$5:$G$100,6,FALSE)="Kumulatif",INDEX('06_Target KPI'!$E$5:$P$100,MATCH(F267,'06_Target KPI'!$B$5:$B$100,0),MATCH(A267,'06_Target KPI'!$E$4:$P$4,0))*DAY(C267)/DAY(EOMONTH(C267,0)),INDEX('06_Target KPI'!$E$5:$P$100,MATCH(F267,'06_Target KPI'!$B$5:$B$100,0),MATCH(A267,'06_Target KPI'!$E$4:$P$4,0)))),0)</f>
        <v>0</v>
      </c>
      <c r="I267" s="24"/>
      <c r="J267" s="27">
        <f>IFERROR(MIN(IF(VLOOKUP(F267,'05_Master KPI'!$B$5:$G$100,5,FALSE)="Lower",H267/I267,I267/H267),1),0)</f>
        <v>0</v>
      </c>
      <c r="K267" s="26">
        <f>IFERROR(VLOOKUP(F267,'05_Master KPI'!$B$5:$G$100,4,FALSE),0)</f>
        <v>0</v>
      </c>
      <c r="L267" s="28">
        <f t="shared" si="4"/>
        <v>0</v>
      </c>
      <c r="M267" s="26" t="str">
        <f>IF(D267="","",IF(J267&gt;='13_Setting'!$H$7,"Tercapai",IF(J267&gt;='13_Setting'!$H$6,"On Track","Tertinggal")))</f>
        <v/>
      </c>
      <c r="N267" s="24"/>
    </row>
    <row r="268" spans="1:14">
      <c r="A268" s="24"/>
      <c r="B268" s="24"/>
      <c r="C268" s="25"/>
      <c r="D268" s="24"/>
      <c r="E268" s="26" t="str">
        <f>IFERROR(VLOOKUP(D268,'04_Master Karyawan'!$A$5:$F$50,2,FALSE),"")</f>
        <v/>
      </c>
      <c r="F268" s="24"/>
      <c r="G268" s="26" t="str">
        <f>IFERROR(VLOOKUP(F268,'05_Master KPI'!$B$5:$G$100,2,FALSE)&amp;" ("&amp;VLOOKUP(F268,'05_Master KPI'!$B$5:$G$100,3,FALSE)&amp;")","")</f>
        <v/>
      </c>
      <c r="H268" s="26">
        <f>IFERROR(IF(B268&lt;&gt;'06_Target KPI'!$B$3,0,IF(VLOOKUP(F268,'05_Master KPI'!$B$5:$G$100,6,FALSE)="Kumulatif",INDEX('06_Target KPI'!$E$5:$P$100,MATCH(F268,'06_Target KPI'!$B$5:$B$100,0),MATCH(A268,'06_Target KPI'!$E$4:$P$4,0))*DAY(C268)/DAY(EOMONTH(C268,0)),INDEX('06_Target KPI'!$E$5:$P$100,MATCH(F268,'06_Target KPI'!$B$5:$B$100,0),MATCH(A268,'06_Target KPI'!$E$4:$P$4,0)))),0)</f>
        <v>0</v>
      </c>
      <c r="I268" s="24"/>
      <c r="J268" s="27">
        <f>IFERROR(MIN(IF(VLOOKUP(F268,'05_Master KPI'!$B$5:$G$100,5,FALSE)="Lower",H268/I268,I268/H268),1),0)</f>
        <v>0</v>
      </c>
      <c r="K268" s="26">
        <f>IFERROR(VLOOKUP(F268,'05_Master KPI'!$B$5:$G$100,4,FALSE),0)</f>
        <v>0</v>
      </c>
      <c r="L268" s="28">
        <f t="shared" si="4"/>
        <v>0</v>
      </c>
      <c r="M268" s="26" t="str">
        <f>IF(D268="","",IF(J268&gt;='13_Setting'!$H$7,"Tercapai",IF(J268&gt;='13_Setting'!$H$6,"On Track","Tertinggal")))</f>
        <v/>
      </c>
      <c r="N268" s="24"/>
    </row>
    <row r="269" spans="1:14">
      <c r="A269" s="24"/>
      <c r="B269" s="24"/>
      <c r="C269" s="25"/>
      <c r="D269" s="24"/>
      <c r="E269" s="26" t="str">
        <f>IFERROR(VLOOKUP(D269,'04_Master Karyawan'!$A$5:$F$50,2,FALSE),"")</f>
        <v/>
      </c>
      <c r="F269" s="24"/>
      <c r="G269" s="26" t="str">
        <f>IFERROR(VLOOKUP(F269,'05_Master KPI'!$B$5:$G$100,2,FALSE)&amp;" ("&amp;VLOOKUP(F269,'05_Master KPI'!$B$5:$G$100,3,FALSE)&amp;")","")</f>
        <v/>
      </c>
      <c r="H269" s="26">
        <f>IFERROR(IF(B269&lt;&gt;'06_Target KPI'!$B$3,0,IF(VLOOKUP(F269,'05_Master KPI'!$B$5:$G$100,6,FALSE)="Kumulatif",INDEX('06_Target KPI'!$E$5:$P$100,MATCH(F269,'06_Target KPI'!$B$5:$B$100,0),MATCH(A269,'06_Target KPI'!$E$4:$P$4,0))*DAY(C269)/DAY(EOMONTH(C269,0)),INDEX('06_Target KPI'!$E$5:$P$100,MATCH(F269,'06_Target KPI'!$B$5:$B$100,0),MATCH(A269,'06_Target KPI'!$E$4:$P$4,0)))),0)</f>
        <v>0</v>
      </c>
      <c r="I269" s="24"/>
      <c r="J269" s="27">
        <f>IFERROR(MIN(IF(VLOOKUP(F269,'05_Master KPI'!$B$5:$G$100,5,FALSE)="Lower",H269/I269,I269/H269),1),0)</f>
        <v>0</v>
      </c>
      <c r="K269" s="26">
        <f>IFERROR(VLOOKUP(F269,'05_Master KPI'!$B$5:$G$100,4,FALSE),0)</f>
        <v>0</v>
      </c>
      <c r="L269" s="28">
        <f t="shared" si="4"/>
        <v>0</v>
      </c>
      <c r="M269" s="26" t="str">
        <f>IF(D269="","",IF(J269&gt;='13_Setting'!$H$7,"Tercapai",IF(J269&gt;='13_Setting'!$H$6,"On Track","Tertinggal")))</f>
        <v/>
      </c>
      <c r="N269" s="24"/>
    </row>
    <row r="270" spans="1:14">
      <c r="A270" s="24"/>
      <c r="B270" s="24"/>
      <c r="C270" s="25"/>
      <c r="D270" s="24"/>
      <c r="E270" s="26" t="str">
        <f>IFERROR(VLOOKUP(D270,'04_Master Karyawan'!$A$5:$F$50,2,FALSE),"")</f>
        <v/>
      </c>
      <c r="F270" s="24"/>
      <c r="G270" s="26" t="str">
        <f>IFERROR(VLOOKUP(F270,'05_Master KPI'!$B$5:$G$100,2,FALSE)&amp;" ("&amp;VLOOKUP(F270,'05_Master KPI'!$B$5:$G$100,3,FALSE)&amp;")","")</f>
        <v/>
      </c>
      <c r="H270" s="26">
        <f>IFERROR(IF(B270&lt;&gt;'06_Target KPI'!$B$3,0,IF(VLOOKUP(F270,'05_Master KPI'!$B$5:$G$100,6,FALSE)="Kumulatif",INDEX('06_Target KPI'!$E$5:$P$100,MATCH(F270,'06_Target KPI'!$B$5:$B$100,0),MATCH(A270,'06_Target KPI'!$E$4:$P$4,0))*DAY(C270)/DAY(EOMONTH(C270,0)),INDEX('06_Target KPI'!$E$5:$P$100,MATCH(F270,'06_Target KPI'!$B$5:$B$100,0),MATCH(A270,'06_Target KPI'!$E$4:$P$4,0)))),0)</f>
        <v>0</v>
      </c>
      <c r="I270" s="24"/>
      <c r="J270" s="27">
        <f>IFERROR(MIN(IF(VLOOKUP(F270,'05_Master KPI'!$B$5:$G$100,5,FALSE)="Lower",H270/I270,I270/H270),1),0)</f>
        <v>0</v>
      </c>
      <c r="K270" s="26">
        <f>IFERROR(VLOOKUP(F270,'05_Master KPI'!$B$5:$G$100,4,FALSE),0)</f>
        <v>0</v>
      </c>
      <c r="L270" s="28">
        <f t="shared" si="4"/>
        <v>0</v>
      </c>
      <c r="M270" s="26" t="str">
        <f>IF(D270="","",IF(J270&gt;='13_Setting'!$H$7,"Tercapai",IF(J270&gt;='13_Setting'!$H$6,"On Track","Tertinggal")))</f>
        <v/>
      </c>
      <c r="N270" s="24"/>
    </row>
    <row r="271" spans="1:14">
      <c r="A271" s="24"/>
      <c r="B271" s="24"/>
      <c r="C271" s="25"/>
      <c r="D271" s="24"/>
      <c r="E271" s="26" t="str">
        <f>IFERROR(VLOOKUP(D271,'04_Master Karyawan'!$A$5:$F$50,2,FALSE),"")</f>
        <v/>
      </c>
      <c r="F271" s="24"/>
      <c r="G271" s="26" t="str">
        <f>IFERROR(VLOOKUP(F271,'05_Master KPI'!$B$5:$G$100,2,FALSE)&amp;" ("&amp;VLOOKUP(F271,'05_Master KPI'!$B$5:$G$100,3,FALSE)&amp;")","")</f>
        <v/>
      </c>
      <c r="H271" s="26">
        <f>IFERROR(IF(B271&lt;&gt;'06_Target KPI'!$B$3,0,IF(VLOOKUP(F271,'05_Master KPI'!$B$5:$G$100,6,FALSE)="Kumulatif",INDEX('06_Target KPI'!$E$5:$P$100,MATCH(F271,'06_Target KPI'!$B$5:$B$100,0),MATCH(A271,'06_Target KPI'!$E$4:$P$4,0))*DAY(C271)/DAY(EOMONTH(C271,0)),INDEX('06_Target KPI'!$E$5:$P$100,MATCH(F271,'06_Target KPI'!$B$5:$B$100,0),MATCH(A271,'06_Target KPI'!$E$4:$P$4,0)))),0)</f>
        <v>0</v>
      </c>
      <c r="I271" s="24"/>
      <c r="J271" s="27">
        <f>IFERROR(MIN(IF(VLOOKUP(F271,'05_Master KPI'!$B$5:$G$100,5,FALSE)="Lower",H271/I271,I271/H271),1),0)</f>
        <v>0</v>
      </c>
      <c r="K271" s="26">
        <f>IFERROR(VLOOKUP(F271,'05_Master KPI'!$B$5:$G$100,4,FALSE),0)</f>
        <v>0</v>
      </c>
      <c r="L271" s="28">
        <f t="shared" si="4"/>
        <v>0</v>
      </c>
      <c r="M271" s="26" t="str">
        <f>IF(D271="","",IF(J271&gt;='13_Setting'!$H$7,"Tercapai",IF(J271&gt;='13_Setting'!$H$6,"On Track","Tertinggal")))</f>
        <v/>
      </c>
      <c r="N271" s="24"/>
    </row>
    <row r="272" spans="1:14">
      <c r="A272" s="24"/>
      <c r="B272" s="24"/>
      <c r="C272" s="25"/>
      <c r="D272" s="24"/>
      <c r="E272" s="26" t="str">
        <f>IFERROR(VLOOKUP(D272,'04_Master Karyawan'!$A$5:$F$50,2,FALSE),"")</f>
        <v/>
      </c>
      <c r="F272" s="24"/>
      <c r="G272" s="26" t="str">
        <f>IFERROR(VLOOKUP(F272,'05_Master KPI'!$B$5:$G$100,2,FALSE)&amp;" ("&amp;VLOOKUP(F272,'05_Master KPI'!$B$5:$G$100,3,FALSE)&amp;")","")</f>
        <v/>
      </c>
      <c r="H272" s="26">
        <f>IFERROR(IF(B272&lt;&gt;'06_Target KPI'!$B$3,0,IF(VLOOKUP(F272,'05_Master KPI'!$B$5:$G$100,6,FALSE)="Kumulatif",INDEX('06_Target KPI'!$E$5:$P$100,MATCH(F272,'06_Target KPI'!$B$5:$B$100,0),MATCH(A272,'06_Target KPI'!$E$4:$P$4,0))*DAY(C272)/DAY(EOMONTH(C272,0)),INDEX('06_Target KPI'!$E$5:$P$100,MATCH(F272,'06_Target KPI'!$B$5:$B$100,0),MATCH(A272,'06_Target KPI'!$E$4:$P$4,0)))),0)</f>
        <v>0</v>
      </c>
      <c r="I272" s="24"/>
      <c r="J272" s="27">
        <f>IFERROR(MIN(IF(VLOOKUP(F272,'05_Master KPI'!$B$5:$G$100,5,FALSE)="Lower",H272/I272,I272/H272),1),0)</f>
        <v>0</v>
      </c>
      <c r="K272" s="26">
        <f>IFERROR(VLOOKUP(F272,'05_Master KPI'!$B$5:$G$100,4,FALSE),0)</f>
        <v>0</v>
      </c>
      <c r="L272" s="28">
        <f t="shared" si="4"/>
        <v>0</v>
      </c>
      <c r="M272" s="26" t="str">
        <f>IF(D272="","",IF(J272&gt;='13_Setting'!$H$7,"Tercapai",IF(J272&gt;='13_Setting'!$H$6,"On Track","Tertinggal")))</f>
        <v/>
      </c>
      <c r="N272" s="24"/>
    </row>
    <row r="273" spans="1:14">
      <c r="A273" s="24"/>
      <c r="B273" s="24"/>
      <c r="C273" s="25"/>
      <c r="D273" s="24"/>
      <c r="E273" s="26" t="str">
        <f>IFERROR(VLOOKUP(D273,'04_Master Karyawan'!$A$5:$F$50,2,FALSE),"")</f>
        <v/>
      </c>
      <c r="F273" s="24"/>
      <c r="G273" s="26" t="str">
        <f>IFERROR(VLOOKUP(F273,'05_Master KPI'!$B$5:$G$100,2,FALSE)&amp;" ("&amp;VLOOKUP(F273,'05_Master KPI'!$B$5:$G$100,3,FALSE)&amp;")","")</f>
        <v/>
      </c>
      <c r="H273" s="26">
        <f>IFERROR(IF(B273&lt;&gt;'06_Target KPI'!$B$3,0,IF(VLOOKUP(F273,'05_Master KPI'!$B$5:$G$100,6,FALSE)="Kumulatif",INDEX('06_Target KPI'!$E$5:$P$100,MATCH(F273,'06_Target KPI'!$B$5:$B$100,0),MATCH(A273,'06_Target KPI'!$E$4:$P$4,0))*DAY(C273)/DAY(EOMONTH(C273,0)),INDEX('06_Target KPI'!$E$5:$P$100,MATCH(F273,'06_Target KPI'!$B$5:$B$100,0),MATCH(A273,'06_Target KPI'!$E$4:$P$4,0)))),0)</f>
        <v>0</v>
      </c>
      <c r="I273" s="24"/>
      <c r="J273" s="27">
        <f>IFERROR(MIN(IF(VLOOKUP(F273,'05_Master KPI'!$B$5:$G$100,5,FALSE)="Lower",H273/I273,I273/H273),1),0)</f>
        <v>0</v>
      </c>
      <c r="K273" s="26">
        <f>IFERROR(VLOOKUP(F273,'05_Master KPI'!$B$5:$G$100,4,FALSE),0)</f>
        <v>0</v>
      </c>
      <c r="L273" s="28">
        <f t="shared" si="4"/>
        <v>0</v>
      </c>
      <c r="M273" s="26" t="str">
        <f>IF(D273="","",IF(J273&gt;='13_Setting'!$H$7,"Tercapai",IF(J273&gt;='13_Setting'!$H$6,"On Track","Tertinggal")))</f>
        <v/>
      </c>
      <c r="N273" s="24"/>
    </row>
    <row r="274" spans="1:14">
      <c r="A274" s="24"/>
      <c r="B274" s="24"/>
      <c r="C274" s="25"/>
      <c r="D274" s="24"/>
      <c r="E274" s="26" t="str">
        <f>IFERROR(VLOOKUP(D274,'04_Master Karyawan'!$A$5:$F$50,2,FALSE),"")</f>
        <v/>
      </c>
      <c r="F274" s="24"/>
      <c r="G274" s="26" t="str">
        <f>IFERROR(VLOOKUP(F274,'05_Master KPI'!$B$5:$G$100,2,FALSE)&amp;" ("&amp;VLOOKUP(F274,'05_Master KPI'!$B$5:$G$100,3,FALSE)&amp;")","")</f>
        <v/>
      </c>
      <c r="H274" s="26">
        <f>IFERROR(IF(B274&lt;&gt;'06_Target KPI'!$B$3,0,IF(VLOOKUP(F274,'05_Master KPI'!$B$5:$G$100,6,FALSE)="Kumulatif",INDEX('06_Target KPI'!$E$5:$P$100,MATCH(F274,'06_Target KPI'!$B$5:$B$100,0),MATCH(A274,'06_Target KPI'!$E$4:$P$4,0))*DAY(C274)/DAY(EOMONTH(C274,0)),INDEX('06_Target KPI'!$E$5:$P$100,MATCH(F274,'06_Target KPI'!$B$5:$B$100,0),MATCH(A274,'06_Target KPI'!$E$4:$P$4,0)))),0)</f>
        <v>0</v>
      </c>
      <c r="I274" s="24"/>
      <c r="J274" s="27">
        <f>IFERROR(MIN(IF(VLOOKUP(F274,'05_Master KPI'!$B$5:$G$100,5,FALSE)="Lower",H274/I274,I274/H274),1),0)</f>
        <v>0</v>
      </c>
      <c r="K274" s="26">
        <f>IFERROR(VLOOKUP(F274,'05_Master KPI'!$B$5:$G$100,4,FALSE),0)</f>
        <v>0</v>
      </c>
      <c r="L274" s="28">
        <f t="shared" si="4"/>
        <v>0</v>
      </c>
      <c r="M274" s="26" t="str">
        <f>IF(D274="","",IF(J274&gt;='13_Setting'!$H$7,"Tercapai",IF(J274&gt;='13_Setting'!$H$6,"On Track","Tertinggal")))</f>
        <v/>
      </c>
      <c r="N274" s="24"/>
    </row>
    <row r="275" spans="1:14">
      <c r="A275" s="24"/>
      <c r="B275" s="24"/>
      <c r="C275" s="25"/>
      <c r="D275" s="24"/>
      <c r="E275" s="26" t="str">
        <f>IFERROR(VLOOKUP(D275,'04_Master Karyawan'!$A$5:$F$50,2,FALSE),"")</f>
        <v/>
      </c>
      <c r="F275" s="24"/>
      <c r="G275" s="26" t="str">
        <f>IFERROR(VLOOKUP(F275,'05_Master KPI'!$B$5:$G$100,2,FALSE)&amp;" ("&amp;VLOOKUP(F275,'05_Master KPI'!$B$5:$G$100,3,FALSE)&amp;")","")</f>
        <v/>
      </c>
      <c r="H275" s="26">
        <f>IFERROR(IF(B275&lt;&gt;'06_Target KPI'!$B$3,0,IF(VLOOKUP(F275,'05_Master KPI'!$B$5:$G$100,6,FALSE)="Kumulatif",INDEX('06_Target KPI'!$E$5:$P$100,MATCH(F275,'06_Target KPI'!$B$5:$B$100,0),MATCH(A275,'06_Target KPI'!$E$4:$P$4,0))*DAY(C275)/DAY(EOMONTH(C275,0)),INDEX('06_Target KPI'!$E$5:$P$100,MATCH(F275,'06_Target KPI'!$B$5:$B$100,0),MATCH(A275,'06_Target KPI'!$E$4:$P$4,0)))),0)</f>
        <v>0</v>
      </c>
      <c r="I275" s="24"/>
      <c r="J275" s="27">
        <f>IFERROR(MIN(IF(VLOOKUP(F275,'05_Master KPI'!$B$5:$G$100,5,FALSE)="Lower",H275/I275,I275/H275),1),0)</f>
        <v>0</v>
      </c>
      <c r="K275" s="26">
        <f>IFERROR(VLOOKUP(F275,'05_Master KPI'!$B$5:$G$100,4,FALSE),0)</f>
        <v>0</v>
      </c>
      <c r="L275" s="28">
        <f t="shared" si="4"/>
        <v>0</v>
      </c>
      <c r="M275" s="26" t="str">
        <f>IF(D275="","",IF(J275&gt;='13_Setting'!$H$7,"Tercapai",IF(J275&gt;='13_Setting'!$H$6,"On Track","Tertinggal")))</f>
        <v/>
      </c>
      <c r="N275" s="24"/>
    </row>
    <row r="276" spans="1:14">
      <c r="A276" s="24"/>
      <c r="B276" s="24"/>
      <c r="C276" s="25"/>
      <c r="D276" s="24"/>
      <c r="E276" s="26" t="str">
        <f>IFERROR(VLOOKUP(D276,'04_Master Karyawan'!$A$5:$F$50,2,FALSE),"")</f>
        <v/>
      </c>
      <c r="F276" s="24"/>
      <c r="G276" s="26" t="str">
        <f>IFERROR(VLOOKUP(F276,'05_Master KPI'!$B$5:$G$100,2,FALSE)&amp;" ("&amp;VLOOKUP(F276,'05_Master KPI'!$B$5:$G$100,3,FALSE)&amp;")","")</f>
        <v/>
      </c>
      <c r="H276" s="26">
        <f>IFERROR(IF(B276&lt;&gt;'06_Target KPI'!$B$3,0,IF(VLOOKUP(F276,'05_Master KPI'!$B$5:$G$100,6,FALSE)="Kumulatif",INDEX('06_Target KPI'!$E$5:$P$100,MATCH(F276,'06_Target KPI'!$B$5:$B$100,0),MATCH(A276,'06_Target KPI'!$E$4:$P$4,0))*DAY(C276)/DAY(EOMONTH(C276,0)),INDEX('06_Target KPI'!$E$5:$P$100,MATCH(F276,'06_Target KPI'!$B$5:$B$100,0),MATCH(A276,'06_Target KPI'!$E$4:$P$4,0)))),0)</f>
        <v>0</v>
      </c>
      <c r="I276" s="24"/>
      <c r="J276" s="27">
        <f>IFERROR(MIN(IF(VLOOKUP(F276,'05_Master KPI'!$B$5:$G$100,5,FALSE)="Lower",H276/I276,I276/H276),1),0)</f>
        <v>0</v>
      </c>
      <c r="K276" s="26">
        <f>IFERROR(VLOOKUP(F276,'05_Master KPI'!$B$5:$G$100,4,FALSE),0)</f>
        <v>0</v>
      </c>
      <c r="L276" s="28">
        <f t="shared" si="4"/>
        <v>0</v>
      </c>
      <c r="M276" s="26" t="str">
        <f>IF(D276="","",IF(J276&gt;='13_Setting'!$H$7,"Tercapai",IF(J276&gt;='13_Setting'!$H$6,"On Track","Tertinggal")))</f>
        <v/>
      </c>
      <c r="N276" s="24"/>
    </row>
    <row r="277" spans="1:14">
      <c r="A277" s="24"/>
      <c r="B277" s="24"/>
      <c r="C277" s="25"/>
      <c r="D277" s="24"/>
      <c r="E277" s="26" t="str">
        <f>IFERROR(VLOOKUP(D277,'04_Master Karyawan'!$A$5:$F$50,2,FALSE),"")</f>
        <v/>
      </c>
      <c r="F277" s="24"/>
      <c r="G277" s="26" t="str">
        <f>IFERROR(VLOOKUP(F277,'05_Master KPI'!$B$5:$G$100,2,FALSE)&amp;" ("&amp;VLOOKUP(F277,'05_Master KPI'!$B$5:$G$100,3,FALSE)&amp;")","")</f>
        <v/>
      </c>
      <c r="H277" s="26">
        <f>IFERROR(IF(B277&lt;&gt;'06_Target KPI'!$B$3,0,IF(VLOOKUP(F277,'05_Master KPI'!$B$5:$G$100,6,FALSE)="Kumulatif",INDEX('06_Target KPI'!$E$5:$P$100,MATCH(F277,'06_Target KPI'!$B$5:$B$100,0),MATCH(A277,'06_Target KPI'!$E$4:$P$4,0))*DAY(C277)/DAY(EOMONTH(C277,0)),INDEX('06_Target KPI'!$E$5:$P$100,MATCH(F277,'06_Target KPI'!$B$5:$B$100,0),MATCH(A277,'06_Target KPI'!$E$4:$P$4,0)))),0)</f>
        <v>0</v>
      </c>
      <c r="I277" s="24"/>
      <c r="J277" s="27">
        <f>IFERROR(MIN(IF(VLOOKUP(F277,'05_Master KPI'!$B$5:$G$100,5,FALSE)="Lower",H277/I277,I277/H277),1),0)</f>
        <v>0</v>
      </c>
      <c r="K277" s="26">
        <f>IFERROR(VLOOKUP(F277,'05_Master KPI'!$B$5:$G$100,4,FALSE),0)</f>
        <v>0</v>
      </c>
      <c r="L277" s="28">
        <f t="shared" si="4"/>
        <v>0</v>
      </c>
      <c r="M277" s="26" t="str">
        <f>IF(D277="","",IF(J277&gt;='13_Setting'!$H$7,"Tercapai",IF(J277&gt;='13_Setting'!$H$6,"On Track","Tertinggal")))</f>
        <v/>
      </c>
      <c r="N277" s="24"/>
    </row>
    <row r="278" spans="1:14">
      <c r="A278" s="24"/>
      <c r="B278" s="24"/>
      <c r="C278" s="25"/>
      <c r="D278" s="24"/>
      <c r="E278" s="26" t="str">
        <f>IFERROR(VLOOKUP(D278,'04_Master Karyawan'!$A$5:$F$50,2,FALSE),"")</f>
        <v/>
      </c>
      <c r="F278" s="24"/>
      <c r="G278" s="26" t="str">
        <f>IFERROR(VLOOKUP(F278,'05_Master KPI'!$B$5:$G$100,2,FALSE)&amp;" ("&amp;VLOOKUP(F278,'05_Master KPI'!$B$5:$G$100,3,FALSE)&amp;")","")</f>
        <v/>
      </c>
      <c r="H278" s="26">
        <f>IFERROR(IF(B278&lt;&gt;'06_Target KPI'!$B$3,0,IF(VLOOKUP(F278,'05_Master KPI'!$B$5:$G$100,6,FALSE)="Kumulatif",INDEX('06_Target KPI'!$E$5:$P$100,MATCH(F278,'06_Target KPI'!$B$5:$B$100,0),MATCH(A278,'06_Target KPI'!$E$4:$P$4,0))*DAY(C278)/DAY(EOMONTH(C278,0)),INDEX('06_Target KPI'!$E$5:$P$100,MATCH(F278,'06_Target KPI'!$B$5:$B$100,0),MATCH(A278,'06_Target KPI'!$E$4:$P$4,0)))),0)</f>
        <v>0</v>
      </c>
      <c r="I278" s="24"/>
      <c r="J278" s="27">
        <f>IFERROR(MIN(IF(VLOOKUP(F278,'05_Master KPI'!$B$5:$G$100,5,FALSE)="Lower",H278/I278,I278/H278),1),0)</f>
        <v>0</v>
      </c>
      <c r="K278" s="26">
        <f>IFERROR(VLOOKUP(F278,'05_Master KPI'!$B$5:$G$100,4,FALSE),0)</f>
        <v>0</v>
      </c>
      <c r="L278" s="28">
        <f t="shared" si="4"/>
        <v>0</v>
      </c>
      <c r="M278" s="26" t="str">
        <f>IF(D278="","",IF(J278&gt;='13_Setting'!$H$7,"Tercapai",IF(J278&gt;='13_Setting'!$H$6,"On Track","Tertinggal")))</f>
        <v/>
      </c>
      <c r="N278" s="24"/>
    </row>
    <row r="279" spans="1:14">
      <c r="A279" s="24"/>
      <c r="B279" s="24"/>
      <c r="C279" s="25"/>
      <c r="D279" s="24"/>
      <c r="E279" s="26" t="str">
        <f>IFERROR(VLOOKUP(D279,'04_Master Karyawan'!$A$5:$F$50,2,FALSE),"")</f>
        <v/>
      </c>
      <c r="F279" s="24"/>
      <c r="G279" s="26" t="str">
        <f>IFERROR(VLOOKUP(F279,'05_Master KPI'!$B$5:$G$100,2,FALSE)&amp;" ("&amp;VLOOKUP(F279,'05_Master KPI'!$B$5:$G$100,3,FALSE)&amp;")","")</f>
        <v/>
      </c>
      <c r="H279" s="26">
        <f>IFERROR(IF(B279&lt;&gt;'06_Target KPI'!$B$3,0,IF(VLOOKUP(F279,'05_Master KPI'!$B$5:$G$100,6,FALSE)="Kumulatif",INDEX('06_Target KPI'!$E$5:$P$100,MATCH(F279,'06_Target KPI'!$B$5:$B$100,0),MATCH(A279,'06_Target KPI'!$E$4:$P$4,0))*DAY(C279)/DAY(EOMONTH(C279,0)),INDEX('06_Target KPI'!$E$5:$P$100,MATCH(F279,'06_Target KPI'!$B$5:$B$100,0),MATCH(A279,'06_Target KPI'!$E$4:$P$4,0)))),0)</f>
        <v>0</v>
      </c>
      <c r="I279" s="24"/>
      <c r="J279" s="27">
        <f>IFERROR(MIN(IF(VLOOKUP(F279,'05_Master KPI'!$B$5:$G$100,5,FALSE)="Lower",H279/I279,I279/H279),1),0)</f>
        <v>0</v>
      </c>
      <c r="K279" s="26">
        <f>IFERROR(VLOOKUP(F279,'05_Master KPI'!$B$5:$G$100,4,FALSE),0)</f>
        <v>0</v>
      </c>
      <c r="L279" s="28">
        <f t="shared" si="4"/>
        <v>0</v>
      </c>
      <c r="M279" s="26" t="str">
        <f>IF(D279="","",IF(J279&gt;='13_Setting'!$H$7,"Tercapai",IF(J279&gt;='13_Setting'!$H$6,"On Track","Tertinggal")))</f>
        <v/>
      </c>
      <c r="N279" s="24"/>
    </row>
    <row r="280" spans="1:14">
      <c r="A280" s="24"/>
      <c r="B280" s="24"/>
      <c r="C280" s="25"/>
      <c r="D280" s="24"/>
      <c r="E280" s="26" t="str">
        <f>IFERROR(VLOOKUP(D280,'04_Master Karyawan'!$A$5:$F$50,2,FALSE),"")</f>
        <v/>
      </c>
      <c r="F280" s="24"/>
      <c r="G280" s="26" t="str">
        <f>IFERROR(VLOOKUP(F280,'05_Master KPI'!$B$5:$G$100,2,FALSE)&amp;" ("&amp;VLOOKUP(F280,'05_Master KPI'!$B$5:$G$100,3,FALSE)&amp;")","")</f>
        <v/>
      </c>
      <c r="H280" s="26">
        <f>IFERROR(IF(B280&lt;&gt;'06_Target KPI'!$B$3,0,IF(VLOOKUP(F280,'05_Master KPI'!$B$5:$G$100,6,FALSE)="Kumulatif",INDEX('06_Target KPI'!$E$5:$P$100,MATCH(F280,'06_Target KPI'!$B$5:$B$100,0),MATCH(A280,'06_Target KPI'!$E$4:$P$4,0))*DAY(C280)/DAY(EOMONTH(C280,0)),INDEX('06_Target KPI'!$E$5:$P$100,MATCH(F280,'06_Target KPI'!$B$5:$B$100,0),MATCH(A280,'06_Target KPI'!$E$4:$P$4,0)))),0)</f>
        <v>0</v>
      </c>
      <c r="I280" s="24"/>
      <c r="J280" s="27">
        <f>IFERROR(MIN(IF(VLOOKUP(F280,'05_Master KPI'!$B$5:$G$100,5,FALSE)="Lower",H280/I280,I280/H280),1),0)</f>
        <v>0</v>
      </c>
      <c r="K280" s="26">
        <f>IFERROR(VLOOKUP(F280,'05_Master KPI'!$B$5:$G$100,4,FALSE),0)</f>
        <v>0</v>
      </c>
      <c r="L280" s="28">
        <f t="shared" si="4"/>
        <v>0</v>
      </c>
      <c r="M280" s="26" t="str">
        <f>IF(D280="","",IF(J280&gt;='13_Setting'!$H$7,"Tercapai",IF(J280&gt;='13_Setting'!$H$6,"On Track","Tertinggal")))</f>
        <v/>
      </c>
      <c r="N280" s="24"/>
    </row>
    <row r="281" spans="1:14">
      <c r="A281" s="24"/>
      <c r="B281" s="24"/>
      <c r="C281" s="25"/>
      <c r="D281" s="24"/>
      <c r="E281" s="26" t="str">
        <f>IFERROR(VLOOKUP(D281,'04_Master Karyawan'!$A$5:$F$50,2,FALSE),"")</f>
        <v/>
      </c>
      <c r="F281" s="24"/>
      <c r="G281" s="26" t="str">
        <f>IFERROR(VLOOKUP(F281,'05_Master KPI'!$B$5:$G$100,2,FALSE)&amp;" ("&amp;VLOOKUP(F281,'05_Master KPI'!$B$5:$G$100,3,FALSE)&amp;")","")</f>
        <v/>
      </c>
      <c r="H281" s="26">
        <f>IFERROR(IF(B281&lt;&gt;'06_Target KPI'!$B$3,0,IF(VLOOKUP(F281,'05_Master KPI'!$B$5:$G$100,6,FALSE)="Kumulatif",INDEX('06_Target KPI'!$E$5:$P$100,MATCH(F281,'06_Target KPI'!$B$5:$B$100,0),MATCH(A281,'06_Target KPI'!$E$4:$P$4,0))*DAY(C281)/DAY(EOMONTH(C281,0)),INDEX('06_Target KPI'!$E$5:$P$100,MATCH(F281,'06_Target KPI'!$B$5:$B$100,0),MATCH(A281,'06_Target KPI'!$E$4:$P$4,0)))),0)</f>
        <v>0</v>
      </c>
      <c r="I281" s="24"/>
      <c r="J281" s="27">
        <f>IFERROR(MIN(IF(VLOOKUP(F281,'05_Master KPI'!$B$5:$G$100,5,FALSE)="Lower",H281/I281,I281/H281),1),0)</f>
        <v>0</v>
      </c>
      <c r="K281" s="26">
        <f>IFERROR(VLOOKUP(F281,'05_Master KPI'!$B$5:$G$100,4,FALSE),0)</f>
        <v>0</v>
      </c>
      <c r="L281" s="28">
        <f t="shared" si="4"/>
        <v>0</v>
      </c>
      <c r="M281" s="26" t="str">
        <f>IF(D281="","",IF(J281&gt;='13_Setting'!$H$7,"Tercapai",IF(J281&gt;='13_Setting'!$H$6,"On Track","Tertinggal")))</f>
        <v/>
      </c>
      <c r="N281" s="24"/>
    </row>
    <row r="282" spans="1:14">
      <c r="A282" s="24"/>
      <c r="B282" s="24"/>
      <c r="C282" s="25"/>
      <c r="D282" s="24"/>
      <c r="E282" s="26" t="str">
        <f>IFERROR(VLOOKUP(D282,'04_Master Karyawan'!$A$5:$F$50,2,FALSE),"")</f>
        <v/>
      </c>
      <c r="F282" s="24"/>
      <c r="G282" s="26" t="str">
        <f>IFERROR(VLOOKUP(F282,'05_Master KPI'!$B$5:$G$100,2,FALSE)&amp;" ("&amp;VLOOKUP(F282,'05_Master KPI'!$B$5:$G$100,3,FALSE)&amp;")","")</f>
        <v/>
      </c>
      <c r="H282" s="26">
        <f>IFERROR(IF(B282&lt;&gt;'06_Target KPI'!$B$3,0,IF(VLOOKUP(F282,'05_Master KPI'!$B$5:$G$100,6,FALSE)="Kumulatif",INDEX('06_Target KPI'!$E$5:$P$100,MATCH(F282,'06_Target KPI'!$B$5:$B$100,0),MATCH(A282,'06_Target KPI'!$E$4:$P$4,0))*DAY(C282)/DAY(EOMONTH(C282,0)),INDEX('06_Target KPI'!$E$5:$P$100,MATCH(F282,'06_Target KPI'!$B$5:$B$100,0),MATCH(A282,'06_Target KPI'!$E$4:$P$4,0)))),0)</f>
        <v>0</v>
      </c>
      <c r="I282" s="24"/>
      <c r="J282" s="27">
        <f>IFERROR(MIN(IF(VLOOKUP(F282,'05_Master KPI'!$B$5:$G$100,5,FALSE)="Lower",H282/I282,I282/H282),1),0)</f>
        <v>0</v>
      </c>
      <c r="K282" s="26">
        <f>IFERROR(VLOOKUP(F282,'05_Master KPI'!$B$5:$G$100,4,FALSE),0)</f>
        <v>0</v>
      </c>
      <c r="L282" s="28">
        <f t="shared" si="4"/>
        <v>0</v>
      </c>
      <c r="M282" s="26" t="str">
        <f>IF(D282="","",IF(J282&gt;='13_Setting'!$H$7,"Tercapai",IF(J282&gt;='13_Setting'!$H$6,"On Track","Tertinggal")))</f>
        <v/>
      </c>
      <c r="N282" s="24"/>
    </row>
    <row r="283" spans="1:14">
      <c r="A283" s="24"/>
      <c r="B283" s="24"/>
      <c r="C283" s="25"/>
      <c r="D283" s="24"/>
      <c r="E283" s="26" t="str">
        <f>IFERROR(VLOOKUP(D283,'04_Master Karyawan'!$A$5:$F$50,2,FALSE),"")</f>
        <v/>
      </c>
      <c r="F283" s="24"/>
      <c r="G283" s="26" t="str">
        <f>IFERROR(VLOOKUP(F283,'05_Master KPI'!$B$5:$G$100,2,FALSE)&amp;" ("&amp;VLOOKUP(F283,'05_Master KPI'!$B$5:$G$100,3,FALSE)&amp;")","")</f>
        <v/>
      </c>
      <c r="H283" s="26">
        <f>IFERROR(IF(B283&lt;&gt;'06_Target KPI'!$B$3,0,IF(VLOOKUP(F283,'05_Master KPI'!$B$5:$G$100,6,FALSE)="Kumulatif",INDEX('06_Target KPI'!$E$5:$P$100,MATCH(F283,'06_Target KPI'!$B$5:$B$100,0),MATCH(A283,'06_Target KPI'!$E$4:$P$4,0))*DAY(C283)/DAY(EOMONTH(C283,0)),INDEX('06_Target KPI'!$E$5:$P$100,MATCH(F283,'06_Target KPI'!$B$5:$B$100,0),MATCH(A283,'06_Target KPI'!$E$4:$P$4,0)))),0)</f>
        <v>0</v>
      </c>
      <c r="I283" s="24"/>
      <c r="J283" s="27">
        <f>IFERROR(MIN(IF(VLOOKUP(F283,'05_Master KPI'!$B$5:$G$100,5,FALSE)="Lower",H283/I283,I283/H283),1),0)</f>
        <v>0</v>
      </c>
      <c r="K283" s="26">
        <f>IFERROR(VLOOKUP(F283,'05_Master KPI'!$B$5:$G$100,4,FALSE),0)</f>
        <v>0</v>
      </c>
      <c r="L283" s="28">
        <f t="shared" si="4"/>
        <v>0</v>
      </c>
      <c r="M283" s="26" t="str">
        <f>IF(D283="","",IF(J283&gt;='13_Setting'!$H$7,"Tercapai",IF(J283&gt;='13_Setting'!$H$6,"On Track","Tertinggal")))</f>
        <v/>
      </c>
      <c r="N283" s="24"/>
    </row>
    <row r="284" spans="1:14">
      <c r="A284" s="24"/>
      <c r="B284" s="24"/>
      <c r="C284" s="25"/>
      <c r="D284" s="24"/>
      <c r="E284" s="26" t="str">
        <f>IFERROR(VLOOKUP(D284,'04_Master Karyawan'!$A$5:$F$50,2,FALSE),"")</f>
        <v/>
      </c>
      <c r="F284" s="24"/>
      <c r="G284" s="26" t="str">
        <f>IFERROR(VLOOKUP(F284,'05_Master KPI'!$B$5:$G$100,2,FALSE)&amp;" ("&amp;VLOOKUP(F284,'05_Master KPI'!$B$5:$G$100,3,FALSE)&amp;")","")</f>
        <v/>
      </c>
      <c r="H284" s="26">
        <f>IFERROR(IF(B284&lt;&gt;'06_Target KPI'!$B$3,0,IF(VLOOKUP(F284,'05_Master KPI'!$B$5:$G$100,6,FALSE)="Kumulatif",INDEX('06_Target KPI'!$E$5:$P$100,MATCH(F284,'06_Target KPI'!$B$5:$B$100,0),MATCH(A284,'06_Target KPI'!$E$4:$P$4,0))*DAY(C284)/DAY(EOMONTH(C284,0)),INDEX('06_Target KPI'!$E$5:$P$100,MATCH(F284,'06_Target KPI'!$B$5:$B$100,0),MATCH(A284,'06_Target KPI'!$E$4:$P$4,0)))),0)</f>
        <v>0</v>
      </c>
      <c r="I284" s="24"/>
      <c r="J284" s="27">
        <f>IFERROR(MIN(IF(VLOOKUP(F284,'05_Master KPI'!$B$5:$G$100,5,FALSE)="Lower",H284/I284,I284/H284),1),0)</f>
        <v>0</v>
      </c>
      <c r="K284" s="26">
        <f>IFERROR(VLOOKUP(F284,'05_Master KPI'!$B$5:$G$100,4,FALSE),0)</f>
        <v>0</v>
      </c>
      <c r="L284" s="28">
        <f t="shared" si="4"/>
        <v>0</v>
      </c>
      <c r="M284" s="26" t="str">
        <f>IF(D284="","",IF(J284&gt;='13_Setting'!$H$7,"Tercapai",IF(J284&gt;='13_Setting'!$H$6,"On Track","Tertinggal")))</f>
        <v/>
      </c>
      <c r="N284" s="24"/>
    </row>
    <row r="285" spans="1:14">
      <c r="A285" s="24"/>
      <c r="B285" s="24"/>
      <c r="C285" s="25"/>
      <c r="D285" s="24"/>
      <c r="E285" s="26" t="str">
        <f>IFERROR(VLOOKUP(D285,'04_Master Karyawan'!$A$5:$F$50,2,FALSE),"")</f>
        <v/>
      </c>
      <c r="F285" s="24"/>
      <c r="G285" s="26" t="str">
        <f>IFERROR(VLOOKUP(F285,'05_Master KPI'!$B$5:$G$100,2,FALSE)&amp;" ("&amp;VLOOKUP(F285,'05_Master KPI'!$B$5:$G$100,3,FALSE)&amp;")","")</f>
        <v/>
      </c>
      <c r="H285" s="26">
        <f>IFERROR(IF(B285&lt;&gt;'06_Target KPI'!$B$3,0,IF(VLOOKUP(F285,'05_Master KPI'!$B$5:$G$100,6,FALSE)="Kumulatif",INDEX('06_Target KPI'!$E$5:$P$100,MATCH(F285,'06_Target KPI'!$B$5:$B$100,0),MATCH(A285,'06_Target KPI'!$E$4:$P$4,0))*DAY(C285)/DAY(EOMONTH(C285,0)),INDEX('06_Target KPI'!$E$5:$P$100,MATCH(F285,'06_Target KPI'!$B$5:$B$100,0),MATCH(A285,'06_Target KPI'!$E$4:$P$4,0)))),0)</f>
        <v>0</v>
      </c>
      <c r="I285" s="24"/>
      <c r="J285" s="27">
        <f>IFERROR(MIN(IF(VLOOKUP(F285,'05_Master KPI'!$B$5:$G$100,5,FALSE)="Lower",H285/I285,I285/H285),1),0)</f>
        <v>0</v>
      </c>
      <c r="K285" s="26">
        <f>IFERROR(VLOOKUP(F285,'05_Master KPI'!$B$5:$G$100,4,FALSE),0)</f>
        <v>0</v>
      </c>
      <c r="L285" s="28">
        <f t="shared" si="4"/>
        <v>0</v>
      </c>
      <c r="M285" s="26" t="str">
        <f>IF(D285="","",IF(J285&gt;='13_Setting'!$H$7,"Tercapai",IF(J285&gt;='13_Setting'!$H$6,"On Track","Tertinggal")))</f>
        <v/>
      </c>
      <c r="N285" s="24"/>
    </row>
    <row r="286" spans="1:14">
      <c r="A286" s="24"/>
      <c r="B286" s="24"/>
      <c r="C286" s="25"/>
      <c r="D286" s="24"/>
      <c r="E286" s="26" t="str">
        <f>IFERROR(VLOOKUP(D286,'04_Master Karyawan'!$A$5:$F$50,2,FALSE),"")</f>
        <v/>
      </c>
      <c r="F286" s="24"/>
      <c r="G286" s="26" t="str">
        <f>IFERROR(VLOOKUP(F286,'05_Master KPI'!$B$5:$G$100,2,FALSE)&amp;" ("&amp;VLOOKUP(F286,'05_Master KPI'!$B$5:$G$100,3,FALSE)&amp;")","")</f>
        <v/>
      </c>
      <c r="H286" s="26">
        <f>IFERROR(IF(B286&lt;&gt;'06_Target KPI'!$B$3,0,IF(VLOOKUP(F286,'05_Master KPI'!$B$5:$G$100,6,FALSE)="Kumulatif",INDEX('06_Target KPI'!$E$5:$P$100,MATCH(F286,'06_Target KPI'!$B$5:$B$100,0),MATCH(A286,'06_Target KPI'!$E$4:$P$4,0))*DAY(C286)/DAY(EOMONTH(C286,0)),INDEX('06_Target KPI'!$E$5:$P$100,MATCH(F286,'06_Target KPI'!$B$5:$B$100,0),MATCH(A286,'06_Target KPI'!$E$4:$P$4,0)))),0)</f>
        <v>0</v>
      </c>
      <c r="I286" s="24"/>
      <c r="J286" s="27">
        <f>IFERROR(MIN(IF(VLOOKUP(F286,'05_Master KPI'!$B$5:$G$100,5,FALSE)="Lower",H286/I286,I286/H286),1),0)</f>
        <v>0</v>
      </c>
      <c r="K286" s="26">
        <f>IFERROR(VLOOKUP(F286,'05_Master KPI'!$B$5:$G$100,4,FALSE),0)</f>
        <v>0</v>
      </c>
      <c r="L286" s="28">
        <f t="shared" si="4"/>
        <v>0</v>
      </c>
      <c r="M286" s="26" t="str">
        <f>IF(D286="","",IF(J286&gt;='13_Setting'!$H$7,"Tercapai",IF(J286&gt;='13_Setting'!$H$6,"On Track","Tertinggal")))</f>
        <v/>
      </c>
      <c r="N286" s="24"/>
    </row>
    <row r="287" spans="1:14">
      <c r="A287" s="24"/>
      <c r="B287" s="24"/>
      <c r="C287" s="25"/>
      <c r="D287" s="24"/>
      <c r="E287" s="26" t="str">
        <f>IFERROR(VLOOKUP(D287,'04_Master Karyawan'!$A$5:$F$50,2,FALSE),"")</f>
        <v/>
      </c>
      <c r="F287" s="24"/>
      <c r="G287" s="26" t="str">
        <f>IFERROR(VLOOKUP(F287,'05_Master KPI'!$B$5:$G$100,2,FALSE)&amp;" ("&amp;VLOOKUP(F287,'05_Master KPI'!$B$5:$G$100,3,FALSE)&amp;")","")</f>
        <v/>
      </c>
      <c r="H287" s="26">
        <f>IFERROR(IF(B287&lt;&gt;'06_Target KPI'!$B$3,0,IF(VLOOKUP(F287,'05_Master KPI'!$B$5:$G$100,6,FALSE)="Kumulatif",INDEX('06_Target KPI'!$E$5:$P$100,MATCH(F287,'06_Target KPI'!$B$5:$B$100,0),MATCH(A287,'06_Target KPI'!$E$4:$P$4,0))*DAY(C287)/DAY(EOMONTH(C287,0)),INDEX('06_Target KPI'!$E$5:$P$100,MATCH(F287,'06_Target KPI'!$B$5:$B$100,0),MATCH(A287,'06_Target KPI'!$E$4:$P$4,0)))),0)</f>
        <v>0</v>
      </c>
      <c r="I287" s="24"/>
      <c r="J287" s="27">
        <f>IFERROR(MIN(IF(VLOOKUP(F287,'05_Master KPI'!$B$5:$G$100,5,FALSE)="Lower",H287/I287,I287/H287),1),0)</f>
        <v>0</v>
      </c>
      <c r="K287" s="26">
        <f>IFERROR(VLOOKUP(F287,'05_Master KPI'!$B$5:$G$100,4,FALSE),0)</f>
        <v>0</v>
      </c>
      <c r="L287" s="28">
        <f t="shared" si="4"/>
        <v>0</v>
      </c>
      <c r="M287" s="26" t="str">
        <f>IF(D287="","",IF(J287&gt;='13_Setting'!$H$7,"Tercapai",IF(J287&gt;='13_Setting'!$H$6,"On Track","Tertinggal")))</f>
        <v/>
      </c>
      <c r="N287" s="24"/>
    </row>
    <row r="288" spans="1:14">
      <c r="A288" s="24"/>
      <c r="B288" s="24"/>
      <c r="C288" s="25"/>
      <c r="D288" s="24"/>
      <c r="E288" s="26" t="str">
        <f>IFERROR(VLOOKUP(D288,'04_Master Karyawan'!$A$5:$F$50,2,FALSE),"")</f>
        <v/>
      </c>
      <c r="F288" s="24"/>
      <c r="G288" s="26" t="str">
        <f>IFERROR(VLOOKUP(F288,'05_Master KPI'!$B$5:$G$100,2,FALSE)&amp;" ("&amp;VLOOKUP(F288,'05_Master KPI'!$B$5:$G$100,3,FALSE)&amp;")","")</f>
        <v/>
      </c>
      <c r="H288" s="26">
        <f>IFERROR(IF(B288&lt;&gt;'06_Target KPI'!$B$3,0,IF(VLOOKUP(F288,'05_Master KPI'!$B$5:$G$100,6,FALSE)="Kumulatif",INDEX('06_Target KPI'!$E$5:$P$100,MATCH(F288,'06_Target KPI'!$B$5:$B$100,0),MATCH(A288,'06_Target KPI'!$E$4:$P$4,0))*DAY(C288)/DAY(EOMONTH(C288,0)),INDEX('06_Target KPI'!$E$5:$P$100,MATCH(F288,'06_Target KPI'!$B$5:$B$100,0),MATCH(A288,'06_Target KPI'!$E$4:$P$4,0)))),0)</f>
        <v>0</v>
      </c>
      <c r="I288" s="24"/>
      <c r="J288" s="27">
        <f>IFERROR(MIN(IF(VLOOKUP(F288,'05_Master KPI'!$B$5:$G$100,5,FALSE)="Lower",H288/I288,I288/H288),1),0)</f>
        <v>0</v>
      </c>
      <c r="K288" s="26">
        <f>IFERROR(VLOOKUP(F288,'05_Master KPI'!$B$5:$G$100,4,FALSE),0)</f>
        <v>0</v>
      </c>
      <c r="L288" s="28">
        <f t="shared" si="4"/>
        <v>0</v>
      </c>
      <c r="M288" s="26" t="str">
        <f>IF(D288="","",IF(J288&gt;='13_Setting'!$H$7,"Tercapai",IF(J288&gt;='13_Setting'!$H$6,"On Track","Tertinggal")))</f>
        <v/>
      </c>
      <c r="N288" s="24"/>
    </row>
    <row r="289" spans="1:14">
      <c r="A289" s="24"/>
      <c r="B289" s="24"/>
      <c r="C289" s="25"/>
      <c r="D289" s="24"/>
      <c r="E289" s="26" t="str">
        <f>IFERROR(VLOOKUP(D289,'04_Master Karyawan'!$A$5:$F$50,2,FALSE),"")</f>
        <v/>
      </c>
      <c r="F289" s="24"/>
      <c r="G289" s="26" t="str">
        <f>IFERROR(VLOOKUP(F289,'05_Master KPI'!$B$5:$G$100,2,FALSE)&amp;" ("&amp;VLOOKUP(F289,'05_Master KPI'!$B$5:$G$100,3,FALSE)&amp;")","")</f>
        <v/>
      </c>
      <c r="H289" s="26">
        <f>IFERROR(IF(B289&lt;&gt;'06_Target KPI'!$B$3,0,IF(VLOOKUP(F289,'05_Master KPI'!$B$5:$G$100,6,FALSE)="Kumulatif",INDEX('06_Target KPI'!$E$5:$P$100,MATCH(F289,'06_Target KPI'!$B$5:$B$100,0),MATCH(A289,'06_Target KPI'!$E$4:$P$4,0))*DAY(C289)/DAY(EOMONTH(C289,0)),INDEX('06_Target KPI'!$E$5:$P$100,MATCH(F289,'06_Target KPI'!$B$5:$B$100,0),MATCH(A289,'06_Target KPI'!$E$4:$P$4,0)))),0)</f>
        <v>0</v>
      </c>
      <c r="I289" s="24"/>
      <c r="J289" s="27">
        <f>IFERROR(MIN(IF(VLOOKUP(F289,'05_Master KPI'!$B$5:$G$100,5,FALSE)="Lower",H289/I289,I289/H289),1),0)</f>
        <v>0</v>
      </c>
      <c r="K289" s="26">
        <f>IFERROR(VLOOKUP(F289,'05_Master KPI'!$B$5:$G$100,4,FALSE),0)</f>
        <v>0</v>
      </c>
      <c r="L289" s="28">
        <f t="shared" si="4"/>
        <v>0</v>
      </c>
      <c r="M289" s="26" t="str">
        <f>IF(D289="","",IF(J289&gt;='13_Setting'!$H$7,"Tercapai",IF(J289&gt;='13_Setting'!$H$6,"On Track","Tertinggal")))</f>
        <v/>
      </c>
      <c r="N289" s="24"/>
    </row>
    <row r="290" spans="1:14">
      <c r="A290" s="24"/>
      <c r="B290" s="24"/>
      <c r="C290" s="25"/>
      <c r="D290" s="24"/>
      <c r="E290" s="26" t="str">
        <f>IFERROR(VLOOKUP(D290,'04_Master Karyawan'!$A$5:$F$50,2,FALSE),"")</f>
        <v/>
      </c>
      <c r="F290" s="24"/>
      <c r="G290" s="26" t="str">
        <f>IFERROR(VLOOKUP(F290,'05_Master KPI'!$B$5:$G$100,2,FALSE)&amp;" ("&amp;VLOOKUP(F290,'05_Master KPI'!$B$5:$G$100,3,FALSE)&amp;")","")</f>
        <v/>
      </c>
      <c r="H290" s="26">
        <f>IFERROR(IF(B290&lt;&gt;'06_Target KPI'!$B$3,0,IF(VLOOKUP(F290,'05_Master KPI'!$B$5:$G$100,6,FALSE)="Kumulatif",INDEX('06_Target KPI'!$E$5:$P$100,MATCH(F290,'06_Target KPI'!$B$5:$B$100,0),MATCH(A290,'06_Target KPI'!$E$4:$P$4,0))*DAY(C290)/DAY(EOMONTH(C290,0)),INDEX('06_Target KPI'!$E$5:$P$100,MATCH(F290,'06_Target KPI'!$B$5:$B$100,0),MATCH(A290,'06_Target KPI'!$E$4:$P$4,0)))),0)</f>
        <v>0</v>
      </c>
      <c r="I290" s="24"/>
      <c r="J290" s="27">
        <f>IFERROR(MIN(IF(VLOOKUP(F290,'05_Master KPI'!$B$5:$G$100,5,FALSE)="Lower",H290/I290,I290/H290),1),0)</f>
        <v>0</v>
      </c>
      <c r="K290" s="26">
        <f>IFERROR(VLOOKUP(F290,'05_Master KPI'!$B$5:$G$100,4,FALSE),0)</f>
        <v>0</v>
      </c>
      <c r="L290" s="28">
        <f t="shared" si="4"/>
        <v>0</v>
      </c>
      <c r="M290" s="26" t="str">
        <f>IF(D290="","",IF(J290&gt;='13_Setting'!$H$7,"Tercapai",IF(J290&gt;='13_Setting'!$H$6,"On Track","Tertinggal")))</f>
        <v/>
      </c>
      <c r="N290" s="24"/>
    </row>
    <row r="291" spans="1:14">
      <c r="A291" s="24"/>
      <c r="B291" s="24"/>
      <c r="C291" s="25"/>
      <c r="D291" s="24"/>
      <c r="E291" s="26" t="str">
        <f>IFERROR(VLOOKUP(D291,'04_Master Karyawan'!$A$5:$F$50,2,FALSE),"")</f>
        <v/>
      </c>
      <c r="F291" s="24"/>
      <c r="G291" s="26" t="str">
        <f>IFERROR(VLOOKUP(F291,'05_Master KPI'!$B$5:$G$100,2,FALSE)&amp;" ("&amp;VLOOKUP(F291,'05_Master KPI'!$B$5:$G$100,3,FALSE)&amp;")","")</f>
        <v/>
      </c>
      <c r="H291" s="26">
        <f>IFERROR(IF(B291&lt;&gt;'06_Target KPI'!$B$3,0,IF(VLOOKUP(F291,'05_Master KPI'!$B$5:$G$100,6,FALSE)="Kumulatif",INDEX('06_Target KPI'!$E$5:$P$100,MATCH(F291,'06_Target KPI'!$B$5:$B$100,0),MATCH(A291,'06_Target KPI'!$E$4:$P$4,0))*DAY(C291)/DAY(EOMONTH(C291,0)),INDEX('06_Target KPI'!$E$5:$P$100,MATCH(F291,'06_Target KPI'!$B$5:$B$100,0),MATCH(A291,'06_Target KPI'!$E$4:$P$4,0)))),0)</f>
        <v>0</v>
      </c>
      <c r="I291" s="24"/>
      <c r="J291" s="27">
        <f>IFERROR(MIN(IF(VLOOKUP(F291,'05_Master KPI'!$B$5:$G$100,5,FALSE)="Lower",H291/I291,I291/H291),1),0)</f>
        <v>0</v>
      </c>
      <c r="K291" s="26">
        <f>IFERROR(VLOOKUP(F291,'05_Master KPI'!$B$5:$G$100,4,FALSE),0)</f>
        <v>0</v>
      </c>
      <c r="L291" s="28">
        <f t="shared" si="4"/>
        <v>0</v>
      </c>
      <c r="M291" s="26" t="str">
        <f>IF(D291="","",IF(J291&gt;='13_Setting'!$H$7,"Tercapai",IF(J291&gt;='13_Setting'!$H$6,"On Track","Tertinggal")))</f>
        <v/>
      </c>
      <c r="N291" s="24"/>
    </row>
    <row r="292" spans="1:14">
      <c r="A292" s="24"/>
      <c r="B292" s="24"/>
      <c r="C292" s="25"/>
      <c r="D292" s="24"/>
      <c r="E292" s="26" t="str">
        <f>IFERROR(VLOOKUP(D292,'04_Master Karyawan'!$A$5:$F$50,2,FALSE),"")</f>
        <v/>
      </c>
      <c r="F292" s="24"/>
      <c r="G292" s="26" t="str">
        <f>IFERROR(VLOOKUP(F292,'05_Master KPI'!$B$5:$G$100,2,FALSE)&amp;" ("&amp;VLOOKUP(F292,'05_Master KPI'!$B$5:$G$100,3,FALSE)&amp;")","")</f>
        <v/>
      </c>
      <c r="H292" s="26">
        <f>IFERROR(IF(B292&lt;&gt;'06_Target KPI'!$B$3,0,IF(VLOOKUP(F292,'05_Master KPI'!$B$5:$G$100,6,FALSE)="Kumulatif",INDEX('06_Target KPI'!$E$5:$P$100,MATCH(F292,'06_Target KPI'!$B$5:$B$100,0),MATCH(A292,'06_Target KPI'!$E$4:$P$4,0))*DAY(C292)/DAY(EOMONTH(C292,0)),INDEX('06_Target KPI'!$E$5:$P$100,MATCH(F292,'06_Target KPI'!$B$5:$B$100,0),MATCH(A292,'06_Target KPI'!$E$4:$P$4,0)))),0)</f>
        <v>0</v>
      </c>
      <c r="I292" s="24"/>
      <c r="J292" s="27">
        <f>IFERROR(MIN(IF(VLOOKUP(F292,'05_Master KPI'!$B$5:$G$100,5,FALSE)="Lower",H292/I292,I292/H292),1),0)</f>
        <v>0</v>
      </c>
      <c r="K292" s="26">
        <f>IFERROR(VLOOKUP(F292,'05_Master KPI'!$B$5:$G$100,4,FALSE),0)</f>
        <v>0</v>
      </c>
      <c r="L292" s="28">
        <f t="shared" si="4"/>
        <v>0</v>
      </c>
      <c r="M292" s="26" t="str">
        <f>IF(D292="","",IF(J292&gt;='13_Setting'!$H$7,"Tercapai",IF(J292&gt;='13_Setting'!$H$6,"On Track","Tertinggal")))</f>
        <v/>
      </c>
      <c r="N292" s="24"/>
    </row>
    <row r="293" spans="1:14">
      <c r="A293" s="24"/>
      <c r="B293" s="24"/>
      <c r="C293" s="25"/>
      <c r="D293" s="24"/>
      <c r="E293" s="26" t="str">
        <f>IFERROR(VLOOKUP(D293,'04_Master Karyawan'!$A$5:$F$50,2,FALSE),"")</f>
        <v/>
      </c>
      <c r="F293" s="24"/>
      <c r="G293" s="26" t="str">
        <f>IFERROR(VLOOKUP(F293,'05_Master KPI'!$B$5:$G$100,2,FALSE)&amp;" ("&amp;VLOOKUP(F293,'05_Master KPI'!$B$5:$G$100,3,FALSE)&amp;")","")</f>
        <v/>
      </c>
      <c r="H293" s="26">
        <f>IFERROR(IF(B293&lt;&gt;'06_Target KPI'!$B$3,0,IF(VLOOKUP(F293,'05_Master KPI'!$B$5:$G$100,6,FALSE)="Kumulatif",INDEX('06_Target KPI'!$E$5:$P$100,MATCH(F293,'06_Target KPI'!$B$5:$B$100,0),MATCH(A293,'06_Target KPI'!$E$4:$P$4,0))*DAY(C293)/DAY(EOMONTH(C293,0)),INDEX('06_Target KPI'!$E$5:$P$100,MATCH(F293,'06_Target KPI'!$B$5:$B$100,0),MATCH(A293,'06_Target KPI'!$E$4:$P$4,0)))),0)</f>
        <v>0</v>
      </c>
      <c r="I293" s="24"/>
      <c r="J293" s="27">
        <f>IFERROR(MIN(IF(VLOOKUP(F293,'05_Master KPI'!$B$5:$G$100,5,FALSE)="Lower",H293/I293,I293/H293),1),0)</f>
        <v>0</v>
      </c>
      <c r="K293" s="26">
        <f>IFERROR(VLOOKUP(F293,'05_Master KPI'!$B$5:$G$100,4,FALSE),0)</f>
        <v>0</v>
      </c>
      <c r="L293" s="28">
        <f t="shared" si="4"/>
        <v>0</v>
      </c>
      <c r="M293" s="26" t="str">
        <f>IF(D293="","",IF(J293&gt;='13_Setting'!$H$7,"Tercapai",IF(J293&gt;='13_Setting'!$H$6,"On Track","Tertinggal")))</f>
        <v/>
      </c>
      <c r="N293" s="24"/>
    </row>
    <row r="294" spans="1:14">
      <c r="A294" s="24"/>
      <c r="B294" s="24"/>
      <c r="C294" s="25"/>
      <c r="D294" s="24"/>
      <c r="E294" s="26" t="str">
        <f>IFERROR(VLOOKUP(D294,'04_Master Karyawan'!$A$5:$F$50,2,FALSE),"")</f>
        <v/>
      </c>
      <c r="F294" s="24"/>
      <c r="G294" s="26" t="str">
        <f>IFERROR(VLOOKUP(F294,'05_Master KPI'!$B$5:$G$100,2,FALSE)&amp;" ("&amp;VLOOKUP(F294,'05_Master KPI'!$B$5:$G$100,3,FALSE)&amp;")","")</f>
        <v/>
      </c>
      <c r="H294" s="26">
        <f>IFERROR(IF(B294&lt;&gt;'06_Target KPI'!$B$3,0,IF(VLOOKUP(F294,'05_Master KPI'!$B$5:$G$100,6,FALSE)="Kumulatif",INDEX('06_Target KPI'!$E$5:$P$100,MATCH(F294,'06_Target KPI'!$B$5:$B$100,0),MATCH(A294,'06_Target KPI'!$E$4:$P$4,0))*DAY(C294)/DAY(EOMONTH(C294,0)),INDEX('06_Target KPI'!$E$5:$P$100,MATCH(F294,'06_Target KPI'!$B$5:$B$100,0),MATCH(A294,'06_Target KPI'!$E$4:$P$4,0)))),0)</f>
        <v>0</v>
      </c>
      <c r="I294" s="24"/>
      <c r="J294" s="27">
        <f>IFERROR(MIN(IF(VLOOKUP(F294,'05_Master KPI'!$B$5:$G$100,5,FALSE)="Lower",H294/I294,I294/H294),1),0)</f>
        <v>0</v>
      </c>
      <c r="K294" s="26">
        <f>IFERROR(VLOOKUP(F294,'05_Master KPI'!$B$5:$G$100,4,FALSE),0)</f>
        <v>0</v>
      </c>
      <c r="L294" s="28">
        <f t="shared" si="4"/>
        <v>0</v>
      </c>
      <c r="M294" s="26" t="str">
        <f>IF(D294="","",IF(J294&gt;='13_Setting'!$H$7,"Tercapai",IF(J294&gt;='13_Setting'!$H$6,"On Track","Tertinggal")))</f>
        <v/>
      </c>
      <c r="N294" s="24"/>
    </row>
    <row r="295" spans="1:14">
      <c r="A295" s="24"/>
      <c r="B295" s="24"/>
      <c r="C295" s="25"/>
      <c r="D295" s="24"/>
      <c r="E295" s="26" t="str">
        <f>IFERROR(VLOOKUP(D295,'04_Master Karyawan'!$A$5:$F$50,2,FALSE),"")</f>
        <v/>
      </c>
      <c r="F295" s="24"/>
      <c r="G295" s="26" t="str">
        <f>IFERROR(VLOOKUP(F295,'05_Master KPI'!$B$5:$G$100,2,FALSE)&amp;" ("&amp;VLOOKUP(F295,'05_Master KPI'!$B$5:$G$100,3,FALSE)&amp;")","")</f>
        <v/>
      </c>
      <c r="H295" s="26">
        <f>IFERROR(IF(B295&lt;&gt;'06_Target KPI'!$B$3,0,IF(VLOOKUP(F295,'05_Master KPI'!$B$5:$G$100,6,FALSE)="Kumulatif",INDEX('06_Target KPI'!$E$5:$P$100,MATCH(F295,'06_Target KPI'!$B$5:$B$100,0),MATCH(A295,'06_Target KPI'!$E$4:$P$4,0))*DAY(C295)/DAY(EOMONTH(C295,0)),INDEX('06_Target KPI'!$E$5:$P$100,MATCH(F295,'06_Target KPI'!$B$5:$B$100,0),MATCH(A295,'06_Target KPI'!$E$4:$P$4,0)))),0)</f>
        <v>0</v>
      </c>
      <c r="I295" s="24"/>
      <c r="J295" s="27">
        <f>IFERROR(MIN(IF(VLOOKUP(F295,'05_Master KPI'!$B$5:$G$100,5,FALSE)="Lower",H295/I295,I295/H295),1),0)</f>
        <v>0</v>
      </c>
      <c r="K295" s="26">
        <f>IFERROR(VLOOKUP(F295,'05_Master KPI'!$B$5:$G$100,4,FALSE),0)</f>
        <v>0</v>
      </c>
      <c r="L295" s="28">
        <f t="shared" si="4"/>
        <v>0</v>
      </c>
      <c r="M295" s="26" t="str">
        <f>IF(D295="","",IF(J295&gt;='13_Setting'!$H$7,"Tercapai",IF(J295&gt;='13_Setting'!$H$6,"On Track","Tertinggal")))</f>
        <v/>
      </c>
      <c r="N295" s="24"/>
    </row>
    <row r="296" spans="1:14">
      <c r="A296" s="24"/>
      <c r="B296" s="24"/>
      <c r="C296" s="25"/>
      <c r="D296" s="24"/>
      <c r="E296" s="26" t="str">
        <f>IFERROR(VLOOKUP(D296,'04_Master Karyawan'!$A$5:$F$50,2,FALSE),"")</f>
        <v/>
      </c>
      <c r="F296" s="24"/>
      <c r="G296" s="26" t="str">
        <f>IFERROR(VLOOKUP(F296,'05_Master KPI'!$B$5:$G$100,2,FALSE)&amp;" ("&amp;VLOOKUP(F296,'05_Master KPI'!$B$5:$G$100,3,FALSE)&amp;")","")</f>
        <v/>
      </c>
      <c r="H296" s="26">
        <f>IFERROR(IF(B296&lt;&gt;'06_Target KPI'!$B$3,0,IF(VLOOKUP(F296,'05_Master KPI'!$B$5:$G$100,6,FALSE)="Kumulatif",INDEX('06_Target KPI'!$E$5:$P$100,MATCH(F296,'06_Target KPI'!$B$5:$B$100,0),MATCH(A296,'06_Target KPI'!$E$4:$P$4,0))*DAY(C296)/DAY(EOMONTH(C296,0)),INDEX('06_Target KPI'!$E$5:$P$100,MATCH(F296,'06_Target KPI'!$B$5:$B$100,0),MATCH(A296,'06_Target KPI'!$E$4:$P$4,0)))),0)</f>
        <v>0</v>
      </c>
      <c r="I296" s="24"/>
      <c r="J296" s="27">
        <f>IFERROR(MIN(IF(VLOOKUP(F296,'05_Master KPI'!$B$5:$G$100,5,FALSE)="Lower",H296/I296,I296/H296),1),0)</f>
        <v>0</v>
      </c>
      <c r="K296" s="26">
        <f>IFERROR(VLOOKUP(F296,'05_Master KPI'!$B$5:$G$100,4,FALSE),0)</f>
        <v>0</v>
      </c>
      <c r="L296" s="28">
        <f t="shared" si="4"/>
        <v>0</v>
      </c>
      <c r="M296" s="26" t="str">
        <f>IF(D296="","",IF(J296&gt;='13_Setting'!$H$7,"Tercapai",IF(J296&gt;='13_Setting'!$H$6,"On Track","Tertinggal")))</f>
        <v/>
      </c>
      <c r="N296" s="24"/>
    </row>
    <row r="297" spans="1:14">
      <c r="A297" s="24"/>
      <c r="B297" s="24"/>
      <c r="C297" s="25"/>
      <c r="D297" s="24"/>
      <c r="E297" s="26" t="str">
        <f>IFERROR(VLOOKUP(D297,'04_Master Karyawan'!$A$5:$F$50,2,FALSE),"")</f>
        <v/>
      </c>
      <c r="F297" s="24"/>
      <c r="G297" s="26" t="str">
        <f>IFERROR(VLOOKUP(F297,'05_Master KPI'!$B$5:$G$100,2,FALSE)&amp;" ("&amp;VLOOKUP(F297,'05_Master KPI'!$B$5:$G$100,3,FALSE)&amp;")","")</f>
        <v/>
      </c>
      <c r="H297" s="26">
        <f>IFERROR(IF(B297&lt;&gt;'06_Target KPI'!$B$3,0,IF(VLOOKUP(F297,'05_Master KPI'!$B$5:$G$100,6,FALSE)="Kumulatif",INDEX('06_Target KPI'!$E$5:$P$100,MATCH(F297,'06_Target KPI'!$B$5:$B$100,0),MATCH(A297,'06_Target KPI'!$E$4:$P$4,0))*DAY(C297)/DAY(EOMONTH(C297,0)),INDEX('06_Target KPI'!$E$5:$P$100,MATCH(F297,'06_Target KPI'!$B$5:$B$100,0),MATCH(A297,'06_Target KPI'!$E$4:$P$4,0)))),0)</f>
        <v>0</v>
      </c>
      <c r="I297" s="24"/>
      <c r="J297" s="27">
        <f>IFERROR(MIN(IF(VLOOKUP(F297,'05_Master KPI'!$B$5:$G$100,5,FALSE)="Lower",H297/I297,I297/H297),1),0)</f>
        <v>0</v>
      </c>
      <c r="K297" s="26">
        <f>IFERROR(VLOOKUP(F297,'05_Master KPI'!$B$5:$G$100,4,FALSE),0)</f>
        <v>0</v>
      </c>
      <c r="L297" s="28">
        <f t="shared" si="4"/>
        <v>0</v>
      </c>
      <c r="M297" s="26" t="str">
        <f>IF(D297="","",IF(J297&gt;='13_Setting'!$H$7,"Tercapai",IF(J297&gt;='13_Setting'!$H$6,"On Track","Tertinggal")))</f>
        <v/>
      </c>
      <c r="N297" s="24"/>
    </row>
    <row r="298" spans="1:14">
      <c r="A298" s="24"/>
      <c r="B298" s="24"/>
      <c r="C298" s="25"/>
      <c r="D298" s="24"/>
      <c r="E298" s="26" t="str">
        <f>IFERROR(VLOOKUP(D298,'04_Master Karyawan'!$A$5:$F$50,2,FALSE),"")</f>
        <v/>
      </c>
      <c r="F298" s="24"/>
      <c r="G298" s="26" t="str">
        <f>IFERROR(VLOOKUP(F298,'05_Master KPI'!$B$5:$G$100,2,FALSE)&amp;" ("&amp;VLOOKUP(F298,'05_Master KPI'!$B$5:$G$100,3,FALSE)&amp;")","")</f>
        <v/>
      </c>
      <c r="H298" s="26">
        <f>IFERROR(IF(B298&lt;&gt;'06_Target KPI'!$B$3,0,IF(VLOOKUP(F298,'05_Master KPI'!$B$5:$G$100,6,FALSE)="Kumulatif",INDEX('06_Target KPI'!$E$5:$P$100,MATCH(F298,'06_Target KPI'!$B$5:$B$100,0),MATCH(A298,'06_Target KPI'!$E$4:$P$4,0))*DAY(C298)/DAY(EOMONTH(C298,0)),INDEX('06_Target KPI'!$E$5:$P$100,MATCH(F298,'06_Target KPI'!$B$5:$B$100,0),MATCH(A298,'06_Target KPI'!$E$4:$P$4,0)))),0)</f>
        <v>0</v>
      </c>
      <c r="I298" s="24"/>
      <c r="J298" s="27">
        <f>IFERROR(MIN(IF(VLOOKUP(F298,'05_Master KPI'!$B$5:$G$100,5,FALSE)="Lower",H298/I298,I298/H298),1),0)</f>
        <v>0</v>
      </c>
      <c r="K298" s="26">
        <f>IFERROR(VLOOKUP(F298,'05_Master KPI'!$B$5:$G$100,4,FALSE),0)</f>
        <v>0</v>
      </c>
      <c r="L298" s="28">
        <f t="shared" si="4"/>
        <v>0</v>
      </c>
      <c r="M298" s="26" t="str">
        <f>IF(D298="","",IF(J298&gt;='13_Setting'!$H$7,"Tercapai",IF(J298&gt;='13_Setting'!$H$6,"On Track","Tertinggal")))</f>
        <v/>
      </c>
      <c r="N298" s="24"/>
    </row>
    <row r="299" spans="1:14">
      <c r="A299" s="24"/>
      <c r="B299" s="24"/>
      <c r="C299" s="25"/>
      <c r="D299" s="24"/>
      <c r="E299" s="26" t="str">
        <f>IFERROR(VLOOKUP(D299,'04_Master Karyawan'!$A$5:$F$50,2,FALSE),"")</f>
        <v/>
      </c>
      <c r="F299" s="24"/>
      <c r="G299" s="26" t="str">
        <f>IFERROR(VLOOKUP(F299,'05_Master KPI'!$B$5:$G$100,2,FALSE)&amp;" ("&amp;VLOOKUP(F299,'05_Master KPI'!$B$5:$G$100,3,FALSE)&amp;")","")</f>
        <v/>
      </c>
      <c r="H299" s="26">
        <f>IFERROR(IF(B299&lt;&gt;'06_Target KPI'!$B$3,0,IF(VLOOKUP(F299,'05_Master KPI'!$B$5:$G$100,6,FALSE)="Kumulatif",INDEX('06_Target KPI'!$E$5:$P$100,MATCH(F299,'06_Target KPI'!$B$5:$B$100,0),MATCH(A299,'06_Target KPI'!$E$4:$P$4,0))*DAY(C299)/DAY(EOMONTH(C299,0)),INDEX('06_Target KPI'!$E$5:$P$100,MATCH(F299,'06_Target KPI'!$B$5:$B$100,0),MATCH(A299,'06_Target KPI'!$E$4:$P$4,0)))),0)</f>
        <v>0</v>
      </c>
      <c r="I299" s="24"/>
      <c r="J299" s="27">
        <f>IFERROR(MIN(IF(VLOOKUP(F299,'05_Master KPI'!$B$5:$G$100,5,FALSE)="Lower",H299/I299,I299/H299),1),0)</f>
        <v>0</v>
      </c>
      <c r="K299" s="26">
        <f>IFERROR(VLOOKUP(F299,'05_Master KPI'!$B$5:$G$100,4,FALSE),0)</f>
        <v>0</v>
      </c>
      <c r="L299" s="28">
        <f t="shared" si="4"/>
        <v>0</v>
      </c>
      <c r="M299" s="26" t="str">
        <f>IF(D299="","",IF(J299&gt;='13_Setting'!$H$7,"Tercapai",IF(J299&gt;='13_Setting'!$H$6,"On Track","Tertinggal")))</f>
        <v/>
      </c>
      <c r="N299" s="24"/>
    </row>
    <row r="300" spans="1:14">
      <c r="A300" s="24"/>
      <c r="B300" s="24"/>
      <c r="C300" s="25"/>
      <c r="D300" s="24"/>
      <c r="E300" s="26" t="str">
        <f>IFERROR(VLOOKUP(D300,'04_Master Karyawan'!$A$5:$F$50,2,FALSE),"")</f>
        <v/>
      </c>
      <c r="F300" s="24"/>
      <c r="G300" s="26" t="str">
        <f>IFERROR(VLOOKUP(F300,'05_Master KPI'!$B$5:$G$100,2,FALSE)&amp;" ("&amp;VLOOKUP(F300,'05_Master KPI'!$B$5:$G$100,3,FALSE)&amp;")","")</f>
        <v/>
      </c>
      <c r="H300" s="26">
        <f>IFERROR(IF(B300&lt;&gt;'06_Target KPI'!$B$3,0,IF(VLOOKUP(F300,'05_Master KPI'!$B$5:$G$100,6,FALSE)="Kumulatif",INDEX('06_Target KPI'!$E$5:$P$100,MATCH(F300,'06_Target KPI'!$B$5:$B$100,0),MATCH(A300,'06_Target KPI'!$E$4:$P$4,0))*DAY(C300)/DAY(EOMONTH(C300,0)),INDEX('06_Target KPI'!$E$5:$P$100,MATCH(F300,'06_Target KPI'!$B$5:$B$100,0),MATCH(A300,'06_Target KPI'!$E$4:$P$4,0)))),0)</f>
        <v>0</v>
      </c>
      <c r="I300" s="24"/>
      <c r="J300" s="27">
        <f>IFERROR(MIN(IF(VLOOKUP(F300,'05_Master KPI'!$B$5:$G$100,5,FALSE)="Lower",H300/I300,I300/H300),1),0)</f>
        <v>0</v>
      </c>
      <c r="K300" s="26">
        <f>IFERROR(VLOOKUP(F300,'05_Master KPI'!$B$5:$G$100,4,FALSE),0)</f>
        <v>0</v>
      </c>
      <c r="L300" s="28">
        <f t="shared" si="4"/>
        <v>0</v>
      </c>
      <c r="M300" s="26" t="str">
        <f>IF(D300="","",IF(J300&gt;='13_Setting'!$H$7,"Tercapai",IF(J300&gt;='13_Setting'!$H$6,"On Track","Tertinggal")))</f>
        <v/>
      </c>
      <c r="N300" s="24"/>
    </row>
    <row r="301" spans="1:14">
      <c r="A301" s="24"/>
      <c r="B301" s="24"/>
      <c r="C301" s="25"/>
      <c r="D301" s="24"/>
      <c r="E301" s="26" t="str">
        <f>IFERROR(VLOOKUP(D301,'04_Master Karyawan'!$A$5:$F$50,2,FALSE),"")</f>
        <v/>
      </c>
      <c r="F301" s="24"/>
      <c r="G301" s="26" t="str">
        <f>IFERROR(VLOOKUP(F301,'05_Master KPI'!$B$5:$G$100,2,FALSE)&amp;" ("&amp;VLOOKUP(F301,'05_Master KPI'!$B$5:$G$100,3,FALSE)&amp;")","")</f>
        <v/>
      </c>
      <c r="H301" s="26">
        <f>IFERROR(IF(B301&lt;&gt;'06_Target KPI'!$B$3,0,IF(VLOOKUP(F301,'05_Master KPI'!$B$5:$G$100,6,FALSE)="Kumulatif",INDEX('06_Target KPI'!$E$5:$P$100,MATCH(F301,'06_Target KPI'!$B$5:$B$100,0),MATCH(A301,'06_Target KPI'!$E$4:$P$4,0))*DAY(C301)/DAY(EOMONTH(C301,0)),INDEX('06_Target KPI'!$E$5:$P$100,MATCH(F301,'06_Target KPI'!$B$5:$B$100,0),MATCH(A301,'06_Target KPI'!$E$4:$P$4,0)))),0)</f>
        <v>0</v>
      </c>
      <c r="I301" s="24"/>
      <c r="J301" s="27">
        <f>IFERROR(MIN(IF(VLOOKUP(F301,'05_Master KPI'!$B$5:$G$100,5,FALSE)="Lower",H301/I301,I301/H301),1),0)</f>
        <v>0</v>
      </c>
      <c r="K301" s="26">
        <f>IFERROR(VLOOKUP(F301,'05_Master KPI'!$B$5:$G$100,4,FALSE),0)</f>
        <v>0</v>
      </c>
      <c r="L301" s="28">
        <f t="shared" si="4"/>
        <v>0</v>
      </c>
      <c r="M301" s="26" t="str">
        <f>IF(D301="","",IF(J301&gt;='13_Setting'!$H$7,"Tercapai",IF(J301&gt;='13_Setting'!$H$6,"On Track","Tertinggal")))</f>
        <v/>
      </c>
      <c r="N301" s="24"/>
    </row>
    <row r="302" spans="1:14">
      <c r="A302" s="24"/>
      <c r="B302" s="24"/>
      <c r="C302" s="25"/>
      <c r="D302" s="24"/>
      <c r="E302" s="26" t="str">
        <f>IFERROR(VLOOKUP(D302,'04_Master Karyawan'!$A$5:$F$50,2,FALSE),"")</f>
        <v/>
      </c>
      <c r="F302" s="24"/>
      <c r="G302" s="26" t="str">
        <f>IFERROR(VLOOKUP(F302,'05_Master KPI'!$B$5:$G$100,2,FALSE)&amp;" ("&amp;VLOOKUP(F302,'05_Master KPI'!$B$5:$G$100,3,FALSE)&amp;")","")</f>
        <v/>
      </c>
      <c r="H302" s="26">
        <f>IFERROR(IF(B302&lt;&gt;'06_Target KPI'!$B$3,0,IF(VLOOKUP(F302,'05_Master KPI'!$B$5:$G$100,6,FALSE)="Kumulatif",INDEX('06_Target KPI'!$E$5:$P$100,MATCH(F302,'06_Target KPI'!$B$5:$B$100,0),MATCH(A302,'06_Target KPI'!$E$4:$P$4,0))*DAY(C302)/DAY(EOMONTH(C302,0)),INDEX('06_Target KPI'!$E$5:$P$100,MATCH(F302,'06_Target KPI'!$B$5:$B$100,0),MATCH(A302,'06_Target KPI'!$E$4:$P$4,0)))),0)</f>
        <v>0</v>
      </c>
      <c r="I302" s="24"/>
      <c r="J302" s="27">
        <f>IFERROR(MIN(IF(VLOOKUP(F302,'05_Master KPI'!$B$5:$G$100,5,FALSE)="Lower",H302/I302,I302/H302),1),0)</f>
        <v>0</v>
      </c>
      <c r="K302" s="26">
        <f>IFERROR(VLOOKUP(F302,'05_Master KPI'!$B$5:$G$100,4,FALSE),0)</f>
        <v>0</v>
      </c>
      <c r="L302" s="28">
        <f t="shared" si="4"/>
        <v>0</v>
      </c>
      <c r="M302" s="26" t="str">
        <f>IF(D302="","",IF(J302&gt;='13_Setting'!$H$7,"Tercapai",IF(J302&gt;='13_Setting'!$H$6,"On Track","Tertinggal")))</f>
        <v/>
      </c>
      <c r="N302" s="24"/>
    </row>
    <row r="303" spans="1:14">
      <c r="A303" s="24"/>
      <c r="B303" s="24"/>
      <c r="C303" s="25"/>
      <c r="D303" s="24"/>
      <c r="E303" s="26" t="str">
        <f>IFERROR(VLOOKUP(D303,'04_Master Karyawan'!$A$5:$F$50,2,FALSE),"")</f>
        <v/>
      </c>
      <c r="F303" s="24"/>
      <c r="G303" s="26" t="str">
        <f>IFERROR(VLOOKUP(F303,'05_Master KPI'!$B$5:$G$100,2,FALSE)&amp;" ("&amp;VLOOKUP(F303,'05_Master KPI'!$B$5:$G$100,3,FALSE)&amp;")","")</f>
        <v/>
      </c>
      <c r="H303" s="26">
        <f>IFERROR(IF(B303&lt;&gt;'06_Target KPI'!$B$3,0,IF(VLOOKUP(F303,'05_Master KPI'!$B$5:$G$100,6,FALSE)="Kumulatif",INDEX('06_Target KPI'!$E$5:$P$100,MATCH(F303,'06_Target KPI'!$B$5:$B$100,0),MATCH(A303,'06_Target KPI'!$E$4:$P$4,0))*DAY(C303)/DAY(EOMONTH(C303,0)),INDEX('06_Target KPI'!$E$5:$P$100,MATCH(F303,'06_Target KPI'!$B$5:$B$100,0),MATCH(A303,'06_Target KPI'!$E$4:$P$4,0)))),0)</f>
        <v>0</v>
      </c>
      <c r="I303" s="24"/>
      <c r="J303" s="27">
        <f>IFERROR(MIN(IF(VLOOKUP(F303,'05_Master KPI'!$B$5:$G$100,5,FALSE)="Lower",H303/I303,I303/H303),1),0)</f>
        <v>0</v>
      </c>
      <c r="K303" s="26">
        <f>IFERROR(VLOOKUP(F303,'05_Master KPI'!$B$5:$G$100,4,FALSE),0)</f>
        <v>0</v>
      </c>
      <c r="L303" s="28">
        <f t="shared" si="4"/>
        <v>0</v>
      </c>
      <c r="M303" s="26" t="str">
        <f>IF(D303="","",IF(J303&gt;='13_Setting'!$H$7,"Tercapai",IF(J303&gt;='13_Setting'!$H$6,"On Track","Tertinggal")))</f>
        <v/>
      </c>
      <c r="N303" s="24"/>
    </row>
    <row r="304" spans="1:14">
      <c r="A304" s="29"/>
      <c r="B304" s="29"/>
      <c r="C304" s="30"/>
      <c r="D304" s="29"/>
      <c r="E304" s="31" t="str">
        <f>IFERROR(VLOOKUP(D304,'04_Master Karyawan'!$A$5:$F$50,2,FALSE),"")</f>
        <v/>
      </c>
      <c r="F304" s="29"/>
      <c r="G304" s="31" t="str">
        <f>IFERROR(VLOOKUP(F304,'05_Master KPI'!$B$5:$G$100,2,FALSE)&amp;" ("&amp;VLOOKUP(F304,'05_Master KPI'!$B$5:$G$100,3,FALSE)&amp;")","")</f>
        <v/>
      </c>
      <c r="H304" s="31">
        <f>IFERROR(IF(B304&lt;&gt;'06_Target KPI'!$B$3,0,IF(VLOOKUP(F304,'05_Master KPI'!$B$5:$G$100,6,FALSE)="Kumulatif",INDEX('06_Target KPI'!$E$5:$P$100,MATCH(F304,'06_Target KPI'!$B$5:$B$100,0),MATCH(A304,'06_Target KPI'!$E$4:$P$4,0))*DAY(C304)/DAY(EOMONTH(C304,0)),INDEX('06_Target KPI'!$E$5:$P$100,MATCH(F304,'06_Target KPI'!$B$5:$B$100,0),MATCH(A304,'06_Target KPI'!$E$4:$P$4,0)))),0)</f>
        <v>0</v>
      </c>
      <c r="I304" s="29"/>
      <c r="J304" s="32">
        <f>IFERROR(MIN(IF(VLOOKUP(F304,'05_Master KPI'!$B$5:$G$100,5,FALSE)="Lower",H304/I304,I304/H304),1),0)</f>
        <v>0</v>
      </c>
      <c r="K304" s="31">
        <f>IFERROR(VLOOKUP(F304,'05_Master KPI'!$B$5:$G$100,4,FALSE),0)</f>
        <v>0</v>
      </c>
      <c r="L304" s="33">
        <f t="shared" si="4"/>
        <v>0</v>
      </c>
      <c r="M304" s="31" t="str">
        <f>IF(D304="","",IF(J304&gt;='13_Setting'!$H$7,"Tercapai",IF(J304&gt;='13_Setting'!$H$6,"On Track","Tertinggal")))</f>
        <v/>
      </c>
      <c r="N304" s="29"/>
    </row>
  </sheetData>
  <mergeCells count="2">
    <mergeCell ref="A1:N1"/>
    <mergeCell ref="A2:N2"/>
  </mergeCells>
  <conditionalFormatting sqref="M5:M304">
    <cfRule type="containsText" dxfId="12" priority="1" operator="containsText" text="Tercapai"/>
    <cfRule type="containsText" dxfId="11" priority="2" operator="containsText" text="On Track"/>
    <cfRule type="containsText" dxfId="10" priority="3" operator="containsText" text="Tertinggal"/>
  </conditionalFormatting>
  <dataValidations count="2">
    <dataValidation type="list" sqref="D5:D304" xr:uid="{00000000-0002-0000-0800-000002000000}">
      <formula1>"EMP006"</formula1>
    </dataValidation>
    <dataValidation type="list" sqref="F5:F304" xr:uid="{00000000-0002-0000-0800-000003000000}">
      <formula1>"ADM01,ADM02,ADM03,ADM04,ADM05,ADM06"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xr:uid="{00000000-0002-0000-0800-000000000000}">
          <x14:formula1>
            <xm:f>'13_Setting'!$A$5:$A$16</xm:f>
          </x14:formula1>
          <xm:sqref>A5:A304</xm:sqref>
        </x14:dataValidation>
        <x14:dataValidation type="list" xr:uid="{00000000-0002-0000-0800-000001000000}">
          <x14:formula1>
            <xm:f>'13_Setting'!$D$5:$D$9</xm:f>
          </x14:formula1>
          <xm:sqref>B5:B304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304"/>
  <sheetViews>
    <sheetView showGridLines="0" workbookViewId="0"/>
  </sheetViews>
  <sheetFormatPr defaultRowHeight="13.8"/>
  <cols>
    <col min="1" max="1" width="14" customWidth="1"/>
    <col min="2" max="2" width="9" customWidth="1"/>
    <col min="3" max="3" width="14" customWidth="1"/>
    <col min="4" max="4" width="12" customWidth="1"/>
    <col min="5" max="5" width="28" customWidth="1"/>
    <col min="6" max="6" width="12" customWidth="1"/>
    <col min="7" max="7" width="30" customWidth="1"/>
    <col min="8" max="13" width="14" customWidth="1"/>
    <col min="14" max="14" width="30" customWidth="1"/>
  </cols>
  <sheetData>
    <row r="1" spans="1:26" ht="34.049999999999997" customHeight="1">
      <c r="A1" s="55" t="s">
        <v>215</v>
      </c>
      <c r="B1" s="55" t="s">
        <v>215</v>
      </c>
      <c r="C1" s="55" t="s">
        <v>215</v>
      </c>
      <c r="D1" s="55" t="s">
        <v>215</v>
      </c>
      <c r="E1" s="55" t="s">
        <v>215</v>
      </c>
      <c r="F1" s="55" t="s">
        <v>215</v>
      </c>
      <c r="G1" s="55" t="s">
        <v>215</v>
      </c>
      <c r="H1" s="55" t="s">
        <v>215</v>
      </c>
      <c r="I1" s="55" t="s">
        <v>215</v>
      </c>
      <c r="J1" s="55" t="s">
        <v>215</v>
      </c>
      <c r="K1" s="55" t="s">
        <v>215</v>
      </c>
      <c r="L1" s="55" t="s">
        <v>215</v>
      </c>
      <c r="M1" s="55" t="s">
        <v>215</v>
      </c>
      <c r="N1" s="55" t="s">
        <v>215</v>
      </c>
      <c r="O1" s="1"/>
      <c r="P1" s="1"/>
      <c r="Q1" s="1"/>
      <c r="R1" s="1"/>
      <c r="S1" s="1"/>
      <c r="T1" s="1"/>
      <c r="U1" s="1"/>
      <c r="V1" s="1"/>
      <c r="W1" s="1"/>
      <c r="X1" s="1"/>
      <c r="Y1" s="1"/>
      <c r="Z1" s="1"/>
    </row>
    <row r="2" spans="1:26" ht="24" customHeight="1">
      <c r="A2" s="56" t="s">
        <v>203</v>
      </c>
      <c r="B2" s="56" t="s">
        <v>203</v>
      </c>
      <c r="C2" s="56" t="s">
        <v>203</v>
      </c>
      <c r="D2" s="56" t="s">
        <v>203</v>
      </c>
      <c r="E2" s="56" t="s">
        <v>203</v>
      </c>
      <c r="F2" s="56" t="s">
        <v>203</v>
      </c>
      <c r="G2" s="56" t="s">
        <v>203</v>
      </c>
      <c r="H2" s="56" t="s">
        <v>203</v>
      </c>
      <c r="I2" s="56" t="s">
        <v>203</v>
      </c>
      <c r="J2" s="56" t="s">
        <v>203</v>
      </c>
      <c r="K2" s="56" t="s">
        <v>203</v>
      </c>
      <c r="L2" s="56" t="s">
        <v>203</v>
      </c>
      <c r="M2" s="56" t="s">
        <v>203</v>
      </c>
      <c r="N2" s="56" t="s">
        <v>203</v>
      </c>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204</v>
      </c>
      <c r="D4" s="6" t="s">
        <v>83</v>
      </c>
      <c r="E4" s="6" t="s">
        <v>34</v>
      </c>
      <c r="F4" s="6" t="s">
        <v>108</v>
      </c>
      <c r="G4" s="6" t="s">
        <v>205</v>
      </c>
      <c r="H4" s="6" t="s">
        <v>206</v>
      </c>
      <c r="I4" s="6" t="s">
        <v>207</v>
      </c>
      <c r="J4" s="6" t="s">
        <v>208</v>
      </c>
      <c r="K4" s="6" t="s">
        <v>111</v>
      </c>
      <c r="L4" s="6" t="s">
        <v>209</v>
      </c>
      <c r="M4" s="6" t="s">
        <v>85</v>
      </c>
      <c r="N4" s="3" t="s">
        <v>210</v>
      </c>
      <c r="O4" s="1"/>
      <c r="P4" s="1"/>
      <c r="Q4" s="1"/>
      <c r="R4" s="1"/>
      <c r="S4" s="1"/>
      <c r="T4" s="1"/>
      <c r="U4" s="1"/>
      <c r="V4" s="1"/>
      <c r="W4" s="1"/>
      <c r="X4" s="1"/>
      <c r="Y4" s="1"/>
      <c r="Z4" s="1"/>
    </row>
    <row r="5" spans="1:26">
      <c r="A5" s="16" t="s">
        <v>192</v>
      </c>
      <c r="B5" s="16">
        <v>2026</v>
      </c>
      <c r="C5" s="17">
        <v>46053</v>
      </c>
      <c r="D5" s="16" t="s">
        <v>96</v>
      </c>
      <c r="E5" s="8" t="str">
        <f>IFERROR(VLOOKUP(D5,'04_Master Karyawan'!$A$5:$F$50,2,FALSE),"")</f>
        <v>Ady</v>
      </c>
      <c r="F5" s="16" t="s">
        <v>157</v>
      </c>
      <c r="G5" s="8" t="str">
        <f>IFERROR(VLOOKUP(F5,'05_Master KPI'!$B$5:$G$100,2,FALSE)&amp;" ("&amp;VLOOKUP(F5,'05_Master KPI'!$B$5:$G$100,3,FALSE)&amp;")","")</f>
        <v>Ketepatan Design (%)</v>
      </c>
      <c r="H5" s="8">
        <f>IFERROR(IF(B5&lt;&gt;'06_Target KPI'!$B$3,0,IF(VLOOKUP(F5,'05_Master KPI'!$B$5:$G$100,6,FALSE)="Kumulatif",INDEX('06_Target KPI'!$E$5:$P$100,MATCH(F5,'06_Target KPI'!$B$5:$B$100,0),MATCH(A5,'06_Target KPI'!$E$4:$P$4,0))*DAY(C5)/DAY(EOMONTH(C5,0)),INDEX('06_Target KPI'!$E$5:$P$100,MATCH(F5,'06_Target KPI'!$B$5:$B$100,0),MATCH(A5,'06_Target KPI'!$E$4:$P$4,0)))),0)</f>
        <v>95</v>
      </c>
      <c r="I5" s="16">
        <v>70.5</v>
      </c>
      <c r="J5" s="18">
        <f>IFERROR(MIN(IF(VLOOKUP(F5,'05_Master KPI'!$B$5:$G$100,5,FALSE)="Lower",H5/I5,I5/H5),1),0)</f>
        <v>0.74210526315789471</v>
      </c>
      <c r="K5" s="8">
        <f>IFERROR(VLOOKUP(F5,'05_Master KPI'!$B$5:$G$100,4,FALSE),0)</f>
        <v>30</v>
      </c>
      <c r="L5" s="19">
        <f t="shared" ref="L5:L68" si="0">J5*K5</f>
        <v>22.263157894736842</v>
      </c>
      <c r="M5" s="8" t="str">
        <f>IF(D5="","",IF(J5&gt;='13_Setting'!$H$7,"Tercapai",IF(J5&gt;='13_Setting'!$H$6,"On Track","Tertinggal")))</f>
        <v>Tertinggal</v>
      </c>
      <c r="N5" s="16" t="s">
        <v>211</v>
      </c>
      <c r="O5" s="1"/>
      <c r="P5" s="1"/>
      <c r="Q5" s="1"/>
      <c r="R5" s="1"/>
      <c r="S5" s="1"/>
      <c r="T5" s="1"/>
      <c r="U5" s="1"/>
      <c r="V5" s="1"/>
      <c r="W5" s="1"/>
      <c r="X5" s="1"/>
      <c r="Y5" s="1"/>
      <c r="Z5" s="1"/>
    </row>
    <row r="6" spans="1:26">
      <c r="A6" s="20" t="s">
        <v>192</v>
      </c>
      <c r="B6" s="20">
        <v>2026</v>
      </c>
      <c r="C6" s="21">
        <v>46053</v>
      </c>
      <c r="D6" s="20" t="s">
        <v>96</v>
      </c>
      <c r="E6" s="9" t="str">
        <f>IFERROR(VLOOKUP(D6,'04_Master Karyawan'!$A$5:$F$50,2,FALSE),"")</f>
        <v>Ady</v>
      </c>
      <c r="F6" s="20" t="s">
        <v>159</v>
      </c>
      <c r="G6" s="9" t="str">
        <f>IFERROR(VLOOKUP(F6,'05_Master KPI'!$B$5:$G$100,2,FALSE)&amp;" ("&amp;VLOOKUP(F6,'05_Master KPI'!$B$5:$G$100,3,FALSE)&amp;")","")</f>
        <v>Deadline (%)</v>
      </c>
      <c r="H6" s="9">
        <f>IFERROR(IF(B6&lt;&gt;'06_Target KPI'!$B$3,0,IF(VLOOKUP(F6,'05_Master KPI'!$B$5:$G$100,6,FALSE)="Kumulatif",INDEX('06_Target KPI'!$E$5:$P$100,MATCH(F6,'06_Target KPI'!$B$5:$B$100,0),MATCH(A6,'06_Target KPI'!$E$4:$P$4,0))*DAY(C6)/DAY(EOMONTH(C6,0)),INDEX('06_Target KPI'!$E$5:$P$100,MATCH(F6,'06_Target KPI'!$B$5:$B$100,0),MATCH(A6,'06_Target KPI'!$E$4:$P$4,0)))),0)</f>
        <v>95</v>
      </c>
      <c r="I6" s="20">
        <v>70.5</v>
      </c>
      <c r="J6" s="22">
        <f>IFERROR(MIN(IF(VLOOKUP(F6,'05_Master KPI'!$B$5:$G$100,5,FALSE)="Lower",H6/I6,I6/H6),1),0)</f>
        <v>0.74210526315789471</v>
      </c>
      <c r="K6" s="9">
        <f>IFERROR(VLOOKUP(F6,'05_Master KPI'!$B$5:$G$100,4,FALSE),0)</f>
        <v>20</v>
      </c>
      <c r="L6" s="23">
        <f t="shared" si="0"/>
        <v>14.842105263157894</v>
      </c>
      <c r="M6" s="9" t="str">
        <f>IF(D6="","",IF(J6&gt;='13_Setting'!$H$7,"Tercapai",IF(J6&gt;='13_Setting'!$H$6,"On Track","Tertinggal")))</f>
        <v>Tertinggal</v>
      </c>
      <c r="N6" s="20" t="s">
        <v>211</v>
      </c>
      <c r="O6" s="1"/>
      <c r="P6" s="1"/>
      <c r="Q6" s="1"/>
      <c r="R6" s="1"/>
      <c r="S6" s="1"/>
      <c r="T6" s="1"/>
      <c r="U6" s="1"/>
      <c r="V6" s="1"/>
      <c r="W6" s="1"/>
      <c r="X6" s="1"/>
      <c r="Y6" s="1"/>
      <c r="Z6" s="1"/>
    </row>
    <row r="7" spans="1:26">
      <c r="A7" s="20" t="s">
        <v>192</v>
      </c>
      <c r="B7" s="20">
        <v>2026</v>
      </c>
      <c r="C7" s="21">
        <v>46053</v>
      </c>
      <c r="D7" s="20" t="s">
        <v>96</v>
      </c>
      <c r="E7" s="9" t="str">
        <f>IFERROR(VLOOKUP(D7,'04_Master Karyawan'!$A$5:$F$50,2,FALSE),"")</f>
        <v>Ady</v>
      </c>
      <c r="F7" s="20" t="s">
        <v>161</v>
      </c>
      <c r="G7" s="9" t="str">
        <f>IFERROR(VLOOKUP(F7,'05_Master KPI'!$B$5:$G$100,2,FALSE)&amp;" ("&amp;VLOOKUP(F7,'05_Master KPI'!$B$5:$G$100,3,FALSE)&amp;")","")</f>
        <v>Worksheet Lengkap (%)</v>
      </c>
      <c r="H7" s="9">
        <f>IFERROR(IF(B7&lt;&gt;'06_Target KPI'!$B$3,0,IF(VLOOKUP(F7,'05_Master KPI'!$B$5:$G$100,6,FALSE)="Kumulatif",INDEX('06_Target KPI'!$E$5:$P$100,MATCH(F7,'06_Target KPI'!$B$5:$B$100,0),MATCH(A7,'06_Target KPI'!$E$4:$P$4,0))*DAY(C7)/DAY(EOMONTH(C7,0)),INDEX('06_Target KPI'!$E$5:$P$100,MATCH(F7,'06_Target KPI'!$B$5:$B$100,0),MATCH(A7,'06_Target KPI'!$E$4:$P$4,0)))),0)</f>
        <v>100</v>
      </c>
      <c r="I7" s="20">
        <v>74.3</v>
      </c>
      <c r="J7" s="22">
        <f>IFERROR(MIN(IF(VLOOKUP(F7,'05_Master KPI'!$B$5:$G$100,5,FALSE)="Lower",H7/I7,I7/H7),1),0)</f>
        <v>0.74299999999999999</v>
      </c>
      <c r="K7" s="9">
        <f>IFERROR(VLOOKUP(F7,'05_Master KPI'!$B$5:$G$100,4,FALSE),0)</f>
        <v>20</v>
      </c>
      <c r="L7" s="23">
        <f t="shared" si="0"/>
        <v>14.86</v>
      </c>
      <c r="M7" s="9" t="str">
        <f>IF(D7="","",IF(J7&gt;='13_Setting'!$H$7,"Tercapai",IF(J7&gt;='13_Setting'!$H$6,"On Track","Tertinggal")))</f>
        <v>Tertinggal</v>
      </c>
      <c r="N7" s="20" t="s">
        <v>211</v>
      </c>
      <c r="O7" s="1"/>
      <c r="P7" s="1"/>
      <c r="Q7" s="1"/>
      <c r="R7" s="1"/>
      <c r="S7" s="1"/>
      <c r="T7" s="1"/>
      <c r="U7" s="1"/>
      <c r="V7" s="1"/>
      <c r="W7" s="1"/>
      <c r="X7" s="1"/>
      <c r="Y7" s="1"/>
      <c r="Z7" s="1"/>
    </row>
    <row r="8" spans="1:26">
      <c r="A8" s="20" t="s">
        <v>192</v>
      </c>
      <c r="B8" s="20">
        <v>2026</v>
      </c>
      <c r="C8" s="21">
        <v>46053</v>
      </c>
      <c r="D8" s="20" t="s">
        <v>96</v>
      </c>
      <c r="E8" s="9" t="str">
        <f>IFERROR(VLOOKUP(D8,'04_Master Karyawan'!$A$5:$F$50,2,FALSE),"")</f>
        <v>Ady</v>
      </c>
      <c r="F8" s="20" t="s">
        <v>163</v>
      </c>
      <c r="G8" s="9" t="str">
        <f>IFERROR(VLOOKUP(F8,'05_Master KPI'!$B$5:$G$100,2,FALSE)&amp;" ("&amp;VLOOKUP(F8,'05_Master KPI'!$B$5:$G$100,3,FALSE)&amp;")","")</f>
        <v>Revisi Internal (siklus)</v>
      </c>
      <c r="H8" s="9">
        <f>IFERROR(IF(B8&lt;&gt;'06_Target KPI'!$B$3,0,IF(VLOOKUP(F8,'05_Master KPI'!$B$5:$G$100,6,FALSE)="Kumulatif",INDEX('06_Target KPI'!$E$5:$P$100,MATCH(F8,'06_Target KPI'!$B$5:$B$100,0),MATCH(A8,'06_Target KPI'!$E$4:$P$4,0))*DAY(C8)/DAY(EOMONTH(C8,0)),INDEX('06_Target KPI'!$E$5:$P$100,MATCH(F8,'06_Target KPI'!$B$5:$B$100,0),MATCH(A8,'06_Target KPI'!$E$4:$P$4,0)))),0)</f>
        <v>2</v>
      </c>
      <c r="I8" s="20">
        <v>2.7</v>
      </c>
      <c r="J8" s="22">
        <f>IFERROR(MIN(IF(VLOOKUP(F8,'05_Master KPI'!$B$5:$G$100,5,FALSE)="Lower",H8/I8,I8/H8),1),0)</f>
        <v>0.7407407407407407</v>
      </c>
      <c r="K8" s="9">
        <f>IFERROR(VLOOKUP(F8,'05_Master KPI'!$B$5:$G$100,4,FALSE),0)</f>
        <v>20</v>
      </c>
      <c r="L8" s="23">
        <f t="shared" si="0"/>
        <v>14.814814814814813</v>
      </c>
      <c r="M8" s="9" t="str">
        <f>IF(D8="","",IF(J8&gt;='13_Setting'!$H$7,"Tercapai",IF(J8&gt;='13_Setting'!$H$6,"On Track","Tertinggal")))</f>
        <v>Tertinggal</v>
      </c>
      <c r="N8" s="20" t="s">
        <v>211</v>
      </c>
      <c r="O8" s="1"/>
      <c r="P8" s="1"/>
      <c r="Q8" s="1"/>
      <c r="R8" s="1"/>
      <c r="S8" s="1"/>
      <c r="T8" s="1"/>
      <c r="U8" s="1"/>
      <c r="V8" s="1"/>
      <c r="W8" s="1"/>
      <c r="X8" s="1"/>
      <c r="Y8" s="1"/>
      <c r="Z8" s="1"/>
    </row>
    <row r="9" spans="1:26">
      <c r="A9" s="20" t="s">
        <v>192</v>
      </c>
      <c r="B9" s="20">
        <v>2026</v>
      </c>
      <c r="C9" s="21">
        <v>46053</v>
      </c>
      <c r="D9" s="20" t="s">
        <v>96</v>
      </c>
      <c r="E9" s="9" t="str">
        <f>IFERROR(VLOOKUP(D9,'04_Master Karyawan'!$A$5:$F$50,2,FALSE),"")</f>
        <v>Ady</v>
      </c>
      <c r="F9" s="20" t="s">
        <v>166</v>
      </c>
      <c r="G9" s="9" t="str">
        <f>IFERROR(VLOOKUP(F9,'05_Master KPI'!$B$5:$G$100,2,FALSE)&amp;" ("&amp;VLOOKUP(F9,'05_Master KPI'!$B$5:$G$100,3,FALSE)&amp;")","")</f>
        <v>Koordinasi (%)</v>
      </c>
      <c r="H9" s="9">
        <f>IFERROR(IF(B9&lt;&gt;'06_Target KPI'!$B$3,0,IF(VLOOKUP(F9,'05_Master KPI'!$B$5:$G$100,6,FALSE)="Kumulatif",INDEX('06_Target KPI'!$E$5:$P$100,MATCH(F9,'06_Target KPI'!$B$5:$B$100,0),MATCH(A9,'06_Target KPI'!$E$4:$P$4,0))*DAY(C9)/DAY(EOMONTH(C9,0)),INDEX('06_Target KPI'!$E$5:$P$100,MATCH(F9,'06_Target KPI'!$B$5:$B$100,0),MATCH(A9,'06_Target KPI'!$E$4:$P$4,0)))),0)</f>
        <v>95</v>
      </c>
      <c r="I9" s="20">
        <v>70.5</v>
      </c>
      <c r="J9" s="22">
        <f>IFERROR(MIN(IF(VLOOKUP(F9,'05_Master KPI'!$B$5:$G$100,5,FALSE)="Lower",H9/I9,I9/H9),1),0)</f>
        <v>0.74210526315789471</v>
      </c>
      <c r="K9" s="9">
        <f>IFERROR(VLOOKUP(F9,'05_Master KPI'!$B$5:$G$100,4,FALSE),0)</f>
        <v>10</v>
      </c>
      <c r="L9" s="23">
        <f t="shared" si="0"/>
        <v>7.4210526315789469</v>
      </c>
      <c r="M9" s="9" t="str">
        <f>IF(D9="","",IF(J9&gt;='13_Setting'!$H$7,"Tercapai",IF(J9&gt;='13_Setting'!$H$6,"On Track","Tertinggal")))</f>
        <v>Tertinggal</v>
      </c>
      <c r="N9" s="20" t="s">
        <v>211</v>
      </c>
      <c r="O9" s="1"/>
      <c r="P9" s="1"/>
      <c r="Q9" s="1"/>
      <c r="R9" s="1"/>
      <c r="S9" s="1"/>
      <c r="T9" s="1"/>
      <c r="U9" s="1"/>
      <c r="V9" s="1"/>
      <c r="W9" s="1"/>
      <c r="X9" s="1"/>
      <c r="Y9" s="1"/>
      <c r="Z9" s="1"/>
    </row>
    <row r="10" spans="1:26">
      <c r="A10" s="20" t="s">
        <v>193</v>
      </c>
      <c r="B10" s="20">
        <v>2026</v>
      </c>
      <c r="C10" s="21">
        <v>46081</v>
      </c>
      <c r="D10" s="20" t="s">
        <v>96</v>
      </c>
      <c r="E10" s="9" t="str">
        <f>IFERROR(VLOOKUP(D10,'04_Master Karyawan'!$A$5:$F$50,2,FALSE),"")</f>
        <v>Ady</v>
      </c>
      <c r="F10" s="20" t="s">
        <v>157</v>
      </c>
      <c r="G10" s="9" t="str">
        <f>IFERROR(VLOOKUP(F10,'05_Master KPI'!$B$5:$G$100,2,FALSE)&amp;" ("&amp;VLOOKUP(F10,'05_Master KPI'!$B$5:$G$100,3,FALSE)&amp;")","")</f>
        <v>Ketepatan Design (%)</v>
      </c>
      <c r="H10" s="9">
        <f>IFERROR(IF(B10&lt;&gt;'06_Target KPI'!$B$3,0,IF(VLOOKUP(F10,'05_Master KPI'!$B$5:$G$100,6,FALSE)="Kumulatif",INDEX('06_Target KPI'!$E$5:$P$100,MATCH(F10,'06_Target KPI'!$B$5:$B$100,0),MATCH(A10,'06_Target KPI'!$E$4:$P$4,0))*DAY(C10)/DAY(EOMONTH(C10,0)),INDEX('06_Target KPI'!$E$5:$P$100,MATCH(F10,'06_Target KPI'!$B$5:$B$100,0),MATCH(A10,'06_Target KPI'!$E$4:$P$4,0)))),0)</f>
        <v>95</v>
      </c>
      <c r="I10" s="20">
        <v>74.3</v>
      </c>
      <c r="J10" s="22">
        <f>IFERROR(MIN(IF(VLOOKUP(F10,'05_Master KPI'!$B$5:$G$100,5,FALSE)="Lower",H10/I10,I10/H10),1),0)</f>
        <v>0.78210526315789475</v>
      </c>
      <c r="K10" s="9">
        <f>IFERROR(VLOOKUP(F10,'05_Master KPI'!$B$5:$G$100,4,FALSE),0)</f>
        <v>30</v>
      </c>
      <c r="L10" s="23">
        <f t="shared" si="0"/>
        <v>23.463157894736842</v>
      </c>
      <c r="M10" s="9" t="str">
        <f>IF(D10="","",IF(J10&gt;='13_Setting'!$H$7,"Tercapai",IF(J10&gt;='13_Setting'!$H$6,"On Track","Tertinggal")))</f>
        <v>Tertinggal</v>
      </c>
      <c r="N10" s="20" t="s">
        <v>211</v>
      </c>
      <c r="O10" s="1"/>
      <c r="P10" s="1"/>
      <c r="Q10" s="1"/>
      <c r="R10" s="1"/>
      <c r="S10" s="1"/>
      <c r="T10" s="1"/>
      <c r="U10" s="1"/>
      <c r="V10" s="1"/>
      <c r="W10" s="1"/>
      <c r="X10" s="1"/>
      <c r="Y10" s="1"/>
      <c r="Z10" s="1"/>
    </row>
    <row r="11" spans="1:26">
      <c r="A11" s="20" t="s">
        <v>193</v>
      </c>
      <c r="B11" s="20">
        <v>2026</v>
      </c>
      <c r="C11" s="21">
        <v>46081</v>
      </c>
      <c r="D11" s="20" t="s">
        <v>96</v>
      </c>
      <c r="E11" s="9" t="str">
        <f>IFERROR(VLOOKUP(D11,'04_Master Karyawan'!$A$5:$F$50,2,FALSE),"")</f>
        <v>Ady</v>
      </c>
      <c r="F11" s="20" t="s">
        <v>159</v>
      </c>
      <c r="G11" s="9" t="str">
        <f>IFERROR(VLOOKUP(F11,'05_Master KPI'!$B$5:$G$100,2,FALSE)&amp;" ("&amp;VLOOKUP(F11,'05_Master KPI'!$B$5:$G$100,3,FALSE)&amp;")","")</f>
        <v>Deadline (%)</v>
      </c>
      <c r="H11" s="9">
        <f>IFERROR(IF(B11&lt;&gt;'06_Target KPI'!$B$3,0,IF(VLOOKUP(F11,'05_Master KPI'!$B$5:$G$100,6,FALSE)="Kumulatif",INDEX('06_Target KPI'!$E$5:$P$100,MATCH(F11,'06_Target KPI'!$B$5:$B$100,0),MATCH(A11,'06_Target KPI'!$E$4:$P$4,0))*DAY(C11)/DAY(EOMONTH(C11,0)),INDEX('06_Target KPI'!$E$5:$P$100,MATCH(F11,'06_Target KPI'!$B$5:$B$100,0),MATCH(A11,'06_Target KPI'!$E$4:$P$4,0)))),0)</f>
        <v>95</v>
      </c>
      <c r="I11" s="20">
        <v>74.3</v>
      </c>
      <c r="J11" s="22">
        <f>IFERROR(MIN(IF(VLOOKUP(F11,'05_Master KPI'!$B$5:$G$100,5,FALSE)="Lower",H11/I11,I11/H11),1),0)</f>
        <v>0.78210526315789475</v>
      </c>
      <c r="K11" s="9">
        <f>IFERROR(VLOOKUP(F11,'05_Master KPI'!$B$5:$G$100,4,FALSE),0)</f>
        <v>20</v>
      </c>
      <c r="L11" s="23">
        <f t="shared" si="0"/>
        <v>15.642105263157895</v>
      </c>
      <c r="M11" s="9" t="str">
        <f>IF(D11="","",IF(J11&gt;='13_Setting'!$H$7,"Tercapai",IF(J11&gt;='13_Setting'!$H$6,"On Track","Tertinggal")))</f>
        <v>Tertinggal</v>
      </c>
      <c r="N11" s="20" t="s">
        <v>211</v>
      </c>
      <c r="O11" s="1"/>
      <c r="P11" s="1"/>
      <c r="Q11" s="1"/>
      <c r="R11" s="1"/>
      <c r="S11" s="1"/>
      <c r="T11" s="1"/>
      <c r="U11" s="1"/>
      <c r="V11" s="1"/>
      <c r="W11" s="1"/>
      <c r="X11" s="1"/>
      <c r="Y11" s="1"/>
      <c r="Z11" s="1"/>
    </row>
    <row r="12" spans="1:26">
      <c r="A12" s="20" t="s">
        <v>193</v>
      </c>
      <c r="B12" s="20">
        <v>2026</v>
      </c>
      <c r="C12" s="21">
        <v>46081</v>
      </c>
      <c r="D12" s="20" t="s">
        <v>96</v>
      </c>
      <c r="E12" s="9" t="str">
        <f>IFERROR(VLOOKUP(D12,'04_Master Karyawan'!$A$5:$F$50,2,FALSE),"")</f>
        <v>Ady</v>
      </c>
      <c r="F12" s="20" t="s">
        <v>161</v>
      </c>
      <c r="G12" s="9" t="str">
        <f>IFERROR(VLOOKUP(F12,'05_Master KPI'!$B$5:$G$100,2,FALSE)&amp;" ("&amp;VLOOKUP(F12,'05_Master KPI'!$B$5:$G$100,3,FALSE)&amp;")","")</f>
        <v>Worksheet Lengkap (%)</v>
      </c>
      <c r="H12" s="9">
        <f>IFERROR(IF(B12&lt;&gt;'06_Target KPI'!$B$3,0,IF(VLOOKUP(F12,'05_Master KPI'!$B$5:$G$100,6,FALSE)="Kumulatif",INDEX('06_Target KPI'!$E$5:$P$100,MATCH(F12,'06_Target KPI'!$B$5:$B$100,0),MATCH(A12,'06_Target KPI'!$E$4:$P$4,0))*DAY(C12)/DAY(EOMONTH(C12,0)),INDEX('06_Target KPI'!$E$5:$P$100,MATCH(F12,'06_Target KPI'!$B$5:$B$100,0),MATCH(A12,'06_Target KPI'!$E$4:$P$4,0)))),0)</f>
        <v>100</v>
      </c>
      <c r="I12" s="20">
        <v>78.3</v>
      </c>
      <c r="J12" s="22">
        <f>IFERROR(MIN(IF(VLOOKUP(F12,'05_Master KPI'!$B$5:$G$100,5,FALSE)="Lower",H12/I12,I12/H12),1),0)</f>
        <v>0.78299999999999992</v>
      </c>
      <c r="K12" s="9">
        <f>IFERROR(VLOOKUP(F12,'05_Master KPI'!$B$5:$G$100,4,FALSE),0)</f>
        <v>20</v>
      </c>
      <c r="L12" s="23">
        <f t="shared" si="0"/>
        <v>15.659999999999998</v>
      </c>
      <c r="M12" s="9" t="str">
        <f>IF(D12="","",IF(J12&gt;='13_Setting'!$H$7,"Tercapai",IF(J12&gt;='13_Setting'!$H$6,"On Track","Tertinggal")))</f>
        <v>Tertinggal</v>
      </c>
      <c r="N12" s="20" t="s">
        <v>211</v>
      </c>
      <c r="O12" s="1"/>
      <c r="P12" s="1"/>
      <c r="Q12" s="1"/>
      <c r="R12" s="1"/>
      <c r="S12" s="1"/>
      <c r="T12" s="1"/>
      <c r="U12" s="1"/>
      <c r="V12" s="1"/>
      <c r="W12" s="1"/>
      <c r="X12" s="1"/>
      <c r="Y12" s="1"/>
      <c r="Z12" s="1"/>
    </row>
    <row r="13" spans="1:26">
      <c r="A13" s="20" t="s">
        <v>193</v>
      </c>
      <c r="B13" s="20">
        <v>2026</v>
      </c>
      <c r="C13" s="21">
        <v>46081</v>
      </c>
      <c r="D13" s="20" t="s">
        <v>96</v>
      </c>
      <c r="E13" s="9" t="str">
        <f>IFERROR(VLOOKUP(D13,'04_Master Karyawan'!$A$5:$F$50,2,FALSE),"")</f>
        <v>Ady</v>
      </c>
      <c r="F13" s="20" t="s">
        <v>163</v>
      </c>
      <c r="G13" s="9" t="str">
        <f>IFERROR(VLOOKUP(F13,'05_Master KPI'!$B$5:$G$100,2,FALSE)&amp;" ("&amp;VLOOKUP(F13,'05_Master KPI'!$B$5:$G$100,3,FALSE)&amp;")","")</f>
        <v>Revisi Internal (siklus)</v>
      </c>
      <c r="H13" s="9">
        <f>IFERROR(IF(B13&lt;&gt;'06_Target KPI'!$B$3,0,IF(VLOOKUP(F13,'05_Master KPI'!$B$5:$G$100,6,FALSE)="Kumulatif",INDEX('06_Target KPI'!$E$5:$P$100,MATCH(F13,'06_Target KPI'!$B$5:$B$100,0),MATCH(A13,'06_Target KPI'!$E$4:$P$4,0))*DAY(C13)/DAY(EOMONTH(C13,0)),INDEX('06_Target KPI'!$E$5:$P$100,MATCH(F13,'06_Target KPI'!$B$5:$B$100,0),MATCH(A13,'06_Target KPI'!$E$4:$P$4,0)))),0)</f>
        <v>2</v>
      </c>
      <c r="I13" s="20">
        <v>2.6</v>
      </c>
      <c r="J13" s="22">
        <f>IFERROR(MIN(IF(VLOOKUP(F13,'05_Master KPI'!$B$5:$G$100,5,FALSE)="Lower",H13/I13,I13/H13),1),0)</f>
        <v>0.76923076923076916</v>
      </c>
      <c r="K13" s="9">
        <f>IFERROR(VLOOKUP(F13,'05_Master KPI'!$B$5:$G$100,4,FALSE),0)</f>
        <v>20</v>
      </c>
      <c r="L13" s="23">
        <f t="shared" si="0"/>
        <v>15.384615384615383</v>
      </c>
      <c r="M13" s="9" t="str">
        <f>IF(D13="","",IF(J13&gt;='13_Setting'!$H$7,"Tercapai",IF(J13&gt;='13_Setting'!$H$6,"On Track","Tertinggal")))</f>
        <v>Tertinggal</v>
      </c>
      <c r="N13" s="20" t="s">
        <v>211</v>
      </c>
      <c r="O13" s="1"/>
      <c r="P13" s="1"/>
      <c r="Q13" s="1"/>
      <c r="R13" s="1"/>
      <c r="S13" s="1"/>
      <c r="T13" s="1"/>
      <c r="U13" s="1"/>
      <c r="V13" s="1"/>
      <c r="W13" s="1"/>
      <c r="X13" s="1"/>
      <c r="Y13" s="1"/>
      <c r="Z13" s="1"/>
    </row>
    <row r="14" spans="1:26">
      <c r="A14" s="20" t="s">
        <v>193</v>
      </c>
      <c r="B14" s="20">
        <v>2026</v>
      </c>
      <c r="C14" s="21">
        <v>46081</v>
      </c>
      <c r="D14" s="20" t="s">
        <v>96</v>
      </c>
      <c r="E14" s="9" t="str">
        <f>IFERROR(VLOOKUP(D14,'04_Master Karyawan'!$A$5:$F$50,2,FALSE),"")</f>
        <v>Ady</v>
      </c>
      <c r="F14" s="20" t="s">
        <v>166</v>
      </c>
      <c r="G14" s="9" t="str">
        <f>IFERROR(VLOOKUP(F14,'05_Master KPI'!$B$5:$G$100,2,FALSE)&amp;" ("&amp;VLOOKUP(F14,'05_Master KPI'!$B$5:$G$100,3,FALSE)&amp;")","")</f>
        <v>Koordinasi (%)</v>
      </c>
      <c r="H14" s="9">
        <f>IFERROR(IF(B14&lt;&gt;'06_Target KPI'!$B$3,0,IF(VLOOKUP(F14,'05_Master KPI'!$B$5:$G$100,6,FALSE)="Kumulatif",INDEX('06_Target KPI'!$E$5:$P$100,MATCH(F14,'06_Target KPI'!$B$5:$B$100,0),MATCH(A14,'06_Target KPI'!$E$4:$P$4,0))*DAY(C14)/DAY(EOMONTH(C14,0)),INDEX('06_Target KPI'!$E$5:$P$100,MATCH(F14,'06_Target KPI'!$B$5:$B$100,0),MATCH(A14,'06_Target KPI'!$E$4:$P$4,0)))),0)</f>
        <v>95</v>
      </c>
      <c r="I14" s="20">
        <v>74.3</v>
      </c>
      <c r="J14" s="22">
        <f>IFERROR(MIN(IF(VLOOKUP(F14,'05_Master KPI'!$B$5:$G$100,5,FALSE)="Lower",H14/I14,I14/H14),1),0)</f>
        <v>0.78210526315789475</v>
      </c>
      <c r="K14" s="9">
        <f>IFERROR(VLOOKUP(F14,'05_Master KPI'!$B$5:$G$100,4,FALSE),0)</f>
        <v>10</v>
      </c>
      <c r="L14" s="23">
        <f t="shared" si="0"/>
        <v>7.8210526315789473</v>
      </c>
      <c r="M14" s="9" t="str">
        <f>IF(D14="","",IF(J14&gt;='13_Setting'!$H$7,"Tercapai",IF(J14&gt;='13_Setting'!$H$6,"On Track","Tertinggal")))</f>
        <v>Tertinggal</v>
      </c>
      <c r="N14" s="20" t="s">
        <v>211</v>
      </c>
      <c r="O14" s="1"/>
      <c r="P14" s="1"/>
      <c r="Q14" s="1"/>
      <c r="R14" s="1"/>
      <c r="S14" s="1"/>
      <c r="T14" s="1"/>
      <c r="U14" s="1"/>
      <c r="V14" s="1"/>
      <c r="W14" s="1"/>
      <c r="X14" s="1"/>
      <c r="Y14" s="1"/>
      <c r="Z14" s="1"/>
    </row>
    <row r="15" spans="1:26">
      <c r="A15" s="20" t="s">
        <v>194</v>
      </c>
      <c r="B15" s="20">
        <v>2026</v>
      </c>
      <c r="C15" s="21">
        <v>46112</v>
      </c>
      <c r="D15" s="20" t="s">
        <v>96</v>
      </c>
      <c r="E15" s="9" t="str">
        <f>IFERROR(VLOOKUP(D15,'04_Master Karyawan'!$A$5:$F$50,2,FALSE),"")</f>
        <v>Ady</v>
      </c>
      <c r="F15" s="20" t="s">
        <v>157</v>
      </c>
      <c r="G15" s="9" t="str">
        <f>IFERROR(VLOOKUP(F15,'05_Master KPI'!$B$5:$G$100,2,FALSE)&amp;" ("&amp;VLOOKUP(F15,'05_Master KPI'!$B$5:$G$100,3,FALSE)&amp;")","")</f>
        <v>Ketepatan Design (%)</v>
      </c>
      <c r="H15" s="9">
        <f>IFERROR(IF(B15&lt;&gt;'06_Target KPI'!$B$3,0,IF(VLOOKUP(F15,'05_Master KPI'!$B$5:$G$100,6,FALSE)="Kumulatif",INDEX('06_Target KPI'!$E$5:$P$100,MATCH(F15,'06_Target KPI'!$B$5:$B$100,0),MATCH(A15,'06_Target KPI'!$E$4:$P$4,0))*DAY(C15)/DAY(EOMONTH(C15,0)),INDEX('06_Target KPI'!$E$5:$P$100,MATCH(F15,'06_Target KPI'!$B$5:$B$100,0),MATCH(A15,'06_Target KPI'!$E$4:$P$4,0)))),0)</f>
        <v>95</v>
      </c>
      <c r="I15" s="20">
        <v>76.2</v>
      </c>
      <c r="J15" s="22">
        <f>IFERROR(MIN(IF(VLOOKUP(F15,'05_Master KPI'!$B$5:$G$100,5,FALSE)="Lower",H15/I15,I15/H15),1),0)</f>
        <v>0.80210526315789477</v>
      </c>
      <c r="K15" s="9">
        <f>IFERROR(VLOOKUP(F15,'05_Master KPI'!$B$5:$G$100,4,FALSE),0)</f>
        <v>30</v>
      </c>
      <c r="L15" s="23">
        <f t="shared" si="0"/>
        <v>24.063157894736843</v>
      </c>
      <c r="M15" s="9" t="str">
        <f>IF(D15="","",IF(J15&gt;='13_Setting'!$H$7,"Tercapai",IF(J15&gt;='13_Setting'!$H$6,"On Track","Tertinggal")))</f>
        <v>Tertinggal</v>
      </c>
      <c r="N15" s="20" t="s">
        <v>211</v>
      </c>
      <c r="O15" s="1"/>
      <c r="P15" s="1"/>
      <c r="Q15" s="1"/>
      <c r="R15" s="1"/>
      <c r="S15" s="1"/>
      <c r="T15" s="1"/>
      <c r="U15" s="1"/>
      <c r="V15" s="1"/>
      <c r="W15" s="1"/>
      <c r="X15" s="1"/>
      <c r="Y15" s="1"/>
      <c r="Z15" s="1"/>
    </row>
    <row r="16" spans="1:26">
      <c r="A16" s="20" t="s">
        <v>194</v>
      </c>
      <c r="B16" s="20">
        <v>2026</v>
      </c>
      <c r="C16" s="21">
        <v>46112</v>
      </c>
      <c r="D16" s="20" t="s">
        <v>96</v>
      </c>
      <c r="E16" s="9" t="str">
        <f>IFERROR(VLOOKUP(D16,'04_Master Karyawan'!$A$5:$F$50,2,FALSE),"")</f>
        <v>Ady</v>
      </c>
      <c r="F16" s="20" t="s">
        <v>159</v>
      </c>
      <c r="G16" s="9" t="str">
        <f>IFERROR(VLOOKUP(F16,'05_Master KPI'!$B$5:$G$100,2,FALSE)&amp;" ("&amp;VLOOKUP(F16,'05_Master KPI'!$B$5:$G$100,3,FALSE)&amp;")","")</f>
        <v>Deadline (%)</v>
      </c>
      <c r="H16" s="9">
        <f>IFERROR(IF(B16&lt;&gt;'06_Target KPI'!$B$3,0,IF(VLOOKUP(F16,'05_Master KPI'!$B$5:$G$100,6,FALSE)="Kumulatif",INDEX('06_Target KPI'!$E$5:$P$100,MATCH(F16,'06_Target KPI'!$B$5:$B$100,0),MATCH(A16,'06_Target KPI'!$E$4:$P$4,0))*DAY(C16)/DAY(EOMONTH(C16,0)),INDEX('06_Target KPI'!$E$5:$P$100,MATCH(F16,'06_Target KPI'!$B$5:$B$100,0),MATCH(A16,'06_Target KPI'!$E$4:$P$4,0)))),0)</f>
        <v>95</v>
      </c>
      <c r="I16" s="20">
        <v>76.2</v>
      </c>
      <c r="J16" s="22">
        <f>IFERROR(MIN(IF(VLOOKUP(F16,'05_Master KPI'!$B$5:$G$100,5,FALSE)="Lower",H16/I16,I16/H16),1),0)</f>
        <v>0.80210526315789477</v>
      </c>
      <c r="K16" s="9">
        <f>IFERROR(VLOOKUP(F16,'05_Master KPI'!$B$5:$G$100,4,FALSE),0)</f>
        <v>20</v>
      </c>
      <c r="L16" s="23">
        <f t="shared" si="0"/>
        <v>16.042105263157897</v>
      </c>
      <c r="M16" s="9" t="str">
        <f>IF(D16="","",IF(J16&gt;='13_Setting'!$H$7,"Tercapai",IF(J16&gt;='13_Setting'!$H$6,"On Track","Tertinggal")))</f>
        <v>Tertinggal</v>
      </c>
      <c r="N16" s="20" t="s">
        <v>211</v>
      </c>
      <c r="O16" s="1"/>
      <c r="P16" s="1"/>
      <c r="Q16" s="1"/>
      <c r="R16" s="1"/>
      <c r="S16" s="1"/>
      <c r="T16" s="1"/>
      <c r="U16" s="1"/>
      <c r="V16" s="1"/>
      <c r="W16" s="1"/>
      <c r="X16" s="1"/>
      <c r="Y16" s="1"/>
      <c r="Z16" s="1"/>
    </row>
    <row r="17" spans="1:26">
      <c r="A17" s="20" t="s">
        <v>194</v>
      </c>
      <c r="B17" s="20">
        <v>2026</v>
      </c>
      <c r="C17" s="21">
        <v>46112</v>
      </c>
      <c r="D17" s="20" t="s">
        <v>96</v>
      </c>
      <c r="E17" s="9" t="str">
        <f>IFERROR(VLOOKUP(D17,'04_Master Karyawan'!$A$5:$F$50,2,FALSE),"")</f>
        <v>Ady</v>
      </c>
      <c r="F17" s="20" t="s">
        <v>161</v>
      </c>
      <c r="G17" s="9" t="str">
        <f>IFERROR(VLOOKUP(F17,'05_Master KPI'!$B$5:$G$100,2,FALSE)&amp;" ("&amp;VLOOKUP(F17,'05_Master KPI'!$B$5:$G$100,3,FALSE)&amp;")","")</f>
        <v>Worksheet Lengkap (%)</v>
      </c>
      <c r="H17" s="9">
        <f>IFERROR(IF(B17&lt;&gt;'06_Target KPI'!$B$3,0,IF(VLOOKUP(F17,'05_Master KPI'!$B$5:$G$100,6,FALSE)="Kumulatif",INDEX('06_Target KPI'!$E$5:$P$100,MATCH(F17,'06_Target KPI'!$B$5:$B$100,0),MATCH(A17,'06_Target KPI'!$E$4:$P$4,0))*DAY(C17)/DAY(EOMONTH(C17,0)),INDEX('06_Target KPI'!$E$5:$P$100,MATCH(F17,'06_Target KPI'!$B$5:$B$100,0),MATCH(A17,'06_Target KPI'!$E$4:$P$4,0)))),0)</f>
        <v>100</v>
      </c>
      <c r="I17" s="20">
        <v>80.3</v>
      </c>
      <c r="J17" s="22">
        <f>IFERROR(MIN(IF(VLOOKUP(F17,'05_Master KPI'!$B$5:$G$100,5,FALSE)="Lower",H17/I17,I17/H17),1),0)</f>
        <v>0.80299999999999994</v>
      </c>
      <c r="K17" s="9">
        <f>IFERROR(VLOOKUP(F17,'05_Master KPI'!$B$5:$G$100,4,FALSE),0)</f>
        <v>20</v>
      </c>
      <c r="L17" s="23">
        <f t="shared" si="0"/>
        <v>16.059999999999999</v>
      </c>
      <c r="M17" s="9" t="str">
        <f>IF(D17="","",IF(J17&gt;='13_Setting'!$H$7,"Tercapai",IF(J17&gt;='13_Setting'!$H$6,"On Track","Tertinggal")))</f>
        <v>Tertinggal</v>
      </c>
      <c r="N17" s="20" t="s">
        <v>211</v>
      </c>
      <c r="O17" s="1"/>
      <c r="P17" s="1"/>
      <c r="Q17" s="1"/>
      <c r="R17" s="1"/>
      <c r="S17" s="1"/>
      <c r="T17" s="1"/>
      <c r="U17" s="1"/>
      <c r="V17" s="1"/>
      <c r="W17" s="1"/>
      <c r="X17" s="1"/>
      <c r="Y17" s="1"/>
      <c r="Z17" s="1"/>
    </row>
    <row r="18" spans="1:26">
      <c r="A18" s="20" t="s">
        <v>194</v>
      </c>
      <c r="B18" s="20">
        <v>2026</v>
      </c>
      <c r="C18" s="21">
        <v>46112</v>
      </c>
      <c r="D18" s="20" t="s">
        <v>96</v>
      </c>
      <c r="E18" s="9" t="str">
        <f>IFERROR(VLOOKUP(D18,'04_Master Karyawan'!$A$5:$F$50,2,FALSE),"")</f>
        <v>Ady</v>
      </c>
      <c r="F18" s="20" t="s">
        <v>163</v>
      </c>
      <c r="G18" s="9" t="str">
        <f>IFERROR(VLOOKUP(F18,'05_Master KPI'!$B$5:$G$100,2,FALSE)&amp;" ("&amp;VLOOKUP(F18,'05_Master KPI'!$B$5:$G$100,3,FALSE)&amp;")","")</f>
        <v>Revisi Internal (siklus)</v>
      </c>
      <c r="H18" s="9">
        <f>IFERROR(IF(B18&lt;&gt;'06_Target KPI'!$B$3,0,IF(VLOOKUP(F18,'05_Master KPI'!$B$5:$G$100,6,FALSE)="Kumulatif",INDEX('06_Target KPI'!$E$5:$P$100,MATCH(F18,'06_Target KPI'!$B$5:$B$100,0),MATCH(A18,'06_Target KPI'!$E$4:$P$4,0))*DAY(C18)/DAY(EOMONTH(C18,0)),INDEX('06_Target KPI'!$E$5:$P$100,MATCH(F18,'06_Target KPI'!$B$5:$B$100,0),MATCH(A18,'06_Target KPI'!$E$4:$P$4,0)))),0)</f>
        <v>2</v>
      </c>
      <c r="I18" s="20">
        <v>2.5</v>
      </c>
      <c r="J18" s="22">
        <f>IFERROR(MIN(IF(VLOOKUP(F18,'05_Master KPI'!$B$5:$G$100,5,FALSE)="Lower",H18/I18,I18/H18),1),0)</f>
        <v>0.8</v>
      </c>
      <c r="K18" s="9">
        <f>IFERROR(VLOOKUP(F18,'05_Master KPI'!$B$5:$G$100,4,FALSE),0)</f>
        <v>20</v>
      </c>
      <c r="L18" s="23">
        <f t="shared" si="0"/>
        <v>16</v>
      </c>
      <c r="M18" s="9" t="str">
        <f>IF(D18="","",IF(J18&gt;='13_Setting'!$H$7,"Tercapai",IF(J18&gt;='13_Setting'!$H$6,"On Track","Tertinggal")))</f>
        <v>Tertinggal</v>
      </c>
      <c r="N18" s="20" t="s">
        <v>211</v>
      </c>
      <c r="O18" s="1"/>
      <c r="P18" s="1"/>
      <c r="Q18" s="1"/>
      <c r="R18" s="1"/>
      <c r="S18" s="1"/>
      <c r="T18" s="1"/>
      <c r="U18" s="1"/>
      <c r="V18" s="1"/>
      <c r="W18" s="1"/>
      <c r="X18" s="1"/>
      <c r="Y18" s="1"/>
      <c r="Z18" s="1"/>
    </row>
    <row r="19" spans="1:26">
      <c r="A19" s="20" t="s">
        <v>194</v>
      </c>
      <c r="B19" s="20">
        <v>2026</v>
      </c>
      <c r="C19" s="21">
        <v>46112</v>
      </c>
      <c r="D19" s="20" t="s">
        <v>96</v>
      </c>
      <c r="E19" s="9" t="str">
        <f>IFERROR(VLOOKUP(D19,'04_Master Karyawan'!$A$5:$F$50,2,FALSE),"")</f>
        <v>Ady</v>
      </c>
      <c r="F19" s="20" t="s">
        <v>166</v>
      </c>
      <c r="G19" s="9" t="str">
        <f>IFERROR(VLOOKUP(F19,'05_Master KPI'!$B$5:$G$100,2,FALSE)&amp;" ("&amp;VLOOKUP(F19,'05_Master KPI'!$B$5:$G$100,3,FALSE)&amp;")","")</f>
        <v>Koordinasi (%)</v>
      </c>
      <c r="H19" s="9">
        <f>IFERROR(IF(B19&lt;&gt;'06_Target KPI'!$B$3,0,IF(VLOOKUP(F19,'05_Master KPI'!$B$5:$G$100,6,FALSE)="Kumulatif",INDEX('06_Target KPI'!$E$5:$P$100,MATCH(F19,'06_Target KPI'!$B$5:$B$100,0),MATCH(A19,'06_Target KPI'!$E$4:$P$4,0))*DAY(C19)/DAY(EOMONTH(C19,0)),INDEX('06_Target KPI'!$E$5:$P$100,MATCH(F19,'06_Target KPI'!$B$5:$B$100,0),MATCH(A19,'06_Target KPI'!$E$4:$P$4,0)))),0)</f>
        <v>95</v>
      </c>
      <c r="I19" s="20">
        <v>76.2</v>
      </c>
      <c r="J19" s="22">
        <f>IFERROR(MIN(IF(VLOOKUP(F19,'05_Master KPI'!$B$5:$G$100,5,FALSE)="Lower",H19/I19,I19/H19),1),0)</f>
        <v>0.80210526315789477</v>
      </c>
      <c r="K19" s="9">
        <f>IFERROR(VLOOKUP(F19,'05_Master KPI'!$B$5:$G$100,4,FALSE),0)</f>
        <v>10</v>
      </c>
      <c r="L19" s="23">
        <f t="shared" si="0"/>
        <v>8.0210526315789483</v>
      </c>
      <c r="M19" s="9" t="str">
        <f>IF(D19="","",IF(J19&gt;='13_Setting'!$H$7,"Tercapai",IF(J19&gt;='13_Setting'!$H$6,"On Track","Tertinggal")))</f>
        <v>Tertinggal</v>
      </c>
      <c r="N19" s="20" t="s">
        <v>211</v>
      </c>
      <c r="O19" s="1"/>
      <c r="P19" s="1"/>
      <c r="Q19" s="1"/>
      <c r="R19" s="1"/>
      <c r="S19" s="1"/>
      <c r="T19" s="1"/>
      <c r="U19" s="1"/>
      <c r="V19" s="1"/>
      <c r="W19" s="1"/>
      <c r="X19" s="1"/>
      <c r="Y19" s="1"/>
      <c r="Z19" s="1"/>
    </row>
    <row r="20" spans="1:26">
      <c r="A20" s="20" t="s">
        <v>195</v>
      </c>
      <c r="B20" s="20">
        <v>2026</v>
      </c>
      <c r="C20" s="21">
        <v>46142</v>
      </c>
      <c r="D20" s="20" t="s">
        <v>96</v>
      </c>
      <c r="E20" s="9" t="str">
        <f>IFERROR(VLOOKUP(D20,'04_Master Karyawan'!$A$5:$F$50,2,FALSE),"")</f>
        <v>Ady</v>
      </c>
      <c r="F20" s="20" t="s">
        <v>157</v>
      </c>
      <c r="G20" s="9" t="str">
        <f>IFERROR(VLOOKUP(F20,'05_Master KPI'!$B$5:$G$100,2,FALSE)&amp;" ("&amp;VLOOKUP(F20,'05_Master KPI'!$B$5:$G$100,3,FALSE)&amp;")","")</f>
        <v>Ketepatan Design (%)</v>
      </c>
      <c r="H20" s="9">
        <f>IFERROR(IF(B20&lt;&gt;'06_Target KPI'!$B$3,0,IF(VLOOKUP(F20,'05_Master KPI'!$B$5:$G$100,6,FALSE)="Kumulatif",INDEX('06_Target KPI'!$E$5:$P$100,MATCH(F20,'06_Target KPI'!$B$5:$B$100,0),MATCH(A20,'06_Target KPI'!$E$4:$P$4,0))*DAY(C20)/DAY(EOMONTH(C20,0)),INDEX('06_Target KPI'!$E$5:$P$100,MATCH(F20,'06_Target KPI'!$B$5:$B$100,0),MATCH(A20,'06_Target KPI'!$E$4:$P$4,0)))),0)</f>
        <v>95</v>
      </c>
      <c r="I20" s="20">
        <v>79.099999999999994</v>
      </c>
      <c r="J20" s="22">
        <f>IFERROR(MIN(IF(VLOOKUP(F20,'05_Master KPI'!$B$5:$G$100,5,FALSE)="Lower",H20/I20,I20/H20),1),0)</f>
        <v>0.83263157894736839</v>
      </c>
      <c r="K20" s="9">
        <f>IFERROR(VLOOKUP(F20,'05_Master KPI'!$B$5:$G$100,4,FALSE),0)</f>
        <v>30</v>
      </c>
      <c r="L20" s="23">
        <f t="shared" si="0"/>
        <v>24.978947368421053</v>
      </c>
      <c r="M20" s="9" t="str">
        <f>IF(D20="","",IF(J20&gt;='13_Setting'!$H$7,"Tercapai",IF(J20&gt;='13_Setting'!$H$6,"On Track","Tertinggal")))</f>
        <v>Tertinggal</v>
      </c>
      <c r="N20" s="20" t="s">
        <v>211</v>
      </c>
      <c r="O20" s="1"/>
      <c r="P20" s="1"/>
      <c r="Q20" s="1"/>
      <c r="R20" s="1"/>
      <c r="S20" s="1"/>
      <c r="T20" s="1"/>
      <c r="U20" s="1"/>
      <c r="V20" s="1"/>
      <c r="W20" s="1"/>
      <c r="X20" s="1"/>
      <c r="Y20" s="1"/>
      <c r="Z20" s="1"/>
    </row>
    <row r="21" spans="1:26">
      <c r="A21" s="20" t="s">
        <v>195</v>
      </c>
      <c r="B21" s="20">
        <v>2026</v>
      </c>
      <c r="C21" s="21">
        <v>46142</v>
      </c>
      <c r="D21" s="20" t="s">
        <v>96</v>
      </c>
      <c r="E21" s="9" t="str">
        <f>IFERROR(VLOOKUP(D21,'04_Master Karyawan'!$A$5:$F$50,2,FALSE),"")</f>
        <v>Ady</v>
      </c>
      <c r="F21" s="20" t="s">
        <v>159</v>
      </c>
      <c r="G21" s="9" t="str">
        <f>IFERROR(VLOOKUP(F21,'05_Master KPI'!$B$5:$G$100,2,FALSE)&amp;" ("&amp;VLOOKUP(F21,'05_Master KPI'!$B$5:$G$100,3,FALSE)&amp;")","")</f>
        <v>Deadline (%)</v>
      </c>
      <c r="H21" s="9">
        <f>IFERROR(IF(B21&lt;&gt;'06_Target KPI'!$B$3,0,IF(VLOOKUP(F21,'05_Master KPI'!$B$5:$G$100,6,FALSE)="Kumulatif",INDEX('06_Target KPI'!$E$5:$P$100,MATCH(F21,'06_Target KPI'!$B$5:$B$100,0),MATCH(A21,'06_Target KPI'!$E$4:$P$4,0))*DAY(C21)/DAY(EOMONTH(C21,0)),INDEX('06_Target KPI'!$E$5:$P$100,MATCH(F21,'06_Target KPI'!$B$5:$B$100,0),MATCH(A21,'06_Target KPI'!$E$4:$P$4,0)))),0)</f>
        <v>95</v>
      </c>
      <c r="I21" s="20">
        <v>79.099999999999994</v>
      </c>
      <c r="J21" s="22">
        <f>IFERROR(MIN(IF(VLOOKUP(F21,'05_Master KPI'!$B$5:$G$100,5,FALSE)="Lower",H21/I21,I21/H21),1),0)</f>
        <v>0.83263157894736839</v>
      </c>
      <c r="K21" s="9">
        <f>IFERROR(VLOOKUP(F21,'05_Master KPI'!$B$5:$G$100,4,FALSE),0)</f>
        <v>20</v>
      </c>
      <c r="L21" s="23">
        <f t="shared" si="0"/>
        <v>16.652631578947368</v>
      </c>
      <c r="M21" s="9" t="str">
        <f>IF(D21="","",IF(J21&gt;='13_Setting'!$H$7,"Tercapai",IF(J21&gt;='13_Setting'!$H$6,"On Track","Tertinggal")))</f>
        <v>Tertinggal</v>
      </c>
      <c r="N21" s="20" t="s">
        <v>211</v>
      </c>
      <c r="O21" s="1"/>
      <c r="P21" s="1"/>
      <c r="Q21" s="1"/>
      <c r="R21" s="1"/>
      <c r="S21" s="1"/>
      <c r="T21" s="1"/>
      <c r="U21" s="1"/>
      <c r="V21" s="1"/>
      <c r="W21" s="1"/>
      <c r="X21" s="1"/>
      <c r="Y21" s="1"/>
      <c r="Z21" s="1"/>
    </row>
    <row r="22" spans="1:26">
      <c r="A22" s="20" t="s">
        <v>195</v>
      </c>
      <c r="B22" s="20">
        <v>2026</v>
      </c>
      <c r="C22" s="21">
        <v>46142</v>
      </c>
      <c r="D22" s="20" t="s">
        <v>96</v>
      </c>
      <c r="E22" s="9" t="str">
        <f>IFERROR(VLOOKUP(D22,'04_Master Karyawan'!$A$5:$F$50,2,FALSE),"")</f>
        <v>Ady</v>
      </c>
      <c r="F22" s="20" t="s">
        <v>161</v>
      </c>
      <c r="G22" s="9" t="str">
        <f>IFERROR(VLOOKUP(F22,'05_Master KPI'!$B$5:$G$100,2,FALSE)&amp;" ("&amp;VLOOKUP(F22,'05_Master KPI'!$B$5:$G$100,3,FALSE)&amp;")","")</f>
        <v>Worksheet Lengkap (%)</v>
      </c>
      <c r="H22" s="9">
        <f>IFERROR(IF(B22&lt;&gt;'06_Target KPI'!$B$3,0,IF(VLOOKUP(F22,'05_Master KPI'!$B$5:$G$100,6,FALSE)="Kumulatif",INDEX('06_Target KPI'!$E$5:$P$100,MATCH(F22,'06_Target KPI'!$B$5:$B$100,0),MATCH(A22,'06_Target KPI'!$E$4:$P$4,0))*DAY(C22)/DAY(EOMONTH(C22,0)),INDEX('06_Target KPI'!$E$5:$P$100,MATCH(F22,'06_Target KPI'!$B$5:$B$100,0),MATCH(A22,'06_Target KPI'!$E$4:$P$4,0)))),0)</f>
        <v>100</v>
      </c>
      <c r="I22" s="20">
        <v>83.3</v>
      </c>
      <c r="J22" s="22">
        <f>IFERROR(MIN(IF(VLOOKUP(F22,'05_Master KPI'!$B$5:$G$100,5,FALSE)="Lower",H22/I22,I22/H22),1),0)</f>
        <v>0.83299999999999996</v>
      </c>
      <c r="K22" s="9">
        <f>IFERROR(VLOOKUP(F22,'05_Master KPI'!$B$5:$G$100,4,FALSE),0)</f>
        <v>20</v>
      </c>
      <c r="L22" s="23">
        <f t="shared" si="0"/>
        <v>16.66</v>
      </c>
      <c r="M22" s="9" t="str">
        <f>IF(D22="","",IF(J22&gt;='13_Setting'!$H$7,"Tercapai",IF(J22&gt;='13_Setting'!$H$6,"On Track","Tertinggal")))</f>
        <v>Tertinggal</v>
      </c>
      <c r="N22" s="20" t="s">
        <v>211</v>
      </c>
      <c r="O22" s="1"/>
      <c r="P22" s="1"/>
      <c r="Q22" s="1"/>
      <c r="R22" s="1"/>
      <c r="S22" s="1"/>
      <c r="T22" s="1"/>
      <c r="U22" s="1"/>
      <c r="V22" s="1"/>
      <c r="W22" s="1"/>
      <c r="X22" s="1"/>
      <c r="Y22" s="1"/>
      <c r="Z22" s="1"/>
    </row>
    <row r="23" spans="1:26">
      <c r="A23" s="20" t="s">
        <v>195</v>
      </c>
      <c r="B23" s="20">
        <v>2026</v>
      </c>
      <c r="C23" s="21">
        <v>46142</v>
      </c>
      <c r="D23" s="20" t="s">
        <v>96</v>
      </c>
      <c r="E23" s="9" t="str">
        <f>IFERROR(VLOOKUP(D23,'04_Master Karyawan'!$A$5:$F$50,2,FALSE),"")</f>
        <v>Ady</v>
      </c>
      <c r="F23" s="20" t="s">
        <v>163</v>
      </c>
      <c r="G23" s="9" t="str">
        <f>IFERROR(VLOOKUP(F23,'05_Master KPI'!$B$5:$G$100,2,FALSE)&amp;" ("&amp;VLOOKUP(F23,'05_Master KPI'!$B$5:$G$100,3,FALSE)&amp;")","")</f>
        <v>Revisi Internal (siklus)</v>
      </c>
      <c r="H23" s="9">
        <f>IFERROR(IF(B23&lt;&gt;'06_Target KPI'!$B$3,0,IF(VLOOKUP(F23,'05_Master KPI'!$B$5:$G$100,6,FALSE)="Kumulatif",INDEX('06_Target KPI'!$E$5:$P$100,MATCH(F23,'06_Target KPI'!$B$5:$B$100,0),MATCH(A23,'06_Target KPI'!$E$4:$P$4,0))*DAY(C23)/DAY(EOMONTH(C23,0)),INDEX('06_Target KPI'!$E$5:$P$100,MATCH(F23,'06_Target KPI'!$B$5:$B$100,0),MATCH(A23,'06_Target KPI'!$E$4:$P$4,0)))),0)</f>
        <v>2</v>
      </c>
      <c r="I23" s="20">
        <v>2.4</v>
      </c>
      <c r="J23" s="22">
        <f>IFERROR(MIN(IF(VLOOKUP(F23,'05_Master KPI'!$B$5:$G$100,5,FALSE)="Lower",H23/I23,I23/H23),1),0)</f>
        <v>0.83333333333333337</v>
      </c>
      <c r="K23" s="9">
        <f>IFERROR(VLOOKUP(F23,'05_Master KPI'!$B$5:$G$100,4,FALSE),0)</f>
        <v>20</v>
      </c>
      <c r="L23" s="23">
        <f t="shared" si="0"/>
        <v>16.666666666666668</v>
      </c>
      <c r="M23" s="9" t="str">
        <f>IF(D23="","",IF(J23&gt;='13_Setting'!$H$7,"Tercapai",IF(J23&gt;='13_Setting'!$H$6,"On Track","Tertinggal")))</f>
        <v>Tertinggal</v>
      </c>
      <c r="N23" s="20" t="s">
        <v>211</v>
      </c>
      <c r="O23" s="1"/>
      <c r="P23" s="1"/>
      <c r="Q23" s="1"/>
      <c r="R23" s="1"/>
      <c r="S23" s="1"/>
      <c r="T23" s="1"/>
      <c r="U23" s="1"/>
      <c r="V23" s="1"/>
      <c r="W23" s="1"/>
      <c r="X23" s="1"/>
      <c r="Y23" s="1"/>
      <c r="Z23" s="1"/>
    </row>
    <row r="24" spans="1:26">
      <c r="A24" s="20" t="s">
        <v>195</v>
      </c>
      <c r="B24" s="20">
        <v>2026</v>
      </c>
      <c r="C24" s="21">
        <v>46142</v>
      </c>
      <c r="D24" s="20" t="s">
        <v>96</v>
      </c>
      <c r="E24" s="9" t="str">
        <f>IFERROR(VLOOKUP(D24,'04_Master Karyawan'!$A$5:$F$50,2,FALSE),"")</f>
        <v>Ady</v>
      </c>
      <c r="F24" s="20" t="s">
        <v>166</v>
      </c>
      <c r="G24" s="9" t="str">
        <f>IFERROR(VLOOKUP(F24,'05_Master KPI'!$B$5:$G$100,2,FALSE)&amp;" ("&amp;VLOOKUP(F24,'05_Master KPI'!$B$5:$G$100,3,FALSE)&amp;")","")</f>
        <v>Koordinasi (%)</v>
      </c>
      <c r="H24" s="9">
        <f>IFERROR(IF(B24&lt;&gt;'06_Target KPI'!$B$3,0,IF(VLOOKUP(F24,'05_Master KPI'!$B$5:$G$100,6,FALSE)="Kumulatif",INDEX('06_Target KPI'!$E$5:$P$100,MATCH(F24,'06_Target KPI'!$B$5:$B$100,0),MATCH(A24,'06_Target KPI'!$E$4:$P$4,0))*DAY(C24)/DAY(EOMONTH(C24,0)),INDEX('06_Target KPI'!$E$5:$P$100,MATCH(F24,'06_Target KPI'!$B$5:$B$100,0),MATCH(A24,'06_Target KPI'!$E$4:$P$4,0)))),0)</f>
        <v>95</v>
      </c>
      <c r="I24" s="20">
        <v>79.099999999999994</v>
      </c>
      <c r="J24" s="22">
        <f>IFERROR(MIN(IF(VLOOKUP(F24,'05_Master KPI'!$B$5:$G$100,5,FALSE)="Lower",H24/I24,I24/H24),1),0)</f>
        <v>0.83263157894736839</v>
      </c>
      <c r="K24" s="9">
        <f>IFERROR(VLOOKUP(F24,'05_Master KPI'!$B$5:$G$100,4,FALSE),0)</f>
        <v>10</v>
      </c>
      <c r="L24" s="23">
        <f t="shared" si="0"/>
        <v>8.3263157894736839</v>
      </c>
      <c r="M24" s="9" t="str">
        <f>IF(D24="","",IF(J24&gt;='13_Setting'!$H$7,"Tercapai",IF(J24&gt;='13_Setting'!$H$6,"On Track","Tertinggal")))</f>
        <v>Tertinggal</v>
      </c>
      <c r="N24" s="20" t="s">
        <v>211</v>
      </c>
      <c r="O24" s="1"/>
      <c r="P24" s="1"/>
      <c r="Q24" s="1"/>
      <c r="R24" s="1"/>
      <c r="S24" s="1"/>
      <c r="T24" s="1"/>
      <c r="U24" s="1"/>
      <c r="V24" s="1"/>
      <c r="W24" s="1"/>
      <c r="X24" s="1"/>
      <c r="Y24" s="1"/>
      <c r="Z24" s="1"/>
    </row>
    <row r="25" spans="1:26">
      <c r="A25" s="20" t="s">
        <v>40</v>
      </c>
      <c r="B25" s="20">
        <v>2026</v>
      </c>
      <c r="C25" s="21">
        <v>46173</v>
      </c>
      <c r="D25" s="20" t="s">
        <v>96</v>
      </c>
      <c r="E25" s="9" t="str">
        <f>IFERROR(VLOOKUP(D25,'04_Master Karyawan'!$A$5:$F$50,2,FALSE),"")</f>
        <v>Ady</v>
      </c>
      <c r="F25" s="20" t="s">
        <v>157</v>
      </c>
      <c r="G25" s="9" t="str">
        <f>IFERROR(VLOOKUP(F25,'05_Master KPI'!$B$5:$G$100,2,FALSE)&amp;" ("&amp;VLOOKUP(F25,'05_Master KPI'!$B$5:$G$100,3,FALSE)&amp;")","")</f>
        <v>Ketepatan Design (%)</v>
      </c>
      <c r="H25" s="9">
        <f>IFERROR(IF(B25&lt;&gt;'06_Target KPI'!$B$3,0,IF(VLOOKUP(F25,'05_Master KPI'!$B$5:$G$100,6,FALSE)="Kumulatif",INDEX('06_Target KPI'!$E$5:$P$100,MATCH(F25,'06_Target KPI'!$B$5:$B$100,0),MATCH(A25,'06_Target KPI'!$E$4:$P$4,0))*DAY(C25)/DAY(EOMONTH(C25,0)),INDEX('06_Target KPI'!$E$5:$P$100,MATCH(F25,'06_Target KPI'!$B$5:$B$100,0),MATCH(A25,'06_Target KPI'!$E$4:$P$4,0)))),0)</f>
        <v>95</v>
      </c>
      <c r="I25" s="20">
        <v>78.099999999999994</v>
      </c>
      <c r="J25" s="22">
        <f>IFERROR(MIN(IF(VLOOKUP(F25,'05_Master KPI'!$B$5:$G$100,5,FALSE)="Lower",H25/I25,I25/H25),1),0)</f>
        <v>0.82210526315789467</v>
      </c>
      <c r="K25" s="9">
        <f>IFERROR(VLOOKUP(F25,'05_Master KPI'!$B$5:$G$100,4,FALSE),0)</f>
        <v>30</v>
      </c>
      <c r="L25" s="23">
        <f t="shared" si="0"/>
        <v>24.663157894736841</v>
      </c>
      <c r="M25" s="9" t="str">
        <f>IF(D25="","",IF(J25&gt;='13_Setting'!$H$7,"Tercapai",IF(J25&gt;='13_Setting'!$H$6,"On Track","Tertinggal")))</f>
        <v>Tertinggal</v>
      </c>
      <c r="N25" s="20" t="s">
        <v>211</v>
      </c>
      <c r="O25" s="1"/>
      <c r="P25" s="1"/>
      <c r="Q25" s="1"/>
      <c r="R25" s="1"/>
      <c r="S25" s="1"/>
      <c r="T25" s="1"/>
      <c r="U25" s="1"/>
      <c r="V25" s="1"/>
      <c r="W25" s="1"/>
      <c r="X25" s="1"/>
      <c r="Y25" s="1"/>
      <c r="Z25" s="1"/>
    </row>
    <row r="26" spans="1:26">
      <c r="A26" s="20" t="s">
        <v>40</v>
      </c>
      <c r="B26" s="20">
        <v>2026</v>
      </c>
      <c r="C26" s="21">
        <v>46173</v>
      </c>
      <c r="D26" s="20" t="s">
        <v>96</v>
      </c>
      <c r="E26" s="9" t="str">
        <f>IFERROR(VLOOKUP(D26,'04_Master Karyawan'!$A$5:$F$50,2,FALSE),"")</f>
        <v>Ady</v>
      </c>
      <c r="F26" s="20" t="s">
        <v>159</v>
      </c>
      <c r="G26" s="9" t="str">
        <f>IFERROR(VLOOKUP(F26,'05_Master KPI'!$B$5:$G$100,2,FALSE)&amp;" ("&amp;VLOOKUP(F26,'05_Master KPI'!$B$5:$G$100,3,FALSE)&amp;")","")</f>
        <v>Deadline (%)</v>
      </c>
      <c r="H26" s="9">
        <f>IFERROR(IF(B26&lt;&gt;'06_Target KPI'!$B$3,0,IF(VLOOKUP(F26,'05_Master KPI'!$B$5:$G$100,6,FALSE)="Kumulatif",INDEX('06_Target KPI'!$E$5:$P$100,MATCH(F26,'06_Target KPI'!$B$5:$B$100,0),MATCH(A26,'06_Target KPI'!$E$4:$P$4,0))*DAY(C26)/DAY(EOMONTH(C26,0)),INDEX('06_Target KPI'!$E$5:$P$100,MATCH(F26,'06_Target KPI'!$B$5:$B$100,0),MATCH(A26,'06_Target KPI'!$E$4:$P$4,0)))),0)</f>
        <v>95</v>
      </c>
      <c r="I26" s="20">
        <v>78.099999999999994</v>
      </c>
      <c r="J26" s="22">
        <f>IFERROR(MIN(IF(VLOOKUP(F26,'05_Master KPI'!$B$5:$G$100,5,FALSE)="Lower",H26/I26,I26/H26),1),0)</f>
        <v>0.82210526315789467</v>
      </c>
      <c r="K26" s="9">
        <f>IFERROR(VLOOKUP(F26,'05_Master KPI'!$B$5:$G$100,4,FALSE),0)</f>
        <v>20</v>
      </c>
      <c r="L26" s="23">
        <f t="shared" si="0"/>
        <v>16.442105263157892</v>
      </c>
      <c r="M26" s="9" t="str">
        <f>IF(D26="","",IF(J26&gt;='13_Setting'!$H$7,"Tercapai",IF(J26&gt;='13_Setting'!$H$6,"On Track","Tertinggal")))</f>
        <v>Tertinggal</v>
      </c>
      <c r="N26" s="20" t="s">
        <v>211</v>
      </c>
      <c r="O26" s="1"/>
      <c r="P26" s="1"/>
      <c r="Q26" s="1"/>
      <c r="R26" s="1"/>
      <c r="S26" s="1"/>
      <c r="T26" s="1"/>
      <c r="U26" s="1"/>
      <c r="V26" s="1"/>
      <c r="W26" s="1"/>
      <c r="X26" s="1"/>
      <c r="Y26" s="1"/>
      <c r="Z26" s="1"/>
    </row>
    <row r="27" spans="1:26">
      <c r="A27" s="20" t="s">
        <v>40</v>
      </c>
      <c r="B27" s="20">
        <v>2026</v>
      </c>
      <c r="C27" s="21">
        <v>46173</v>
      </c>
      <c r="D27" s="20" t="s">
        <v>96</v>
      </c>
      <c r="E27" s="9" t="str">
        <f>IFERROR(VLOOKUP(D27,'04_Master Karyawan'!$A$5:$F$50,2,FALSE),"")</f>
        <v>Ady</v>
      </c>
      <c r="F27" s="20" t="s">
        <v>161</v>
      </c>
      <c r="G27" s="9" t="str">
        <f>IFERROR(VLOOKUP(F27,'05_Master KPI'!$B$5:$G$100,2,FALSE)&amp;" ("&amp;VLOOKUP(F27,'05_Master KPI'!$B$5:$G$100,3,FALSE)&amp;")","")</f>
        <v>Worksheet Lengkap (%)</v>
      </c>
      <c r="H27" s="9">
        <f>IFERROR(IF(B27&lt;&gt;'06_Target KPI'!$B$3,0,IF(VLOOKUP(F27,'05_Master KPI'!$B$5:$G$100,6,FALSE)="Kumulatif",INDEX('06_Target KPI'!$E$5:$P$100,MATCH(F27,'06_Target KPI'!$B$5:$B$100,0),MATCH(A27,'06_Target KPI'!$E$4:$P$4,0))*DAY(C27)/DAY(EOMONTH(C27,0)),INDEX('06_Target KPI'!$E$5:$P$100,MATCH(F27,'06_Target KPI'!$B$5:$B$100,0),MATCH(A27,'06_Target KPI'!$E$4:$P$4,0)))),0)</f>
        <v>100</v>
      </c>
      <c r="I27" s="20">
        <v>82.3</v>
      </c>
      <c r="J27" s="22">
        <f>IFERROR(MIN(IF(VLOOKUP(F27,'05_Master KPI'!$B$5:$G$100,5,FALSE)="Lower",H27/I27,I27/H27),1),0)</f>
        <v>0.82299999999999995</v>
      </c>
      <c r="K27" s="9">
        <f>IFERROR(VLOOKUP(F27,'05_Master KPI'!$B$5:$G$100,4,FALSE),0)</f>
        <v>20</v>
      </c>
      <c r="L27" s="23">
        <f t="shared" si="0"/>
        <v>16.46</v>
      </c>
      <c r="M27" s="9" t="str">
        <f>IF(D27="","",IF(J27&gt;='13_Setting'!$H$7,"Tercapai",IF(J27&gt;='13_Setting'!$H$6,"On Track","Tertinggal")))</f>
        <v>Tertinggal</v>
      </c>
      <c r="N27" s="20" t="s">
        <v>211</v>
      </c>
      <c r="O27" s="1"/>
      <c r="P27" s="1"/>
      <c r="Q27" s="1"/>
      <c r="R27" s="1"/>
      <c r="S27" s="1"/>
      <c r="T27" s="1"/>
      <c r="U27" s="1"/>
      <c r="V27" s="1"/>
      <c r="W27" s="1"/>
      <c r="X27" s="1"/>
      <c r="Y27" s="1"/>
      <c r="Z27" s="1"/>
    </row>
    <row r="28" spans="1:26">
      <c r="A28" s="20" t="s">
        <v>40</v>
      </c>
      <c r="B28" s="20">
        <v>2026</v>
      </c>
      <c r="C28" s="21">
        <v>46173</v>
      </c>
      <c r="D28" s="20" t="s">
        <v>96</v>
      </c>
      <c r="E28" s="9" t="str">
        <f>IFERROR(VLOOKUP(D28,'04_Master Karyawan'!$A$5:$F$50,2,FALSE),"")</f>
        <v>Ady</v>
      </c>
      <c r="F28" s="20" t="s">
        <v>163</v>
      </c>
      <c r="G28" s="9" t="str">
        <f>IFERROR(VLOOKUP(F28,'05_Master KPI'!$B$5:$G$100,2,FALSE)&amp;" ("&amp;VLOOKUP(F28,'05_Master KPI'!$B$5:$G$100,3,FALSE)&amp;")","")</f>
        <v>Revisi Internal (siklus)</v>
      </c>
      <c r="H28" s="9">
        <f>IFERROR(IF(B28&lt;&gt;'06_Target KPI'!$B$3,0,IF(VLOOKUP(F28,'05_Master KPI'!$B$5:$G$100,6,FALSE)="Kumulatif",INDEX('06_Target KPI'!$E$5:$P$100,MATCH(F28,'06_Target KPI'!$B$5:$B$100,0),MATCH(A28,'06_Target KPI'!$E$4:$P$4,0))*DAY(C28)/DAY(EOMONTH(C28,0)),INDEX('06_Target KPI'!$E$5:$P$100,MATCH(F28,'06_Target KPI'!$B$5:$B$100,0),MATCH(A28,'06_Target KPI'!$E$4:$P$4,0)))),0)</f>
        <v>2</v>
      </c>
      <c r="I28" s="20">
        <v>2.4</v>
      </c>
      <c r="J28" s="22">
        <f>IFERROR(MIN(IF(VLOOKUP(F28,'05_Master KPI'!$B$5:$G$100,5,FALSE)="Lower",H28/I28,I28/H28),1),0)</f>
        <v>0.83333333333333337</v>
      </c>
      <c r="K28" s="9">
        <f>IFERROR(VLOOKUP(F28,'05_Master KPI'!$B$5:$G$100,4,FALSE),0)</f>
        <v>20</v>
      </c>
      <c r="L28" s="23">
        <f t="shared" si="0"/>
        <v>16.666666666666668</v>
      </c>
      <c r="M28" s="9" t="str">
        <f>IF(D28="","",IF(J28&gt;='13_Setting'!$H$7,"Tercapai",IF(J28&gt;='13_Setting'!$H$6,"On Track","Tertinggal")))</f>
        <v>Tertinggal</v>
      </c>
      <c r="N28" s="20" t="s">
        <v>211</v>
      </c>
      <c r="O28" s="1"/>
      <c r="P28" s="1"/>
      <c r="Q28" s="1"/>
      <c r="R28" s="1"/>
      <c r="S28" s="1"/>
      <c r="T28" s="1"/>
      <c r="U28" s="1"/>
      <c r="V28" s="1"/>
      <c r="W28" s="1"/>
      <c r="X28" s="1"/>
      <c r="Y28" s="1"/>
      <c r="Z28" s="1"/>
    </row>
    <row r="29" spans="1:26">
      <c r="A29" s="20" t="s">
        <v>40</v>
      </c>
      <c r="B29" s="20">
        <v>2026</v>
      </c>
      <c r="C29" s="21">
        <v>46173</v>
      </c>
      <c r="D29" s="20" t="s">
        <v>96</v>
      </c>
      <c r="E29" s="9" t="str">
        <f>IFERROR(VLOOKUP(D29,'04_Master Karyawan'!$A$5:$F$50,2,FALSE),"")</f>
        <v>Ady</v>
      </c>
      <c r="F29" s="20" t="s">
        <v>166</v>
      </c>
      <c r="G29" s="9" t="str">
        <f>IFERROR(VLOOKUP(F29,'05_Master KPI'!$B$5:$G$100,2,FALSE)&amp;" ("&amp;VLOOKUP(F29,'05_Master KPI'!$B$5:$G$100,3,FALSE)&amp;")","")</f>
        <v>Koordinasi (%)</v>
      </c>
      <c r="H29" s="9">
        <f>IFERROR(IF(B29&lt;&gt;'06_Target KPI'!$B$3,0,IF(VLOOKUP(F29,'05_Master KPI'!$B$5:$G$100,6,FALSE)="Kumulatif",INDEX('06_Target KPI'!$E$5:$P$100,MATCH(F29,'06_Target KPI'!$B$5:$B$100,0),MATCH(A29,'06_Target KPI'!$E$4:$P$4,0))*DAY(C29)/DAY(EOMONTH(C29,0)),INDEX('06_Target KPI'!$E$5:$P$100,MATCH(F29,'06_Target KPI'!$B$5:$B$100,0),MATCH(A29,'06_Target KPI'!$E$4:$P$4,0)))),0)</f>
        <v>95</v>
      </c>
      <c r="I29" s="20">
        <v>78.099999999999994</v>
      </c>
      <c r="J29" s="22">
        <f>IFERROR(MIN(IF(VLOOKUP(F29,'05_Master KPI'!$B$5:$G$100,5,FALSE)="Lower",H29/I29,I29/H29),1),0)</f>
        <v>0.82210526315789467</v>
      </c>
      <c r="K29" s="9">
        <f>IFERROR(VLOOKUP(F29,'05_Master KPI'!$B$5:$G$100,4,FALSE),0)</f>
        <v>10</v>
      </c>
      <c r="L29" s="23">
        <f t="shared" si="0"/>
        <v>8.2210526315789458</v>
      </c>
      <c r="M29" s="9" t="str">
        <f>IF(D29="","",IF(J29&gt;='13_Setting'!$H$7,"Tercapai",IF(J29&gt;='13_Setting'!$H$6,"On Track","Tertinggal")))</f>
        <v>Tertinggal</v>
      </c>
      <c r="N29" s="20" t="s">
        <v>211</v>
      </c>
      <c r="O29" s="1"/>
      <c r="P29" s="1"/>
      <c r="Q29" s="1"/>
      <c r="R29" s="1"/>
      <c r="S29" s="1"/>
      <c r="T29" s="1"/>
      <c r="U29" s="1"/>
      <c r="V29" s="1"/>
      <c r="W29" s="1"/>
      <c r="X29" s="1"/>
      <c r="Y29" s="1"/>
      <c r="Z29" s="1"/>
    </row>
    <row r="30" spans="1:26">
      <c r="A30" s="20" t="s">
        <v>196</v>
      </c>
      <c r="B30" s="20">
        <v>2026</v>
      </c>
      <c r="C30" s="21">
        <v>46203</v>
      </c>
      <c r="D30" s="20" t="s">
        <v>96</v>
      </c>
      <c r="E30" s="9" t="str">
        <f>IFERROR(VLOOKUP(D30,'04_Master Karyawan'!$A$5:$F$50,2,FALSE),"")</f>
        <v>Ady</v>
      </c>
      <c r="F30" s="20" t="s">
        <v>157</v>
      </c>
      <c r="G30" s="9" t="str">
        <f>IFERROR(VLOOKUP(F30,'05_Master KPI'!$B$5:$G$100,2,FALSE)&amp;" ("&amp;VLOOKUP(F30,'05_Master KPI'!$B$5:$G$100,3,FALSE)&amp;")","")</f>
        <v>Ketepatan Design (%)</v>
      </c>
      <c r="H30" s="9">
        <f>IFERROR(IF(B30&lt;&gt;'06_Target KPI'!$B$3,0,IF(VLOOKUP(F30,'05_Master KPI'!$B$5:$G$100,6,FALSE)="Kumulatif",INDEX('06_Target KPI'!$E$5:$P$100,MATCH(F30,'06_Target KPI'!$B$5:$B$100,0),MATCH(A30,'06_Target KPI'!$E$4:$P$4,0))*DAY(C30)/DAY(EOMONTH(C30,0)),INDEX('06_Target KPI'!$E$5:$P$100,MATCH(F30,'06_Target KPI'!$B$5:$B$100,0),MATCH(A30,'06_Target KPI'!$E$4:$P$4,0)))),0)</f>
        <v>95</v>
      </c>
      <c r="I30" s="20">
        <v>81</v>
      </c>
      <c r="J30" s="22">
        <f>IFERROR(MIN(IF(VLOOKUP(F30,'05_Master KPI'!$B$5:$G$100,5,FALSE)="Lower",H30/I30,I30/H30),1),0)</f>
        <v>0.85263157894736841</v>
      </c>
      <c r="K30" s="9">
        <f>IFERROR(VLOOKUP(F30,'05_Master KPI'!$B$5:$G$100,4,FALSE),0)</f>
        <v>30</v>
      </c>
      <c r="L30" s="23">
        <f t="shared" si="0"/>
        <v>25.578947368421051</v>
      </c>
      <c r="M30" s="9" t="str">
        <f>IF(D30="","",IF(J30&gt;='13_Setting'!$H$7,"Tercapai",IF(J30&gt;='13_Setting'!$H$6,"On Track","Tertinggal")))</f>
        <v>On Track</v>
      </c>
      <c r="N30" s="20" t="s">
        <v>211</v>
      </c>
      <c r="O30" s="1"/>
      <c r="P30" s="1"/>
      <c r="Q30" s="1"/>
      <c r="R30" s="1"/>
      <c r="S30" s="1"/>
      <c r="T30" s="1"/>
      <c r="U30" s="1"/>
      <c r="V30" s="1"/>
      <c r="W30" s="1"/>
      <c r="X30" s="1"/>
      <c r="Y30" s="1"/>
      <c r="Z30" s="1"/>
    </row>
    <row r="31" spans="1:26">
      <c r="A31" s="20" t="s">
        <v>196</v>
      </c>
      <c r="B31" s="20">
        <v>2026</v>
      </c>
      <c r="C31" s="21">
        <v>46203</v>
      </c>
      <c r="D31" s="20" t="s">
        <v>96</v>
      </c>
      <c r="E31" s="9" t="str">
        <f>IFERROR(VLOOKUP(D31,'04_Master Karyawan'!$A$5:$F$50,2,FALSE),"")</f>
        <v>Ady</v>
      </c>
      <c r="F31" s="20" t="s">
        <v>159</v>
      </c>
      <c r="G31" s="9" t="str">
        <f>IFERROR(VLOOKUP(F31,'05_Master KPI'!$B$5:$G$100,2,FALSE)&amp;" ("&amp;VLOOKUP(F31,'05_Master KPI'!$B$5:$G$100,3,FALSE)&amp;")","")</f>
        <v>Deadline (%)</v>
      </c>
      <c r="H31" s="9">
        <f>IFERROR(IF(B31&lt;&gt;'06_Target KPI'!$B$3,0,IF(VLOOKUP(F31,'05_Master KPI'!$B$5:$G$100,6,FALSE)="Kumulatif",INDEX('06_Target KPI'!$E$5:$P$100,MATCH(F31,'06_Target KPI'!$B$5:$B$100,0),MATCH(A31,'06_Target KPI'!$E$4:$P$4,0))*DAY(C31)/DAY(EOMONTH(C31,0)),INDEX('06_Target KPI'!$E$5:$P$100,MATCH(F31,'06_Target KPI'!$B$5:$B$100,0),MATCH(A31,'06_Target KPI'!$E$4:$P$4,0)))),0)</f>
        <v>95</v>
      </c>
      <c r="I31" s="20">
        <v>81</v>
      </c>
      <c r="J31" s="22">
        <f>IFERROR(MIN(IF(VLOOKUP(F31,'05_Master KPI'!$B$5:$G$100,5,FALSE)="Lower",H31/I31,I31/H31),1),0)</f>
        <v>0.85263157894736841</v>
      </c>
      <c r="K31" s="9">
        <f>IFERROR(VLOOKUP(F31,'05_Master KPI'!$B$5:$G$100,4,FALSE),0)</f>
        <v>20</v>
      </c>
      <c r="L31" s="23">
        <f t="shared" si="0"/>
        <v>17.05263157894737</v>
      </c>
      <c r="M31" s="9" t="str">
        <f>IF(D31="","",IF(J31&gt;='13_Setting'!$H$7,"Tercapai",IF(J31&gt;='13_Setting'!$H$6,"On Track","Tertinggal")))</f>
        <v>On Track</v>
      </c>
      <c r="N31" s="20" t="s">
        <v>211</v>
      </c>
      <c r="O31" s="1"/>
      <c r="P31" s="1"/>
      <c r="Q31" s="1"/>
      <c r="R31" s="1"/>
      <c r="S31" s="1"/>
      <c r="T31" s="1"/>
      <c r="U31" s="1"/>
      <c r="V31" s="1"/>
      <c r="W31" s="1"/>
      <c r="X31" s="1"/>
      <c r="Y31" s="1"/>
      <c r="Z31" s="1"/>
    </row>
    <row r="32" spans="1:26">
      <c r="A32" s="20" t="s">
        <v>196</v>
      </c>
      <c r="B32" s="20">
        <v>2026</v>
      </c>
      <c r="C32" s="21">
        <v>46203</v>
      </c>
      <c r="D32" s="20" t="s">
        <v>96</v>
      </c>
      <c r="E32" s="9" t="str">
        <f>IFERROR(VLOOKUP(D32,'04_Master Karyawan'!$A$5:$F$50,2,FALSE),"")</f>
        <v>Ady</v>
      </c>
      <c r="F32" s="20" t="s">
        <v>161</v>
      </c>
      <c r="G32" s="9" t="str">
        <f>IFERROR(VLOOKUP(F32,'05_Master KPI'!$B$5:$G$100,2,FALSE)&amp;" ("&amp;VLOOKUP(F32,'05_Master KPI'!$B$5:$G$100,3,FALSE)&amp;")","")</f>
        <v>Worksheet Lengkap (%)</v>
      </c>
      <c r="H32" s="9">
        <f>IFERROR(IF(B32&lt;&gt;'06_Target KPI'!$B$3,0,IF(VLOOKUP(F32,'05_Master KPI'!$B$5:$G$100,6,FALSE)="Kumulatif",INDEX('06_Target KPI'!$E$5:$P$100,MATCH(F32,'06_Target KPI'!$B$5:$B$100,0),MATCH(A32,'06_Target KPI'!$E$4:$P$4,0))*DAY(C32)/DAY(EOMONTH(C32,0)),INDEX('06_Target KPI'!$E$5:$P$100,MATCH(F32,'06_Target KPI'!$B$5:$B$100,0),MATCH(A32,'06_Target KPI'!$E$4:$P$4,0)))),0)</f>
        <v>100</v>
      </c>
      <c r="I32" s="20">
        <v>85.3</v>
      </c>
      <c r="J32" s="22">
        <f>IFERROR(MIN(IF(VLOOKUP(F32,'05_Master KPI'!$B$5:$G$100,5,FALSE)="Lower",H32/I32,I32/H32),1),0)</f>
        <v>0.85299999999999998</v>
      </c>
      <c r="K32" s="9">
        <f>IFERROR(VLOOKUP(F32,'05_Master KPI'!$B$5:$G$100,4,FALSE),0)</f>
        <v>20</v>
      </c>
      <c r="L32" s="23">
        <f t="shared" si="0"/>
        <v>17.059999999999999</v>
      </c>
      <c r="M32" s="9" t="str">
        <f>IF(D32="","",IF(J32&gt;='13_Setting'!$H$7,"Tercapai",IF(J32&gt;='13_Setting'!$H$6,"On Track","Tertinggal")))</f>
        <v>On Track</v>
      </c>
      <c r="N32" s="20" t="s">
        <v>211</v>
      </c>
      <c r="O32" s="1"/>
      <c r="P32" s="1"/>
      <c r="Q32" s="1"/>
      <c r="R32" s="1"/>
      <c r="S32" s="1"/>
      <c r="T32" s="1"/>
      <c r="U32" s="1"/>
      <c r="V32" s="1"/>
      <c r="W32" s="1"/>
      <c r="X32" s="1"/>
      <c r="Y32" s="1"/>
      <c r="Z32" s="1"/>
    </row>
    <row r="33" spans="1:26">
      <c r="A33" s="20" t="s">
        <v>196</v>
      </c>
      <c r="B33" s="20">
        <v>2026</v>
      </c>
      <c r="C33" s="21">
        <v>46203</v>
      </c>
      <c r="D33" s="20" t="s">
        <v>96</v>
      </c>
      <c r="E33" s="9" t="str">
        <f>IFERROR(VLOOKUP(D33,'04_Master Karyawan'!$A$5:$F$50,2,FALSE),"")</f>
        <v>Ady</v>
      </c>
      <c r="F33" s="20" t="s">
        <v>163</v>
      </c>
      <c r="G33" s="9" t="str">
        <f>IFERROR(VLOOKUP(F33,'05_Master KPI'!$B$5:$G$100,2,FALSE)&amp;" ("&amp;VLOOKUP(F33,'05_Master KPI'!$B$5:$G$100,3,FALSE)&amp;")","")</f>
        <v>Revisi Internal (siklus)</v>
      </c>
      <c r="H33" s="9">
        <f>IFERROR(IF(B33&lt;&gt;'06_Target KPI'!$B$3,0,IF(VLOOKUP(F33,'05_Master KPI'!$B$5:$G$100,6,FALSE)="Kumulatif",INDEX('06_Target KPI'!$E$5:$P$100,MATCH(F33,'06_Target KPI'!$B$5:$B$100,0),MATCH(A33,'06_Target KPI'!$E$4:$P$4,0))*DAY(C33)/DAY(EOMONTH(C33,0)),INDEX('06_Target KPI'!$E$5:$P$100,MATCH(F33,'06_Target KPI'!$B$5:$B$100,0),MATCH(A33,'06_Target KPI'!$E$4:$P$4,0)))),0)</f>
        <v>2</v>
      </c>
      <c r="I33" s="20">
        <v>2.2999999999999998</v>
      </c>
      <c r="J33" s="22">
        <f>IFERROR(MIN(IF(VLOOKUP(F33,'05_Master KPI'!$B$5:$G$100,5,FALSE)="Lower",H33/I33,I33/H33),1),0)</f>
        <v>0.86956521739130443</v>
      </c>
      <c r="K33" s="9">
        <f>IFERROR(VLOOKUP(F33,'05_Master KPI'!$B$5:$G$100,4,FALSE),0)</f>
        <v>20</v>
      </c>
      <c r="L33" s="23">
        <f t="shared" si="0"/>
        <v>17.39130434782609</v>
      </c>
      <c r="M33" s="9" t="str">
        <f>IF(D33="","",IF(J33&gt;='13_Setting'!$H$7,"Tercapai",IF(J33&gt;='13_Setting'!$H$6,"On Track","Tertinggal")))</f>
        <v>On Track</v>
      </c>
      <c r="N33" s="20" t="s">
        <v>211</v>
      </c>
      <c r="O33" s="1"/>
      <c r="P33" s="1"/>
      <c r="Q33" s="1"/>
      <c r="R33" s="1"/>
      <c r="S33" s="1"/>
      <c r="T33" s="1"/>
      <c r="U33" s="1"/>
      <c r="V33" s="1"/>
      <c r="W33" s="1"/>
      <c r="X33" s="1"/>
      <c r="Y33" s="1"/>
      <c r="Z33" s="1"/>
    </row>
    <row r="34" spans="1:26">
      <c r="A34" s="20" t="s">
        <v>196</v>
      </c>
      <c r="B34" s="20">
        <v>2026</v>
      </c>
      <c r="C34" s="21">
        <v>46203</v>
      </c>
      <c r="D34" s="20" t="s">
        <v>96</v>
      </c>
      <c r="E34" s="9" t="str">
        <f>IFERROR(VLOOKUP(D34,'04_Master Karyawan'!$A$5:$F$50,2,FALSE),"")</f>
        <v>Ady</v>
      </c>
      <c r="F34" s="20" t="s">
        <v>166</v>
      </c>
      <c r="G34" s="9" t="str">
        <f>IFERROR(VLOOKUP(F34,'05_Master KPI'!$B$5:$G$100,2,FALSE)&amp;" ("&amp;VLOOKUP(F34,'05_Master KPI'!$B$5:$G$100,3,FALSE)&amp;")","")</f>
        <v>Koordinasi (%)</v>
      </c>
      <c r="H34" s="9">
        <f>IFERROR(IF(B34&lt;&gt;'06_Target KPI'!$B$3,0,IF(VLOOKUP(F34,'05_Master KPI'!$B$5:$G$100,6,FALSE)="Kumulatif",INDEX('06_Target KPI'!$E$5:$P$100,MATCH(F34,'06_Target KPI'!$B$5:$B$100,0),MATCH(A34,'06_Target KPI'!$E$4:$P$4,0))*DAY(C34)/DAY(EOMONTH(C34,0)),INDEX('06_Target KPI'!$E$5:$P$100,MATCH(F34,'06_Target KPI'!$B$5:$B$100,0),MATCH(A34,'06_Target KPI'!$E$4:$P$4,0)))),0)</f>
        <v>95</v>
      </c>
      <c r="I34" s="20">
        <v>81</v>
      </c>
      <c r="J34" s="22">
        <f>IFERROR(MIN(IF(VLOOKUP(F34,'05_Master KPI'!$B$5:$G$100,5,FALSE)="Lower",H34/I34,I34/H34),1),0)</f>
        <v>0.85263157894736841</v>
      </c>
      <c r="K34" s="9">
        <f>IFERROR(VLOOKUP(F34,'05_Master KPI'!$B$5:$G$100,4,FALSE),0)</f>
        <v>10</v>
      </c>
      <c r="L34" s="23">
        <f t="shared" si="0"/>
        <v>8.526315789473685</v>
      </c>
      <c r="M34" s="9" t="str">
        <f>IF(D34="","",IF(J34&gt;='13_Setting'!$H$7,"Tercapai",IF(J34&gt;='13_Setting'!$H$6,"On Track","Tertinggal")))</f>
        <v>On Track</v>
      </c>
      <c r="N34" s="20" t="s">
        <v>211</v>
      </c>
      <c r="O34" s="1"/>
      <c r="P34" s="1"/>
      <c r="Q34" s="1"/>
      <c r="R34" s="1"/>
      <c r="S34" s="1"/>
      <c r="T34" s="1"/>
      <c r="U34" s="1"/>
      <c r="V34" s="1"/>
      <c r="W34" s="1"/>
      <c r="X34" s="1"/>
      <c r="Y34" s="1"/>
      <c r="Z34" s="1"/>
    </row>
    <row r="35" spans="1:26">
      <c r="A35" s="20" t="s">
        <v>197</v>
      </c>
      <c r="B35" s="20">
        <v>2026</v>
      </c>
      <c r="C35" s="21">
        <v>46234</v>
      </c>
      <c r="D35" s="20" t="s">
        <v>96</v>
      </c>
      <c r="E35" s="9" t="str">
        <f>IFERROR(VLOOKUP(D35,'04_Master Karyawan'!$A$5:$F$50,2,FALSE),"")</f>
        <v>Ady</v>
      </c>
      <c r="F35" s="20" t="s">
        <v>157</v>
      </c>
      <c r="G35" s="9" t="str">
        <f>IFERROR(VLOOKUP(F35,'05_Master KPI'!$B$5:$G$100,2,FALSE)&amp;" ("&amp;VLOOKUP(F35,'05_Master KPI'!$B$5:$G$100,3,FALSE)&amp;")","")</f>
        <v>Ketepatan Design (%)</v>
      </c>
      <c r="H35" s="9">
        <f>IFERROR(IF(B35&lt;&gt;'06_Target KPI'!$B$3,0,IF(VLOOKUP(F35,'05_Master KPI'!$B$5:$G$100,6,FALSE)="Kumulatif",INDEX('06_Target KPI'!$E$5:$P$100,MATCH(F35,'06_Target KPI'!$B$5:$B$100,0),MATCH(A35,'06_Target KPI'!$E$4:$P$4,0))*DAY(C35)/DAY(EOMONTH(C35,0)),INDEX('06_Target KPI'!$E$5:$P$100,MATCH(F35,'06_Target KPI'!$B$5:$B$100,0),MATCH(A35,'06_Target KPI'!$E$4:$P$4,0)))),0)</f>
        <v>95</v>
      </c>
      <c r="I35" s="20">
        <v>82.9</v>
      </c>
      <c r="J35" s="22">
        <f>IFERROR(MIN(IF(VLOOKUP(F35,'05_Master KPI'!$B$5:$G$100,5,FALSE)="Lower",H35/I35,I35/H35),1),0)</f>
        <v>0.87263157894736854</v>
      </c>
      <c r="K35" s="9">
        <f>IFERROR(VLOOKUP(F35,'05_Master KPI'!$B$5:$G$100,4,FALSE),0)</f>
        <v>30</v>
      </c>
      <c r="L35" s="23">
        <f t="shared" si="0"/>
        <v>26.178947368421056</v>
      </c>
      <c r="M35" s="9" t="str">
        <f>IF(D35="","",IF(J35&gt;='13_Setting'!$H$7,"Tercapai",IF(J35&gt;='13_Setting'!$H$6,"On Track","Tertinggal")))</f>
        <v>On Track</v>
      </c>
      <c r="N35" s="20" t="s">
        <v>211</v>
      </c>
      <c r="O35" s="1"/>
      <c r="P35" s="1"/>
      <c r="Q35" s="1"/>
      <c r="R35" s="1"/>
      <c r="S35" s="1"/>
      <c r="T35" s="1"/>
      <c r="U35" s="1"/>
      <c r="V35" s="1"/>
      <c r="W35" s="1"/>
      <c r="X35" s="1"/>
      <c r="Y35" s="1"/>
      <c r="Z35" s="1"/>
    </row>
    <row r="36" spans="1:26">
      <c r="A36" s="20" t="s">
        <v>197</v>
      </c>
      <c r="B36" s="20">
        <v>2026</v>
      </c>
      <c r="C36" s="21">
        <v>46234</v>
      </c>
      <c r="D36" s="20" t="s">
        <v>96</v>
      </c>
      <c r="E36" s="9" t="str">
        <f>IFERROR(VLOOKUP(D36,'04_Master Karyawan'!$A$5:$F$50,2,FALSE),"")</f>
        <v>Ady</v>
      </c>
      <c r="F36" s="20" t="s">
        <v>159</v>
      </c>
      <c r="G36" s="9" t="str">
        <f>IFERROR(VLOOKUP(F36,'05_Master KPI'!$B$5:$G$100,2,FALSE)&amp;" ("&amp;VLOOKUP(F36,'05_Master KPI'!$B$5:$G$100,3,FALSE)&amp;")","")</f>
        <v>Deadline (%)</v>
      </c>
      <c r="H36" s="9">
        <f>IFERROR(IF(B36&lt;&gt;'06_Target KPI'!$B$3,0,IF(VLOOKUP(F36,'05_Master KPI'!$B$5:$G$100,6,FALSE)="Kumulatif",INDEX('06_Target KPI'!$E$5:$P$100,MATCH(F36,'06_Target KPI'!$B$5:$B$100,0),MATCH(A36,'06_Target KPI'!$E$4:$P$4,0))*DAY(C36)/DAY(EOMONTH(C36,0)),INDEX('06_Target KPI'!$E$5:$P$100,MATCH(F36,'06_Target KPI'!$B$5:$B$100,0),MATCH(A36,'06_Target KPI'!$E$4:$P$4,0)))),0)</f>
        <v>95</v>
      </c>
      <c r="I36" s="20">
        <v>82.9</v>
      </c>
      <c r="J36" s="22">
        <f>IFERROR(MIN(IF(VLOOKUP(F36,'05_Master KPI'!$B$5:$G$100,5,FALSE)="Lower",H36/I36,I36/H36),1),0)</f>
        <v>0.87263157894736854</v>
      </c>
      <c r="K36" s="9">
        <f>IFERROR(VLOOKUP(F36,'05_Master KPI'!$B$5:$G$100,4,FALSE),0)</f>
        <v>20</v>
      </c>
      <c r="L36" s="23">
        <f t="shared" si="0"/>
        <v>17.452631578947372</v>
      </c>
      <c r="M36" s="9" t="str">
        <f>IF(D36="","",IF(J36&gt;='13_Setting'!$H$7,"Tercapai",IF(J36&gt;='13_Setting'!$H$6,"On Track","Tertinggal")))</f>
        <v>On Track</v>
      </c>
      <c r="N36" s="20" t="s">
        <v>211</v>
      </c>
      <c r="O36" s="1"/>
      <c r="P36" s="1"/>
      <c r="Q36" s="1"/>
      <c r="R36" s="1"/>
      <c r="S36" s="1"/>
      <c r="T36" s="1"/>
      <c r="U36" s="1"/>
      <c r="V36" s="1"/>
      <c r="W36" s="1"/>
      <c r="X36" s="1"/>
      <c r="Y36" s="1"/>
      <c r="Z36" s="1"/>
    </row>
    <row r="37" spans="1:26">
      <c r="A37" s="20" t="s">
        <v>197</v>
      </c>
      <c r="B37" s="20">
        <v>2026</v>
      </c>
      <c r="C37" s="21">
        <v>46234</v>
      </c>
      <c r="D37" s="20" t="s">
        <v>96</v>
      </c>
      <c r="E37" s="9" t="str">
        <f>IFERROR(VLOOKUP(D37,'04_Master Karyawan'!$A$5:$F$50,2,FALSE),"")</f>
        <v>Ady</v>
      </c>
      <c r="F37" s="20" t="s">
        <v>161</v>
      </c>
      <c r="G37" s="9" t="str">
        <f>IFERROR(VLOOKUP(F37,'05_Master KPI'!$B$5:$G$100,2,FALSE)&amp;" ("&amp;VLOOKUP(F37,'05_Master KPI'!$B$5:$G$100,3,FALSE)&amp;")","")</f>
        <v>Worksheet Lengkap (%)</v>
      </c>
      <c r="H37" s="9">
        <f>IFERROR(IF(B37&lt;&gt;'06_Target KPI'!$B$3,0,IF(VLOOKUP(F37,'05_Master KPI'!$B$5:$G$100,6,FALSE)="Kumulatif",INDEX('06_Target KPI'!$E$5:$P$100,MATCH(F37,'06_Target KPI'!$B$5:$B$100,0),MATCH(A37,'06_Target KPI'!$E$4:$P$4,0))*DAY(C37)/DAY(EOMONTH(C37,0)),INDEX('06_Target KPI'!$E$5:$P$100,MATCH(F37,'06_Target KPI'!$B$5:$B$100,0),MATCH(A37,'06_Target KPI'!$E$4:$P$4,0)))),0)</f>
        <v>100</v>
      </c>
      <c r="I37" s="20">
        <v>87.3</v>
      </c>
      <c r="J37" s="22">
        <f>IFERROR(MIN(IF(VLOOKUP(F37,'05_Master KPI'!$B$5:$G$100,5,FALSE)="Lower",H37/I37,I37/H37),1),0)</f>
        <v>0.873</v>
      </c>
      <c r="K37" s="9">
        <f>IFERROR(VLOOKUP(F37,'05_Master KPI'!$B$5:$G$100,4,FALSE),0)</f>
        <v>20</v>
      </c>
      <c r="L37" s="23">
        <f t="shared" si="0"/>
        <v>17.46</v>
      </c>
      <c r="M37" s="9" t="str">
        <f>IF(D37="","",IF(J37&gt;='13_Setting'!$H$7,"Tercapai",IF(J37&gt;='13_Setting'!$H$6,"On Track","Tertinggal")))</f>
        <v>On Track</v>
      </c>
      <c r="N37" s="20" t="s">
        <v>211</v>
      </c>
      <c r="O37" s="1"/>
      <c r="P37" s="1"/>
      <c r="Q37" s="1"/>
      <c r="R37" s="1"/>
      <c r="S37" s="1"/>
      <c r="T37" s="1"/>
      <c r="U37" s="1"/>
      <c r="V37" s="1"/>
      <c r="W37" s="1"/>
      <c r="X37" s="1"/>
      <c r="Y37" s="1"/>
      <c r="Z37" s="1"/>
    </row>
    <row r="38" spans="1:26">
      <c r="A38" s="20" t="s">
        <v>197</v>
      </c>
      <c r="B38" s="20">
        <v>2026</v>
      </c>
      <c r="C38" s="21">
        <v>46234</v>
      </c>
      <c r="D38" s="20" t="s">
        <v>96</v>
      </c>
      <c r="E38" s="9" t="str">
        <f>IFERROR(VLOOKUP(D38,'04_Master Karyawan'!$A$5:$F$50,2,FALSE),"")</f>
        <v>Ady</v>
      </c>
      <c r="F38" s="20" t="s">
        <v>163</v>
      </c>
      <c r="G38" s="9" t="str">
        <f>IFERROR(VLOOKUP(F38,'05_Master KPI'!$B$5:$G$100,2,FALSE)&amp;" ("&amp;VLOOKUP(F38,'05_Master KPI'!$B$5:$G$100,3,FALSE)&amp;")","")</f>
        <v>Revisi Internal (siklus)</v>
      </c>
      <c r="H38" s="9">
        <f>IFERROR(IF(B38&lt;&gt;'06_Target KPI'!$B$3,0,IF(VLOOKUP(F38,'05_Master KPI'!$B$5:$G$100,6,FALSE)="Kumulatif",INDEX('06_Target KPI'!$E$5:$P$100,MATCH(F38,'06_Target KPI'!$B$5:$B$100,0),MATCH(A38,'06_Target KPI'!$E$4:$P$4,0))*DAY(C38)/DAY(EOMONTH(C38,0)),INDEX('06_Target KPI'!$E$5:$P$100,MATCH(F38,'06_Target KPI'!$B$5:$B$100,0),MATCH(A38,'06_Target KPI'!$E$4:$P$4,0)))),0)</f>
        <v>2</v>
      </c>
      <c r="I38" s="20">
        <v>2.2999999999999998</v>
      </c>
      <c r="J38" s="22">
        <f>IFERROR(MIN(IF(VLOOKUP(F38,'05_Master KPI'!$B$5:$G$100,5,FALSE)="Lower",H38/I38,I38/H38),1),0)</f>
        <v>0.86956521739130443</v>
      </c>
      <c r="K38" s="9">
        <f>IFERROR(VLOOKUP(F38,'05_Master KPI'!$B$5:$G$100,4,FALSE),0)</f>
        <v>20</v>
      </c>
      <c r="L38" s="23">
        <f t="shared" si="0"/>
        <v>17.39130434782609</v>
      </c>
      <c r="M38" s="9" t="str">
        <f>IF(D38="","",IF(J38&gt;='13_Setting'!$H$7,"Tercapai",IF(J38&gt;='13_Setting'!$H$6,"On Track","Tertinggal")))</f>
        <v>On Track</v>
      </c>
      <c r="N38" s="20" t="s">
        <v>211</v>
      </c>
      <c r="O38" s="1"/>
      <c r="P38" s="1"/>
      <c r="Q38" s="1"/>
      <c r="R38" s="1"/>
      <c r="S38" s="1"/>
      <c r="T38" s="1"/>
      <c r="U38" s="1"/>
      <c r="V38" s="1"/>
      <c r="W38" s="1"/>
      <c r="X38" s="1"/>
      <c r="Y38" s="1"/>
      <c r="Z38" s="1"/>
    </row>
    <row r="39" spans="1:26">
      <c r="A39" s="20" t="s">
        <v>197</v>
      </c>
      <c r="B39" s="20">
        <v>2026</v>
      </c>
      <c r="C39" s="21">
        <v>46234</v>
      </c>
      <c r="D39" s="20" t="s">
        <v>96</v>
      </c>
      <c r="E39" s="9" t="str">
        <f>IFERROR(VLOOKUP(D39,'04_Master Karyawan'!$A$5:$F$50,2,FALSE),"")</f>
        <v>Ady</v>
      </c>
      <c r="F39" s="20" t="s">
        <v>166</v>
      </c>
      <c r="G39" s="9" t="str">
        <f>IFERROR(VLOOKUP(F39,'05_Master KPI'!$B$5:$G$100,2,FALSE)&amp;" ("&amp;VLOOKUP(F39,'05_Master KPI'!$B$5:$G$100,3,FALSE)&amp;")","")</f>
        <v>Koordinasi (%)</v>
      </c>
      <c r="H39" s="9">
        <f>IFERROR(IF(B39&lt;&gt;'06_Target KPI'!$B$3,0,IF(VLOOKUP(F39,'05_Master KPI'!$B$5:$G$100,6,FALSE)="Kumulatif",INDEX('06_Target KPI'!$E$5:$P$100,MATCH(F39,'06_Target KPI'!$B$5:$B$100,0),MATCH(A39,'06_Target KPI'!$E$4:$P$4,0))*DAY(C39)/DAY(EOMONTH(C39,0)),INDEX('06_Target KPI'!$E$5:$P$100,MATCH(F39,'06_Target KPI'!$B$5:$B$100,0),MATCH(A39,'06_Target KPI'!$E$4:$P$4,0)))),0)</f>
        <v>95</v>
      </c>
      <c r="I39" s="20">
        <v>82.9</v>
      </c>
      <c r="J39" s="22">
        <f>IFERROR(MIN(IF(VLOOKUP(F39,'05_Master KPI'!$B$5:$G$100,5,FALSE)="Lower",H39/I39,I39/H39),1),0)</f>
        <v>0.87263157894736854</v>
      </c>
      <c r="K39" s="9">
        <f>IFERROR(VLOOKUP(F39,'05_Master KPI'!$B$5:$G$100,4,FALSE),0)</f>
        <v>10</v>
      </c>
      <c r="L39" s="23">
        <f t="shared" si="0"/>
        <v>8.726315789473686</v>
      </c>
      <c r="M39" s="9" t="str">
        <f>IF(D39="","",IF(J39&gt;='13_Setting'!$H$7,"Tercapai",IF(J39&gt;='13_Setting'!$H$6,"On Track","Tertinggal")))</f>
        <v>On Track</v>
      </c>
      <c r="N39" s="20" t="s">
        <v>211</v>
      </c>
      <c r="O39" s="1"/>
      <c r="P39" s="1"/>
      <c r="Q39" s="1"/>
      <c r="R39" s="1"/>
      <c r="S39" s="1"/>
      <c r="T39" s="1"/>
      <c r="U39" s="1"/>
      <c r="V39" s="1"/>
      <c r="W39" s="1"/>
      <c r="X39" s="1"/>
      <c r="Y39" s="1"/>
      <c r="Z39" s="1"/>
    </row>
    <row r="40" spans="1:26">
      <c r="A40" s="20" t="s">
        <v>3</v>
      </c>
      <c r="B40" s="20">
        <v>2026</v>
      </c>
      <c r="C40" s="21">
        <v>46239</v>
      </c>
      <c r="D40" s="20" t="s">
        <v>96</v>
      </c>
      <c r="E40" s="9" t="str">
        <f>IFERROR(VLOOKUP(D40,'04_Master Karyawan'!$A$5:$F$50,2,FALSE),"")</f>
        <v>Ady</v>
      </c>
      <c r="F40" s="20" t="s">
        <v>157</v>
      </c>
      <c r="G40" s="9" t="str">
        <f>IFERROR(VLOOKUP(F40,'05_Master KPI'!$B$5:$G$100,2,FALSE)&amp;" ("&amp;VLOOKUP(F40,'05_Master KPI'!$B$5:$G$100,3,FALSE)&amp;")","")</f>
        <v>Ketepatan Design (%)</v>
      </c>
      <c r="H40" s="9">
        <f>IFERROR(IF(B40&lt;&gt;'06_Target KPI'!$B$3,0,IF(VLOOKUP(F40,'05_Master KPI'!$B$5:$G$100,6,FALSE)="Kumulatif",INDEX('06_Target KPI'!$E$5:$P$100,MATCH(F40,'06_Target KPI'!$B$5:$B$100,0),MATCH(A40,'06_Target KPI'!$E$4:$P$4,0))*DAY(C40)/DAY(EOMONTH(C40,0)),INDEX('06_Target KPI'!$E$5:$P$100,MATCH(F40,'06_Target KPI'!$B$5:$B$100,0),MATCH(A40,'06_Target KPI'!$E$4:$P$4,0)))),0)</f>
        <v>95</v>
      </c>
      <c r="I40" s="20">
        <v>80</v>
      </c>
      <c r="J40" s="22">
        <f>IFERROR(MIN(IF(VLOOKUP(F40,'05_Master KPI'!$B$5:$G$100,5,FALSE)="Lower",H40/I40,I40/H40),1),0)</f>
        <v>0.84210526315789469</v>
      </c>
      <c r="K40" s="9">
        <f>IFERROR(VLOOKUP(F40,'05_Master KPI'!$B$5:$G$100,4,FALSE),0)</f>
        <v>30</v>
      </c>
      <c r="L40" s="23">
        <f t="shared" si="0"/>
        <v>25.263157894736842</v>
      </c>
      <c r="M40" s="9" t="str">
        <f>IF(D40="","",IF(J40&gt;='13_Setting'!$H$7,"Tercapai",IF(J40&gt;='13_Setting'!$H$6,"On Track","Tertinggal")))</f>
        <v>Tertinggal</v>
      </c>
      <c r="N40" s="20" t="s">
        <v>212</v>
      </c>
      <c r="O40" s="1"/>
      <c r="P40" s="1"/>
      <c r="Q40" s="1"/>
      <c r="R40" s="1"/>
      <c r="S40" s="1"/>
      <c r="T40" s="1"/>
      <c r="U40" s="1"/>
      <c r="V40" s="1"/>
      <c r="W40" s="1"/>
      <c r="X40" s="1"/>
      <c r="Y40" s="1"/>
      <c r="Z40" s="1"/>
    </row>
    <row r="41" spans="1:26">
      <c r="A41" s="20" t="s">
        <v>3</v>
      </c>
      <c r="B41" s="20">
        <v>2026</v>
      </c>
      <c r="C41" s="21">
        <v>46239</v>
      </c>
      <c r="D41" s="20" t="s">
        <v>96</v>
      </c>
      <c r="E41" s="9" t="str">
        <f>IFERROR(VLOOKUP(D41,'04_Master Karyawan'!$A$5:$F$50,2,FALSE),"")</f>
        <v>Ady</v>
      </c>
      <c r="F41" s="20" t="s">
        <v>159</v>
      </c>
      <c r="G41" s="9" t="str">
        <f>IFERROR(VLOOKUP(F41,'05_Master KPI'!$B$5:$G$100,2,FALSE)&amp;" ("&amp;VLOOKUP(F41,'05_Master KPI'!$B$5:$G$100,3,FALSE)&amp;")","")</f>
        <v>Deadline (%)</v>
      </c>
      <c r="H41" s="9">
        <f>IFERROR(IF(B41&lt;&gt;'06_Target KPI'!$B$3,0,IF(VLOOKUP(F41,'05_Master KPI'!$B$5:$G$100,6,FALSE)="Kumulatif",INDEX('06_Target KPI'!$E$5:$P$100,MATCH(F41,'06_Target KPI'!$B$5:$B$100,0),MATCH(A41,'06_Target KPI'!$E$4:$P$4,0))*DAY(C41)/DAY(EOMONTH(C41,0)),INDEX('06_Target KPI'!$E$5:$P$100,MATCH(F41,'06_Target KPI'!$B$5:$B$100,0),MATCH(A41,'06_Target KPI'!$E$4:$P$4,0)))),0)</f>
        <v>95</v>
      </c>
      <c r="I41" s="20">
        <v>80</v>
      </c>
      <c r="J41" s="22">
        <f>IFERROR(MIN(IF(VLOOKUP(F41,'05_Master KPI'!$B$5:$G$100,5,FALSE)="Lower",H41/I41,I41/H41),1),0)</f>
        <v>0.84210526315789469</v>
      </c>
      <c r="K41" s="9">
        <f>IFERROR(VLOOKUP(F41,'05_Master KPI'!$B$5:$G$100,4,FALSE),0)</f>
        <v>20</v>
      </c>
      <c r="L41" s="23">
        <f t="shared" si="0"/>
        <v>16.842105263157894</v>
      </c>
      <c r="M41" s="9" t="str">
        <f>IF(D41="","",IF(J41&gt;='13_Setting'!$H$7,"Tercapai",IF(J41&gt;='13_Setting'!$H$6,"On Track","Tertinggal")))</f>
        <v>Tertinggal</v>
      </c>
      <c r="N41" s="20" t="s">
        <v>212</v>
      </c>
      <c r="O41" s="1"/>
      <c r="P41" s="1"/>
      <c r="Q41" s="1"/>
      <c r="R41" s="1"/>
      <c r="S41" s="1"/>
      <c r="T41" s="1"/>
      <c r="U41" s="1"/>
      <c r="V41" s="1"/>
      <c r="W41" s="1"/>
      <c r="X41" s="1"/>
      <c r="Y41" s="1"/>
      <c r="Z41" s="1"/>
    </row>
    <row r="42" spans="1:26">
      <c r="A42" s="20" t="s">
        <v>3</v>
      </c>
      <c r="B42" s="20">
        <v>2026</v>
      </c>
      <c r="C42" s="21">
        <v>46239</v>
      </c>
      <c r="D42" s="20" t="s">
        <v>96</v>
      </c>
      <c r="E42" s="9" t="str">
        <f>IFERROR(VLOOKUP(D42,'04_Master Karyawan'!$A$5:$F$50,2,FALSE),"")</f>
        <v>Ady</v>
      </c>
      <c r="F42" s="20" t="s">
        <v>161</v>
      </c>
      <c r="G42" s="9" t="str">
        <f>IFERROR(VLOOKUP(F42,'05_Master KPI'!$B$5:$G$100,2,FALSE)&amp;" ("&amp;VLOOKUP(F42,'05_Master KPI'!$B$5:$G$100,3,FALSE)&amp;")","")</f>
        <v>Worksheet Lengkap (%)</v>
      </c>
      <c r="H42" s="9">
        <f>IFERROR(IF(B42&lt;&gt;'06_Target KPI'!$B$3,0,IF(VLOOKUP(F42,'05_Master KPI'!$B$5:$G$100,6,FALSE)="Kumulatif",INDEX('06_Target KPI'!$E$5:$P$100,MATCH(F42,'06_Target KPI'!$B$5:$B$100,0),MATCH(A42,'06_Target KPI'!$E$4:$P$4,0))*DAY(C42)/DAY(EOMONTH(C42,0)),INDEX('06_Target KPI'!$E$5:$P$100,MATCH(F42,'06_Target KPI'!$B$5:$B$100,0),MATCH(A42,'06_Target KPI'!$E$4:$P$4,0)))),0)</f>
        <v>100</v>
      </c>
      <c r="I42" s="20">
        <v>84.3</v>
      </c>
      <c r="J42" s="22">
        <f>IFERROR(MIN(IF(VLOOKUP(F42,'05_Master KPI'!$B$5:$G$100,5,FALSE)="Lower",H42/I42,I42/H42),1),0)</f>
        <v>0.84299999999999997</v>
      </c>
      <c r="K42" s="9">
        <f>IFERROR(VLOOKUP(F42,'05_Master KPI'!$B$5:$G$100,4,FALSE),0)</f>
        <v>20</v>
      </c>
      <c r="L42" s="23">
        <f t="shared" si="0"/>
        <v>16.86</v>
      </c>
      <c r="M42" s="9" t="str">
        <f>IF(D42="","",IF(J42&gt;='13_Setting'!$H$7,"Tercapai",IF(J42&gt;='13_Setting'!$H$6,"On Track","Tertinggal")))</f>
        <v>Tertinggal</v>
      </c>
      <c r="N42" s="20" t="s">
        <v>212</v>
      </c>
      <c r="O42" s="1"/>
      <c r="P42" s="1"/>
      <c r="Q42" s="1"/>
      <c r="R42" s="1"/>
      <c r="S42" s="1"/>
      <c r="T42" s="1"/>
      <c r="U42" s="1"/>
      <c r="V42" s="1"/>
      <c r="W42" s="1"/>
      <c r="X42" s="1"/>
      <c r="Y42" s="1"/>
      <c r="Z42" s="1"/>
    </row>
    <row r="43" spans="1:26">
      <c r="A43" s="20" t="s">
        <v>3</v>
      </c>
      <c r="B43" s="20">
        <v>2026</v>
      </c>
      <c r="C43" s="21">
        <v>46239</v>
      </c>
      <c r="D43" s="20" t="s">
        <v>96</v>
      </c>
      <c r="E43" s="9" t="str">
        <f>IFERROR(VLOOKUP(D43,'04_Master Karyawan'!$A$5:$F$50,2,FALSE),"")</f>
        <v>Ady</v>
      </c>
      <c r="F43" s="20" t="s">
        <v>163</v>
      </c>
      <c r="G43" s="9" t="str">
        <f>IFERROR(VLOOKUP(F43,'05_Master KPI'!$B$5:$G$100,2,FALSE)&amp;" ("&amp;VLOOKUP(F43,'05_Master KPI'!$B$5:$G$100,3,FALSE)&amp;")","")</f>
        <v>Revisi Internal (siklus)</v>
      </c>
      <c r="H43" s="9">
        <f>IFERROR(IF(B43&lt;&gt;'06_Target KPI'!$B$3,0,IF(VLOOKUP(F43,'05_Master KPI'!$B$5:$G$100,6,FALSE)="Kumulatif",INDEX('06_Target KPI'!$E$5:$P$100,MATCH(F43,'06_Target KPI'!$B$5:$B$100,0),MATCH(A43,'06_Target KPI'!$E$4:$P$4,0))*DAY(C43)/DAY(EOMONTH(C43,0)),INDEX('06_Target KPI'!$E$5:$P$100,MATCH(F43,'06_Target KPI'!$B$5:$B$100,0),MATCH(A43,'06_Target KPI'!$E$4:$P$4,0)))),0)</f>
        <v>2</v>
      </c>
      <c r="I43" s="20">
        <v>2.4</v>
      </c>
      <c r="J43" s="22">
        <f>IFERROR(MIN(IF(VLOOKUP(F43,'05_Master KPI'!$B$5:$G$100,5,FALSE)="Lower",H43/I43,I43/H43),1),0)</f>
        <v>0.83333333333333337</v>
      </c>
      <c r="K43" s="9">
        <f>IFERROR(VLOOKUP(F43,'05_Master KPI'!$B$5:$G$100,4,FALSE),0)</f>
        <v>20</v>
      </c>
      <c r="L43" s="23">
        <f t="shared" si="0"/>
        <v>16.666666666666668</v>
      </c>
      <c r="M43" s="9" t="str">
        <f>IF(D43="","",IF(J43&gt;='13_Setting'!$H$7,"Tercapai",IF(J43&gt;='13_Setting'!$H$6,"On Track","Tertinggal")))</f>
        <v>Tertinggal</v>
      </c>
      <c r="N43" s="20" t="s">
        <v>212</v>
      </c>
      <c r="O43" s="1"/>
      <c r="P43" s="1"/>
      <c r="Q43" s="1"/>
      <c r="R43" s="1"/>
      <c r="S43" s="1"/>
      <c r="T43" s="1"/>
      <c r="U43" s="1"/>
      <c r="V43" s="1"/>
      <c r="W43" s="1"/>
      <c r="X43" s="1"/>
      <c r="Y43" s="1"/>
      <c r="Z43" s="1"/>
    </row>
    <row r="44" spans="1:26">
      <c r="A44" s="20" t="s">
        <v>3</v>
      </c>
      <c r="B44" s="20">
        <v>2026</v>
      </c>
      <c r="C44" s="21">
        <v>46239</v>
      </c>
      <c r="D44" s="20" t="s">
        <v>96</v>
      </c>
      <c r="E44" s="9" t="str">
        <f>IFERROR(VLOOKUP(D44,'04_Master Karyawan'!$A$5:$F$50,2,FALSE),"")</f>
        <v>Ady</v>
      </c>
      <c r="F44" s="20" t="s">
        <v>166</v>
      </c>
      <c r="G44" s="9" t="str">
        <f>IFERROR(VLOOKUP(F44,'05_Master KPI'!$B$5:$G$100,2,FALSE)&amp;" ("&amp;VLOOKUP(F44,'05_Master KPI'!$B$5:$G$100,3,FALSE)&amp;")","")</f>
        <v>Koordinasi (%)</v>
      </c>
      <c r="H44" s="9">
        <f>IFERROR(IF(B44&lt;&gt;'06_Target KPI'!$B$3,0,IF(VLOOKUP(F44,'05_Master KPI'!$B$5:$G$100,6,FALSE)="Kumulatif",INDEX('06_Target KPI'!$E$5:$P$100,MATCH(F44,'06_Target KPI'!$B$5:$B$100,0),MATCH(A44,'06_Target KPI'!$E$4:$P$4,0))*DAY(C44)/DAY(EOMONTH(C44,0)),INDEX('06_Target KPI'!$E$5:$P$100,MATCH(F44,'06_Target KPI'!$B$5:$B$100,0),MATCH(A44,'06_Target KPI'!$E$4:$P$4,0)))),0)</f>
        <v>95</v>
      </c>
      <c r="I44" s="20">
        <v>80</v>
      </c>
      <c r="J44" s="22">
        <f>IFERROR(MIN(IF(VLOOKUP(F44,'05_Master KPI'!$B$5:$G$100,5,FALSE)="Lower",H44/I44,I44/H44),1),0)</f>
        <v>0.84210526315789469</v>
      </c>
      <c r="K44" s="9">
        <f>IFERROR(VLOOKUP(F44,'05_Master KPI'!$B$5:$G$100,4,FALSE),0)</f>
        <v>10</v>
      </c>
      <c r="L44" s="23">
        <f t="shared" si="0"/>
        <v>8.4210526315789469</v>
      </c>
      <c r="M44" s="9" t="str">
        <f>IF(D44="","",IF(J44&gt;='13_Setting'!$H$7,"Tercapai",IF(J44&gt;='13_Setting'!$H$6,"On Track","Tertinggal")))</f>
        <v>Tertinggal</v>
      </c>
      <c r="N44" s="20" t="s">
        <v>212</v>
      </c>
      <c r="O44" s="1"/>
      <c r="P44" s="1"/>
      <c r="Q44" s="1"/>
      <c r="R44" s="1"/>
      <c r="S44" s="1"/>
      <c r="T44" s="1"/>
      <c r="U44" s="1"/>
      <c r="V44" s="1"/>
      <c r="W44" s="1"/>
      <c r="X44" s="1"/>
      <c r="Y44" s="1"/>
      <c r="Z44" s="1"/>
    </row>
    <row r="45" spans="1:26">
      <c r="A45" s="20"/>
      <c r="B45" s="20"/>
      <c r="C45" s="21"/>
      <c r="D45" s="20"/>
      <c r="E45" s="9" t="str">
        <f>IFERROR(VLOOKUP(D45,'04_Master Karyawan'!$A$5:$F$50,2,FALSE),"")</f>
        <v/>
      </c>
      <c r="F45" s="20"/>
      <c r="G45" s="9" t="str">
        <f>IFERROR(VLOOKUP(F45,'05_Master KPI'!$B$5:$G$100,2,FALSE)&amp;" ("&amp;VLOOKUP(F45,'05_Master KPI'!$B$5:$G$100,3,FALSE)&amp;")","")</f>
        <v/>
      </c>
      <c r="H45" s="9">
        <f>IFERROR(IF(B45&lt;&gt;'06_Target KPI'!$B$3,0,IF(VLOOKUP(F45,'05_Master KPI'!$B$5:$G$100,6,FALSE)="Kumulatif",INDEX('06_Target KPI'!$E$5:$P$100,MATCH(F45,'06_Target KPI'!$B$5:$B$100,0),MATCH(A45,'06_Target KPI'!$E$4:$P$4,0))*DAY(C45)/DAY(EOMONTH(C45,0)),INDEX('06_Target KPI'!$E$5:$P$100,MATCH(F45,'06_Target KPI'!$B$5:$B$100,0),MATCH(A45,'06_Target KPI'!$E$4:$P$4,0)))),0)</f>
        <v>0</v>
      </c>
      <c r="I45" s="20"/>
      <c r="J45" s="22">
        <f>IFERROR(MIN(IF(VLOOKUP(F45,'05_Master KPI'!$B$5:$G$100,5,FALSE)="Lower",H45/I45,I45/H45),1),0)</f>
        <v>0</v>
      </c>
      <c r="K45" s="9">
        <f>IFERROR(VLOOKUP(F45,'05_Master KPI'!$B$5:$G$100,4,FALSE),0)</f>
        <v>0</v>
      </c>
      <c r="L45" s="23">
        <f t="shared" si="0"/>
        <v>0</v>
      </c>
      <c r="M45" s="9" t="str">
        <f>IF(D45="","",IF(J45&gt;='13_Setting'!$H$7,"Tercapai",IF(J45&gt;='13_Setting'!$H$6,"On Track","Tertinggal")))</f>
        <v/>
      </c>
      <c r="N45" s="20"/>
      <c r="O45" s="1"/>
      <c r="P45" s="1"/>
      <c r="Q45" s="1"/>
      <c r="R45" s="1"/>
      <c r="S45" s="1"/>
      <c r="T45" s="1"/>
      <c r="U45" s="1"/>
      <c r="V45" s="1"/>
      <c r="W45" s="1"/>
      <c r="X45" s="1"/>
      <c r="Y45" s="1"/>
      <c r="Z45" s="1"/>
    </row>
    <row r="46" spans="1:26">
      <c r="A46" s="20"/>
      <c r="B46" s="20"/>
      <c r="C46" s="21"/>
      <c r="D46" s="20"/>
      <c r="E46" s="9" t="str">
        <f>IFERROR(VLOOKUP(D46,'04_Master Karyawan'!$A$5:$F$50,2,FALSE),"")</f>
        <v/>
      </c>
      <c r="F46" s="20"/>
      <c r="G46" s="9" t="str">
        <f>IFERROR(VLOOKUP(F46,'05_Master KPI'!$B$5:$G$100,2,FALSE)&amp;" ("&amp;VLOOKUP(F46,'05_Master KPI'!$B$5:$G$100,3,FALSE)&amp;")","")</f>
        <v/>
      </c>
      <c r="H46" s="9">
        <f>IFERROR(IF(B46&lt;&gt;'06_Target KPI'!$B$3,0,IF(VLOOKUP(F46,'05_Master KPI'!$B$5:$G$100,6,FALSE)="Kumulatif",INDEX('06_Target KPI'!$E$5:$P$100,MATCH(F46,'06_Target KPI'!$B$5:$B$100,0),MATCH(A46,'06_Target KPI'!$E$4:$P$4,0))*DAY(C46)/DAY(EOMONTH(C46,0)),INDEX('06_Target KPI'!$E$5:$P$100,MATCH(F46,'06_Target KPI'!$B$5:$B$100,0),MATCH(A46,'06_Target KPI'!$E$4:$P$4,0)))),0)</f>
        <v>0</v>
      </c>
      <c r="I46" s="20"/>
      <c r="J46" s="22">
        <f>IFERROR(MIN(IF(VLOOKUP(F46,'05_Master KPI'!$B$5:$G$100,5,FALSE)="Lower",H46/I46,I46/H46),1),0)</f>
        <v>0</v>
      </c>
      <c r="K46" s="9">
        <f>IFERROR(VLOOKUP(F46,'05_Master KPI'!$B$5:$G$100,4,FALSE),0)</f>
        <v>0</v>
      </c>
      <c r="L46" s="23">
        <f t="shared" si="0"/>
        <v>0</v>
      </c>
      <c r="M46" s="9" t="str">
        <f>IF(D46="","",IF(J46&gt;='13_Setting'!$H$7,"Tercapai",IF(J46&gt;='13_Setting'!$H$6,"On Track","Tertinggal")))</f>
        <v/>
      </c>
      <c r="N46" s="20"/>
      <c r="O46" s="1"/>
      <c r="P46" s="1"/>
      <c r="Q46" s="1"/>
      <c r="R46" s="1"/>
      <c r="S46" s="1"/>
      <c r="T46" s="1"/>
      <c r="U46" s="1"/>
      <c r="V46" s="1"/>
      <c r="W46" s="1"/>
      <c r="X46" s="1"/>
      <c r="Y46" s="1"/>
      <c r="Z46" s="1"/>
    </row>
    <row r="47" spans="1:26">
      <c r="A47" s="20"/>
      <c r="B47" s="20"/>
      <c r="C47" s="21"/>
      <c r="D47" s="20"/>
      <c r="E47" s="9" t="str">
        <f>IFERROR(VLOOKUP(D47,'04_Master Karyawan'!$A$5:$F$50,2,FALSE),"")</f>
        <v/>
      </c>
      <c r="F47" s="20"/>
      <c r="G47" s="9" t="str">
        <f>IFERROR(VLOOKUP(F47,'05_Master KPI'!$B$5:$G$100,2,FALSE)&amp;" ("&amp;VLOOKUP(F47,'05_Master KPI'!$B$5:$G$100,3,FALSE)&amp;")","")</f>
        <v/>
      </c>
      <c r="H47" s="9">
        <f>IFERROR(IF(B47&lt;&gt;'06_Target KPI'!$B$3,0,IF(VLOOKUP(F47,'05_Master KPI'!$B$5:$G$100,6,FALSE)="Kumulatif",INDEX('06_Target KPI'!$E$5:$P$100,MATCH(F47,'06_Target KPI'!$B$5:$B$100,0),MATCH(A47,'06_Target KPI'!$E$4:$P$4,0))*DAY(C47)/DAY(EOMONTH(C47,0)),INDEX('06_Target KPI'!$E$5:$P$100,MATCH(F47,'06_Target KPI'!$B$5:$B$100,0),MATCH(A47,'06_Target KPI'!$E$4:$P$4,0)))),0)</f>
        <v>0</v>
      </c>
      <c r="I47" s="20"/>
      <c r="J47" s="22">
        <f>IFERROR(MIN(IF(VLOOKUP(F47,'05_Master KPI'!$B$5:$G$100,5,FALSE)="Lower",H47/I47,I47/H47),1),0)</f>
        <v>0</v>
      </c>
      <c r="K47" s="9">
        <f>IFERROR(VLOOKUP(F47,'05_Master KPI'!$B$5:$G$100,4,FALSE),0)</f>
        <v>0</v>
      </c>
      <c r="L47" s="23">
        <f t="shared" si="0"/>
        <v>0</v>
      </c>
      <c r="M47" s="9" t="str">
        <f>IF(D47="","",IF(J47&gt;='13_Setting'!$H$7,"Tercapai",IF(J47&gt;='13_Setting'!$H$6,"On Track","Tertinggal")))</f>
        <v/>
      </c>
      <c r="N47" s="20"/>
      <c r="O47" s="1"/>
      <c r="P47" s="1"/>
      <c r="Q47" s="1"/>
      <c r="R47" s="1"/>
      <c r="S47" s="1"/>
      <c r="T47" s="1"/>
      <c r="U47" s="1"/>
      <c r="V47" s="1"/>
      <c r="W47" s="1"/>
      <c r="X47" s="1"/>
      <c r="Y47" s="1"/>
      <c r="Z47" s="1"/>
    </row>
    <row r="48" spans="1:26">
      <c r="A48" s="20"/>
      <c r="B48" s="20"/>
      <c r="C48" s="21"/>
      <c r="D48" s="20"/>
      <c r="E48" s="9" t="str">
        <f>IFERROR(VLOOKUP(D48,'04_Master Karyawan'!$A$5:$F$50,2,FALSE),"")</f>
        <v/>
      </c>
      <c r="F48" s="20"/>
      <c r="G48" s="9" t="str">
        <f>IFERROR(VLOOKUP(F48,'05_Master KPI'!$B$5:$G$100,2,FALSE)&amp;" ("&amp;VLOOKUP(F48,'05_Master KPI'!$B$5:$G$100,3,FALSE)&amp;")","")</f>
        <v/>
      </c>
      <c r="H48" s="9">
        <f>IFERROR(IF(B48&lt;&gt;'06_Target KPI'!$B$3,0,IF(VLOOKUP(F48,'05_Master KPI'!$B$5:$G$100,6,FALSE)="Kumulatif",INDEX('06_Target KPI'!$E$5:$P$100,MATCH(F48,'06_Target KPI'!$B$5:$B$100,0),MATCH(A48,'06_Target KPI'!$E$4:$P$4,0))*DAY(C48)/DAY(EOMONTH(C48,0)),INDEX('06_Target KPI'!$E$5:$P$100,MATCH(F48,'06_Target KPI'!$B$5:$B$100,0),MATCH(A48,'06_Target KPI'!$E$4:$P$4,0)))),0)</f>
        <v>0</v>
      </c>
      <c r="I48" s="20"/>
      <c r="J48" s="22">
        <f>IFERROR(MIN(IF(VLOOKUP(F48,'05_Master KPI'!$B$5:$G$100,5,FALSE)="Lower",H48/I48,I48/H48),1),0)</f>
        <v>0</v>
      </c>
      <c r="K48" s="9">
        <f>IFERROR(VLOOKUP(F48,'05_Master KPI'!$B$5:$G$100,4,FALSE),0)</f>
        <v>0</v>
      </c>
      <c r="L48" s="23">
        <f t="shared" si="0"/>
        <v>0</v>
      </c>
      <c r="M48" s="9" t="str">
        <f>IF(D48="","",IF(J48&gt;='13_Setting'!$H$7,"Tercapai",IF(J48&gt;='13_Setting'!$H$6,"On Track","Tertinggal")))</f>
        <v/>
      </c>
      <c r="N48" s="20"/>
      <c r="O48" s="1"/>
      <c r="P48" s="1"/>
      <c r="Q48" s="1"/>
      <c r="R48" s="1"/>
      <c r="S48" s="1"/>
      <c r="T48" s="1"/>
      <c r="U48" s="1"/>
      <c r="V48" s="1"/>
      <c r="W48" s="1"/>
      <c r="X48" s="1"/>
      <c r="Y48" s="1"/>
      <c r="Z48" s="1"/>
    </row>
    <row r="49" spans="1:26">
      <c r="A49" s="20"/>
      <c r="B49" s="20"/>
      <c r="C49" s="21"/>
      <c r="D49" s="20"/>
      <c r="E49" s="9" t="str">
        <f>IFERROR(VLOOKUP(D49,'04_Master Karyawan'!$A$5:$F$50,2,FALSE),"")</f>
        <v/>
      </c>
      <c r="F49" s="20"/>
      <c r="G49" s="9" t="str">
        <f>IFERROR(VLOOKUP(F49,'05_Master KPI'!$B$5:$G$100,2,FALSE)&amp;" ("&amp;VLOOKUP(F49,'05_Master KPI'!$B$5:$G$100,3,FALSE)&amp;")","")</f>
        <v/>
      </c>
      <c r="H49" s="9">
        <f>IFERROR(IF(B49&lt;&gt;'06_Target KPI'!$B$3,0,IF(VLOOKUP(F49,'05_Master KPI'!$B$5:$G$100,6,FALSE)="Kumulatif",INDEX('06_Target KPI'!$E$5:$P$100,MATCH(F49,'06_Target KPI'!$B$5:$B$100,0),MATCH(A49,'06_Target KPI'!$E$4:$P$4,0))*DAY(C49)/DAY(EOMONTH(C49,0)),INDEX('06_Target KPI'!$E$5:$P$100,MATCH(F49,'06_Target KPI'!$B$5:$B$100,0),MATCH(A49,'06_Target KPI'!$E$4:$P$4,0)))),0)</f>
        <v>0</v>
      </c>
      <c r="I49" s="20"/>
      <c r="J49" s="22">
        <f>IFERROR(MIN(IF(VLOOKUP(F49,'05_Master KPI'!$B$5:$G$100,5,FALSE)="Lower",H49/I49,I49/H49),1),0)</f>
        <v>0</v>
      </c>
      <c r="K49" s="9">
        <f>IFERROR(VLOOKUP(F49,'05_Master KPI'!$B$5:$G$100,4,FALSE),0)</f>
        <v>0</v>
      </c>
      <c r="L49" s="23">
        <f t="shared" si="0"/>
        <v>0</v>
      </c>
      <c r="M49" s="9" t="str">
        <f>IF(D49="","",IF(J49&gt;='13_Setting'!$H$7,"Tercapai",IF(J49&gt;='13_Setting'!$H$6,"On Track","Tertinggal")))</f>
        <v/>
      </c>
      <c r="N49" s="20"/>
      <c r="O49" s="1"/>
      <c r="P49" s="1"/>
      <c r="Q49" s="1"/>
      <c r="R49" s="1"/>
      <c r="S49" s="1"/>
      <c r="T49" s="1"/>
      <c r="U49" s="1"/>
      <c r="V49" s="1"/>
      <c r="W49" s="1"/>
      <c r="X49" s="1"/>
      <c r="Y49" s="1"/>
      <c r="Z49" s="1"/>
    </row>
    <row r="50" spans="1:26">
      <c r="A50" s="20"/>
      <c r="B50" s="20"/>
      <c r="C50" s="21"/>
      <c r="D50" s="20"/>
      <c r="E50" s="9" t="str">
        <f>IFERROR(VLOOKUP(D50,'04_Master Karyawan'!$A$5:$F$50,2,FALSE),"")</f>
        <v/>
      </c>
      <c r="F50" s="20"/>
      <c r="G50" s="9" t="str">
        <f>IFERROR(VLOOKUP(F50,'05_Master KPI'!$B$5:$G$100,2,FALSE)&amp;" ("&amp;VLOOKUP(F50,'05_Master KPI'!$B$5:$G$100,3,FALSE)&amp;")","")</f>
        <v/>
      </c>
      <c r="H50" s="9">
        <f>IFERROR(IF(B50&lt;&gt;'06_Target KPI'!$B$3,0,IF(VLOOKUP(F50,'05_Master KPI'!$B$5:$G$100,6,FALSE)="Kumulatif",INDEX('06_Target KPI'!$E$5:$P$100,MATCH(F50,'06_Target KPI'!$B$5:$B$100,0),MATCH(A50,'06_Target KPI'!$E$4:$P$4,0))*DAY(C50)/DAY(EOMONTH(C50,0)),INDEX('06_Target KPI'!$E$5:$P$100,MATCH(F50,'06_Target KPI'!$B$5:$B$100,0),MATCH(A50,'06_Target KPI'!$E$4:$P$4,0)))),0)</f>
        <v>0</v>
      </c>
      <c r="I50" s="20"/>
      <c r="J50" s="22">
        <f>IFERROR(MIN(IF(VLOOKUP(F50,'05_Master KPI'!$B$5:$G$100,5,FALSE)="Lower",H50/I50,I50/H50),1),0)</f>
        <v>0</v>
      </c>
      <c r="K50" s="9">
        <f>IFERROR(VLOOKUP(F50,'05_Master KPI'!$B$5:$G$100,4,FALSE),0)</f>
        <v>0</v>
      </c>
      <c r="L50" s="23">
        <f t="shared" si="0"/>
        <v>0</v>
      </c>
      <c r="M50" s="9" t="str">
        <f>IF(D50="","",IF(J50&gt;='13_Setting'!$H$7,"Tercapai",IF(J50&gt;='13_Setting'!$H$6,"On Track","Tertinggal")))</f>
        <v/>
      </c>
      <c r="N50" s="20"/>
      <c r="O50" s="1"/>
      <c r="P50" s="1"/>
      <c r="Q50" s="1"/>
      <c r="R50" s="1"/>
      <c r="S50" s="1"/>
      <c r="T50" s="1"/>
      <c r="U50" s="1"/>
      <c r="V50" s="1"/>
      <c r="W50" s="1"/>
      <c r="X50" s="1"/>
      <c r="Y50" s="1"/>
      <c r="Z50" s="1"/>
    </row>
    <row r="51" spans="1:26">
      <c r="A51" s="20"/>
      <c r="B51" s="20"/>
      <c r="C51" s="21"/>
      <c r="D51" s="20"/>
      <c r="E51" s="9" t="str">
        <f>IFERROR(VLOOKUP(D51,'04_Master Karyawan'!$A$5:$F$50,2,FALSE),"")</f>
        <v/>
      </c>
      <c r="F51" s="20"/>
      <c r="G51" s="9" t="str">
        <f>IFERROR(VLOOKUP(F51,'05_Master KPI'!$B$5:$G$100,2,FALSE)&amp;" ("&amp;VLOOKUP(F51,'05_Master KPI'!$B$5:$G$100,3,FALSE)&amp;")","")</f>
        <v/>
      </c>
      <c r="H51" s="9">
        <f>IFERROR(IF(B51&lt;&gt;'06_Target KPI'!$B$3,0,IF(VLOOKUP(F51,'05_Master KPI'!$B$5:$G$100,6,FALSE)="Kumulatif",INDEX('06_Target KPI'!$E$5:$P$100,MATCH(F51,'06_Target KPI'!$B$5:$B$100,0),MATCH(A51,'06_Target KPI'!$E$4:$P$4,0))*DAY(C51)/DAY(EOMONTH(C51,0)),INDEX('06_Target KPI'!$E$5:$P$100,MATCH(F51,'06_Target KPI'!$B$5:$B$100,0),MATCH(A51,'06_Target KPI'!$E$4:$P$4,0)))),0)</f>
        <v>0</v>
      </c>
      <c r="I51" s="20"/>
      <c r="J51" s="22">
        <f>IFERROR(MIN(IF(VLOOKUP(F51,'05_Master KPI'!$B$5:$G$100,5,FALSE)="Lower",H51/I51,I51/H51),1),0)</f>
        <v>0</v>
      </c>
      <c r="K51" s="9">
        <f>IFERROR(VLOOKUP(F51,'05_Master KPI'!$B$5:$G$100,4,FALSE),0)</f>
        <v>0</v>
      </c>
      <c r="L51" s="23">
        <f t="shared" si="0"/>
        <v>0</v>
      </c>
      <c r="M51" s="9" t="str">
        <f>IF(D51="","",IF(J51&gt;='13_Setting'!$H$7,"Tercapai",IF(J51&gt;='13_Setting'!$H$6,"On Track","Tertinggal")))</f>
        <v/>
      </c>
      <c r="N51" s="20"/>
      <c r="O51" s="1"/>
      <c r="P51" s="1"/>
      <c r="Q51" s="1"/>
      <c r="R51" s="1"/>
      <c r="S51" s="1"/>
      <c r="T51" s="1"/>
      <c r="U51" s="1"/>
      <c r="V51" s="1"/>
      <c r="W51" s="1"/>
      <c r="X51" s="1"/>
      <c r="Y51" s="1"/>
      <c r="Z51" s="1"/>
    </row>
    <row r="52" spans="1:26">
      <c r="A52" s="20"/>
      <c r="B52" s="20"/>
      <c r="C52" s="21"/>
      <c r="D52" s="20"/>
      <c r="E52" s="9" t="str">
        <f>IFERROR(VLOOKUP(D52,'04_Master Karyawan'!$A$5:$F$50,2,FALSE),"")</f>
        <v/>
      </c>
      <c r="F52" s="20"/>
      <c r="G52" s="9" t="str">
        <f>IFERROR(VLOOKUP(F52,'05_Master KPI'!$B$5:$G$100,2,FALSE)&amp;" ("&amp;VLOOKUP(F52,'05_Master KPI'!$B$5:$G$100,3,FALSE)&amp;")","")</f>
        <v/>
      </c>
      <c r="H52" s="9">
        <f>IFERROR(IF(B52&lt;&gt;'06_Target KPI'!$B$3,0,IF(VLOOKUP(F52,'05_Master KPI'!$B$5:$G$100,6,FALSE)="Kumulatif",INDEX('06_Target KPI'!$E$5:$P$100,MATCH(F52,'06_Target KPI'!$B$5:$B$100,0),MATCH(A52,'06_Target KPI'!$E$4:$P$4,0))*DAY(C52)/DAY(EOMONTH(C52,0)),INDEX('06_Target KPI'!$E$5:$P$100,MATCH(F52,'06_Target KPI'!$B$5:$B$100,0),MATCH(A52,'06_Target KPI'!$E$4:$P$4,0)))),0)</f>
        <v>0</v>
      </c>
      <c r="I52" s="20"/>
      <c r="J52" s="22">
        <f>IFERROR(MIN(IF(VLOOKUP(F52,'05_Master KPI'!$B$5:$G$100,5,FALSE)="Lower",H52/I52,I52/H52),1),0)</f>
        <v>0</v>
      </c>
      <c r="K52" s="9">
        <f>IFERROR(VLOOKUP(F52,'05_Master KPI'!$B$5:$G$100,4,FALSE),0)</f>
        <v>0</v>
      </c>
      <c r="L52" s="23">
        <f t="shared" si="0"/>
        <v>0</v>
      </c>
      <c r="M52" s="9" t="str">
        <f>IF(D52="","",IF(J52&gt;='13_Setting'!$H$7,"Tercapai",IF(J52&gt;='13_Setting'!$H$6,"On Track","Tertinggal")))</f>
        <v/>
      </c>
      <c r="N52" s="20"/>
      <c r="O52" s="1"/>
      <c r="P52" s="1"/>
      <c r="Q52" s="1"/>
      <c r="R52" s="1"/>
      <c r="S52" s="1"/>
      <c r="T52" s="1"/>
      <c r="U52" s="1"/>
      <c r="V52" s="1"/>
      <c r="W52" s="1"/>
      <c r="X52" s="1"/>
      <c r="Y52" s="1"/>
      <c r="Z52" s="1"/>
    </row>
    <row r="53" spans="1:26">
      <c r="A53" s="20"/>
      <c r="B53" s="20"/>
      <c r="C53" s="21"/>
      <c r="D53" s="20"/>
      <c r="E53" s="9" t="str">
        <f>IFERROR(VLOOKUP(D53,'04_Master Karyawan'!$A$5:$F$50,2,FALSE),"")</f>
        <v/>
      </c>
      <c r="F53" s="20"/>
      <c r="G53" s="9" t="str">
        <f>IFERROR(VLOOKUP(F53,'05_Master KPI'!$B$5:$G$100,2,FALSE)&amp;" ("&amp;VLOOKUP(F53,'05_Master KPI'!$B$5:$G$100,3,FALSE)&amp;")","")</f>
        <v/>
      </c>
      <c r="H53" s="9">
        <f>IFERROR(IF(B53&lt;&gt;'06_Target KPI'!$B$3,0,IF(VLOOKUP(F53,'05_Master KPI'!$B$5:$G$100,6,FALSE)="Kumulatif",INDEX('06_Target KPI'!$E$5:$P$100,MATCH(F53,'06_Target KPI'!$B$5:$B$100,0),MATCH(A53,'06_Target KPI'!$E$4:$P$4,0))*DAY(C53)/DAY(EOMONTH(C53,0)),INDEX('06_Target KPI'!$E$5:$P$100,MATCH(F53,'06_Target KPI'!$B$5:$B$100,0),MATCH(A53,'06_Target KPI'!$E$4:$P$4,0)))),0)</f>
        <v>0</v>
      </c>
      <c r="I53" s="20"/>
      <c r="J53" s="22">
        <f>IFERROR(MIN(IF(VLOOKUP(F53,'05_Master KPI'!$B$5:$G$100,5,FALSE)="Lower",H53/I53,I53/H53),1),0)</f>
        <v>0</v>
      </c>
      <c r="K53" s="9">
        <f>IFERROR(VLOOKUP(F53,'05_Master KPI'!$B$5:$G$100,4,FALSE),0)</f>
        <v>0</v>
      </c>
      <c r="L53" s="23">
        <f t="shared" si="0"/>
        <v>0</v>
      </c>
      <c r="M53" s="9" t="str">
        <f>IF(D53="","",IF(J53&gt;='13_Setting'!$H$7,"Tercapai",IF(J53&gt;='13_Setting'!$H$6,"On Track","Tertinggal")))</f>
        <v/>
      </c>
      <c r="N53" s="20"/>
      <c r="O53" s="1"/>
      <c r="P53" s="1"/>
      <c r="Q53" s="1"/>
      <c r="R53" s="1"/>
      <c r="S53" s="1"/>
      <c r="T53" s="1"/>
      <c r="U53" s="1"/>
      <c r="V53" s="1"/>
      <c r="W53" s="1"/>
      <c r="X53" s="1"/>
      <c r="Y53" s="1"/>
      <c r="Z53" s="1"/>
    </row>
    <row r="54" spans="1:26">
      <c r="A54" s="20"/>
      <c r="B54" s="20"/>
      <c r="C54" s="21"/>
      <c r="D54" s="20"/>
      <c r="E54" s="9" t="str">
        <f>IFERROR(VLOOKUP(D54,'04_Master Karyawan'!$A$5:$F$50,2,FALSE),"")</f>
        <v/>
      </c>
      <c r="F54" s="20"/>
      <c r="G54" s="9" t="str">
        <f>IFERROR(VLOOKUP(F54,'05_Master KPI'!$B$5:$G$100,2,FALSE)&amp;" ("&amp;VLOOKUP(F54,'05_Master KPI'!$B$5:$G$100,3,FALSE)&amp;")","")</f>
        <v/>
      </c>
      <c r="H54" s="9">
        <f>IFERROR(IF(B54&lt;&gt;'06_Target KPI'!$B$3,0,IF(VLOOKUP(F54,'05_Master KPI'!$B$5:$G$100,6,FALSE)="Kumulatif",INDEX('06_Target KPI'!$E$5:$P$100,MATCH(F54,'06_Target KPI'!$B$5:$B$100,0),MATCH(A54,'06_Target KPI'!$E$4:$P$4,0))*DAY(C54)/DAY(EOMONTH(C54,0)),INDEX('06_Target KPI'!$E$5:$P$100,MATCH(F54,'06_Target KPI'!$B$5:$B$100,0),MATCH(A54,'06_Target KPI'!$E$4:$P$4,0)))),0)</f>
        <v>0</v>
      </c>
      <c r="I54" s="20"/>
      <c r="J54" s="22">
        <f>IFERROR(MIN(IF(VLOOKUP(F54,'05_Master KPI'!$B$5:$G$100,5,FALSE)="Lower",H54/I54,I54/H54),1),0)</f>
        <v>0</v>
      </c>
      <c r="K54" s="9">
        <f>IFERROR(VLOOKUP(F54,'05_Master KPI'!$B$5:$G$100,4,FALSE),0)</f>
        <v>0</v>
      </c>
      <c r="L54" s="23">
        <f t="shared" si="0"/>
        <v>0</v>
      </c>
      <c r="M54" s="9" t="str">
        <f>IF(D54="","",IF(J54&gt;='13_Setting'!$H$7,"Tercapai",IF(J54&gt;='13_Setting'!$H$6,"On Track","Tertinggal")))</f>
        <v/>
      </c>
      <c r="N54" s="20"/>
      <c r="O54" s="1"/>
      <c r="P54" s="1"/>
      <c r="Q54" s="1"/>
      <c r="R54" s="1"/>
      <c r="S54" s="1"/>
      <c r="T54" s="1"/>
      <c r="U54" s="1"/>
      <c r="V54" s="1"/>
      <c r="W54" s="1"/>
      <c r="X54" s="1"/>
      <c r="Y54" s="1"/>
      <c r="Z54" s="1"/>
    </row>
    <row r="55" spans="1:26">
      <c r="A55" s="20"/>
      <c r="B55" s="20"/>
      <c r="C55" s="21"/>
      <c r="D55" s="20"/>
      <c r="E55" s="9" t="str">
        <f>IFERROR(VLOOKUP(D55,'04_Master Karyawan'!$A$5:$F$50,2,FALSE),"")</f>
        <v/>
      </c>
      <c r="F55" s="20"/>
      <c r="G55" s="9" t="str">
        <f>IFERROR(VLOOKUP(F55,'05_Master KPI'!$B$5:$G$100,2,FALSE)&amp;" ("&amp;VLOOKUP(F55,'05_Master KPI'!$B$5:$G$100,3,FALSE)&amp;")","")</f>
        <v/>
      </c>
      <c r="H55" s="9">
        <f>IFERROR(IF(B55&lt;&gt;'06_Target KPI'!$B$3,0,IF(VLOOKUP(F55,'05_Master KPI'!$B$5:$G$100,6,FALSE)="Kumulatif",INDEX('06_Target KPI'!$E$5:$P$100,MATCH(F55,'06_Target KPI'!$B$5:$B$100,0),MATCH(A55,'06_Target KPI'!$E$4:$P$4,0))*DAY(C55)/DAY(EOMONTH(C55,0)),INDEX('06_Target KPI'!$E$5:$P$100,MATCH(F55,'06_Target KPI'!$B$5:$B$100,0),MATCH(A55,'06_Target KPI'!$E$4:$P$4,0)))),0)</f>
        <v>0</v>
      </c>
      <c r="I55" s="20"/>
      <c r="J55" s="22">
        <f>IFERROR(MIN(IF(VLOOKUP(F55,'05_Master KPI'!$B$5:$G$100,5,FALSE)="Lower",H55/I55,I55/H55),1),0)</f>
        <v>0</v>
      </c>
      <c r="K55" s="9">
        <f>IFERROR(VLOOKUP(F55,'05_Master KPI'!$B$5:$G$100,4,FALSE),0)</f>
        <v>0</v>
      </c>
      <c r="L55" s="23">
        <f t="shared" si="0"/>
        <v>0</v>
      </c>
      <c r="M55" s="9" t="str">
        <f>IF(D55="","",IF(J55&gt;='13_Setting'!$H$7,"Tercapai",IF(J55&gt;='13_Setting'!$H$6,"On Track","Tertinggal")))</f>
        <v/>
      </c>
      <c r="N55" s="20"/>
      <c r="O55" s="1"/>
      <c r="P55" s="1"/>
      <c r="Q55" s="1"/>
      <c r="R55" s="1"/>
      <c r="S55" s="1"/>
      <c r="T55" s="1"/>
      <c r="U55" s="1"/>
      <c r="V55" s="1"/>
      <c r="W55" s="1"/>
      <c r="X55" s="1"/>
      <c r="Y55" s="1"/>
      <c r="Z55" s="1"/>
    </row>
    <row r="56" spans="1:26">
      <c r="A56" s="20"/>
      <c r="B56" s="20"/>
      <c r="C56" s="21"/>
      <c r="D56" s="20"/>
      <c r="E56" s="9" t="str">
        <f>IFERROR(VLOOKUP(D56,'04_Master Karyawan'!$A$5:$F$50,2,FALSE),"")</f>
        <v/>
      </c>
      <c r="F56" s="20"/>
      <c r="G56" s="9" t="str">
        <f>IFERROR(VLOOKUP(F56,'05_Master KPI'!$B$5:$G$100,2,FALSE)&amp;" ("&amp;VLOOKUP(F56,'05_Master KPI'!$B$5:$G$100,3,FALSE)&amp;")","")</f>
        <v/>
      </c>
      <c r="H56" s="9">
        <f>IFERROR(IF(B56&lt;&gt;'06_Target KPI'!$B$3,0,IF(VLOOKUP(F56,'05_Master KPI'!$B$5:$G$100,6,FALSE)="Kumulatif",INDEX('06_Target KPI'!$E$5:$P$100,MATCH(F56,'06_Target KPI'!$B$5:$B$100,0),MATCH(A56,'06_Target KPI'!$E$4:$P$4,0))*DAY(C56)/DAY(EOMONTH(C56,0)),INDEX('06_Target KPI'!$E$5:$P$100,MATCH(F56,'06_Target KPI'!$B$5:$B$100,0),MATCH(A56,'06_Target KPI'!$E$4:$P$4,0)))),0)</f>
        <v>0</v>
      </c>
      <c r="I56" s="20"/>
      <c r="J56" s="22">
        <f>IFERROR(MIN(IF(VLOOKUP(F56,'05_Master KPI'!$B$5:$G$100,5,FALSE)="Lower",H56/I56,I56/H56),1),0)</f>
        <v>0</v>
      </c>
      <c r="K56" s="9">
        <f>IFERROR(VLOOKUP(F56,'05_Master KPI'!$B$5:$G$100,4,FALSE),0)</f>
        <v>0</v>
      </c>
      <c r="L56" s="23">
        <f t="shared" si="0"/>
        <v>0</v>
      </c>
      <c r="M56" s="9" t="str">
        <f>IF(D56="","",IF(J56&gt;='13_Setting'!$H$7,"Tercapai",IF(J56&gt;='13_Setting'!$H$6,"On Track","Tertinggal")))</f>
        <v/>
      </c>
      <c r="N56" s="20"/>
      <c r="O56" s="1"/>
      <c r="P56" s="1"/>
      <c r="Q56" s="1"/>
      <c r="R56" s="1"/>
      <c r="S56" s="1"/>
      <c r="T56" s="1"/>
      <c r="U56" s="1"/>
      <c r="V56" s="1"/>
      <c r="W56" s="1"/>
      <c r="X56" s="1"/>
      <c r="Y56" s="1"/>
      <c r="Z56" s="1"/>
    </row>
    <row r="57" spans="1:26">
      <c r="A57" s="20"/>
      <c r="B57" s="20"/>
      <c r="C57" s="21"/>
      <c r="D57" s="20"/>
      <c r="E57" s="9" t="str">
        <f>IFERROR(VLOOKUP(D57,'04_Master Karyawan'!$A$5:$F$50,2,FALSE),"")</f>
        <v/>
      </c>
      <c r="F57" s="20"/>
      <c r="G57" s="9" t="str">
        <f>IFERROR(VLOOKUP(F57,'05_Master KPI'!$B$5:$G$100,2,FALSE)&amp;" ("&amp;VLOOKUP(F57,'05_Master KPI'!$B$5:$G$100,3,FALSE)&amp;")","")</f>
        <v/>
      </c>
      <c r="H57" s="9">
        <f>IFERROR(IF(B57&lt;&gt;'06_Target KPI'!$B$3,0,IF(VLOOKUP(F57,'05_Master KPI'!$B$5:$G$100,6,FALSE)="Kumulatif",INDEX('06_Target KPI'!$E$5:$P$100,MATCH(F57,'06_Target KPI'!$B$5:$B$100,0),MATCH(A57,'06_Target KPI'!$E$4:$P$4,0))*DAY(C57)/DAY(EOMONTH(C57,0)),INDEX('06_Target KPI'!$E$5:$P$100,MATCH(F57,'06_Target KPI'!$B$5:$B$100,0),MATCH(A57,'06_Target KPI'!$E$4:$P$4,0)))),0)</f>
        <v>0</v>
      </c>
      <c r="I57" s="20"/>
      <c r="J57" s="22">
        <f>IFERROR(MIN(IF(VLOOKUP(F57,'05_Master KPI'!$B$5:$G$100,5,FALSE)="Lower",H57/I57,I57/H57),1),0)</f>
        <v>0</v>
      </c>
      <c r="K57" s="9">
        <f>IFERROR(VLOOKUP(F57,'05_Master KPI'!$B$5:$G$100,4,FALSE),0)</f>
        <v>0</v>
      </c>
      <c r="L57" s="23">
        <f t="shared" si="0"/>
        <v>0</v>
      </c>
      <c r="M57" s="9" t="str">
        <f>IF(D57="","",IF(J57&gt;='13_Setting'!$H$7,"Tercapai",IF(J57&gt;='13_Setting'!$H$6,"On Track","Tertinggal")))</f>
        <v/>
      </c>
      <c r="N57" s="20"/>
      <c r="O57" s="1"/>
      <c r="P57" s="1"/>
      <c r="Q57" s="1"/>
      <c r="R57" s="1"/>
      <c r="S57" s="1"/>
      <c r="T57" s="1"/>
      <c r="U57" s="1"/>
      <c r="V57" s="1"/>
      <c r="W57" s="1"/>
      <c r="X57" s="1"/>
      <c r="Y57" s="1"/>
      <c r="Z57" s="1"/>
    </row>
    <row r="58" spans="1:26">
      <c r="A58" s="20"/>
      <c r="B58" s="20"/>
      <c r="C58" s="21"/>
      <c r="D58" s="20"/>
      <c r="E58" s="9" t="str">
        <f>IFERROR(VLOOKUP(D58,'04_Master Karyawan'!$A$5:$F$50,2,FALSE),"")</f>
        <v/>
      </c>
      <c r="F58" s="20"/>
      <c r="G58" s="9" t="str">
        <f>IFERROR(VLOOKUP(F58,'05_Master KPI'!$B$5:$G$100,2,FALSE)&amp;" ("&amp;VLOOKUP(F58,'05_Master KPI'!$B$5:$G$100,3,FALSE)&amp;")","")</f>
        <v/>
      </c>
      <c r="H58" s="9">
        <f>IFERROR(IF(B58&lt;&gt;'06_Target KPI'!$B$3,0,IF(VLOOKUP(F58,'05_Master KPI'!$B$5:$G$100,6,FALSE)="Kumulatif",INDEX('06_Target KPI'!$E$5:$P$100,MATCH(F58,'06_Target KPI'!$B$5:$B$100,0),MATCH(A58,'06_Target KPI'!$E$4:$P$4,0))*DAY(C58)/DAY(EOMONTH(C58,0)),INDEX('06_Target KPI'!$E$5:$P$100,MATCH(F58,'06_Target KPI'!$B$5:$B$100,0),MATCH(A58,'06_Target KPI'!$E$4:$P$4,0)))),0)</f>
        <v>0</v>
      </c>
      <c r="I58" s="20"/>
      <c r="J58" s="22">
        <f>IFERROR(MIN(IF(VLOOKUP(F58,'05_Master KPI'!$B$5:$G$100,5,FALSE)="Lower",H58/I58,I58/H58),1),0)</f>
        <v>0</v>
      </c>
      <c r="K58" s="9">
        <f>IFERROR(VLOOKUP(F58,'05_Master KPI'!$B$5:$G$100,4,FALSE),0)</f>
        <v>0</v>
      </c>
      <c r="L58" s="23">
        <f t="shared" si="0"/>
        <v>0</v>
      </c>
      <c r="M58" s="9" t="str">
        <f>IF(D58="","",IF(J58&gt;='13_Setting'!$H$7,"Tercapai",IF(J58&gt;='13_Setting'!$H$6,"On Track","Tertinggal")))</f>
        <v/>
      </c>
      <c r="N58" s="20"/>
      <c r="O58" s="1"/>
      <c r="P58" s="1"/>
      <c r="Q58" s="1"/>
      <c r="R58" s="1"/>
      <c r="S58" s="1"/>
      <c r="T58" s="1"/>
      <c r="U58" s="1"/>
      <c r="V58" s="1"/>
      <c r="W58" s="1"/>
      <c r="X58" s="1"/>
      <c r="Y58" s="1"/>
      <c r="Z58" s="1"/>
    </row>
    <row r="59" spans="1:26">
      <c r="A59" s="20"/>
      <c r="B59" s="20"/>
      <c r="C59" s="21"/>
      <c r="D59" s="20"/>
      <c r="E59" s="9" t="str">
        <f>IFERROR(VLOOKUP(D59,'04_Master Karyawan'!$A$5:$F$50,2,FALSE),"")</f>
        <v/>
      </c>
      <c r="F59" s="20"/>
      <c r="G59" s="9" t="str">
        <f>IFERROR(VLOOKUP(F59,'05_Master KPI'!$B$5:$G$100,2,FALSE)&amp;" ("&amp;VLOOKUP(F59,'05_Master KPI'!$B$5:$G$100,3,FALSE)&amp;")","")</f>
        <v/>
      </c>
      <c r="H59" s="9">
        <f>IFERROR(IF(B59&lt;&gt;'06_Target KPI'!$B$3,0,IF(VLOOKUP(F59,'05_Master KPI'!$B$5:$G$100,6,FALSE)="Kumulatif",INDEX('06_Target KPI'!$E$5:$P$100,MATCH(F59,'06_Target KPI'!$B$5:$B$100,0),MATCH(A59,'06_Target KPI'!$E$4:$P$4,0))*DAY(C59)/DAY(EOMONTH(C59,0)),INDEX('06_Target KPI'!$E$5:$P$100,MATCH(F59,'06_Target KPI'!$B$5:$B$100,0),MATCH(A59,'06_Target KPI'!$E$4:$P$4,0)))),0)</f>
        <v>0</v>
      </c>
      <c r="I59" s="20"/>
      <c r="J59" s="22">
        <f>IFERROR(MIN(IF(VLOOKUP(F59,'05_Master KPI'!$B$5:$G$100,5,FALSE)="Lower",H59/I59,I59/H59),1),0)</f>
        <v>0</v>
      </c>
      <c r="K59" s="9">
        <f>IFERROR(VLOOKUP(F59,'05_Master KPI'!$B$5:$G$100,4,FALSE),0)</f>
        <v>0</v>
      </c>
      <c r="L59" s="23">
        <f t="shared" si="0"/>
        <v>0</v>
      </c>
      <c r="M59" s="9" t="str">
        <f>IF(D59="","",IF(J59&gt;='13_Setting'!$H$7,"Tercapai",IF(J59&gt;='13_Setting'!$H$6,"On Track","Tertinggal")))</f>
        <v/>
      </c>
      <c r="N59" s="20"/>
      <c r="O59" s="1"/>
      <c r="P59" s="1"/>
      <c r="Q59" s="1"/>
      <c r="R59" s="1"/>
      <c r="S59" s="1"/>
      <c r="T59" s="1"/>
      <c r="U59" s="1"/>
      <c r="V59" s="1"/>
      <c r="W59" s="1"/>
      <c r="X59" s="1"/>
      <c r="Y59" s="1"/>
      <c r="Z59" s="1"/>
    </row>
    <row r="60" spans="1:26">
      <c r="A60" s="20"/>
      <c r="B60" s="20"/>
      <c r="C60" s="21"/>
      <c r="D60" s="20"/>
      <c r="E60" s="9" t="str">
        <f>IFERROR(VLOOKUP(D60,'04_Master Karyawan'!$A$5:$F$50,2,FALSE),"")</f>
        <v/>
      </c>
      <c r="F60" s="20"/>
      <c r="G60" s="9" t="str">
        <f>IFERROR(VLOOKUP(F60,'05_Master KPI'!$B$5:$G$100,2,FALSE)&amp;" ("&amp;VLOOKUP(F60,'05_Master KPI'!$B$5:$G$100,3,FALSE)&amp;")","")</f>
        <v/>
      </c>
      <c r="H60" s="9">
        <f>IFERROR(IF(B60&lt;&gt;'06_Target KPI'!$B$3,0,IF(VLOOKUP(F60,'05_Master KPI'!$B$5:$G$100,6,FALSE)="Kumulatif",INDEX('06_Target KPI'!$E$5:$P$100,MATCH(F60,'06_Target KPI'!$B$5:$B$100,0),MATCH(A60,'06_Target KPI'!$E$4:$P$4,0))*DAY(C60)/DAY(EOMONTH(C60,0)),INDEX('06_Target KPI'!$E$5:$P$100,MATCH(F60,'06_Target KPI'!$B$5:$B$100,0),MATCH(A60,'06_Target KPI'!$E$4:$P$4,0)))),0)</f>
        <v>0</v>
      </c>
      <c r="I60" s="20"/>
      <c r="J60" s="22">
        <f>IFERROR(MIN(IF(VLOOKUP(F60,'05_Master KPI'!$B$5:$G$100,5,FALSE)="Lower",H60/I60,I60/H60),1),0)</f>
        <v>0</v>
      </c>
      <c r="K60" s="9">
        <f>IFERROR(VLOOKUP(F60,'05_Master KPI'!$B$5:$G$100,4,FALSE),0)</f>
        <v>0</v>
      </c>
      <c r="L60" s="23">
        <f t="shared" si="0"/>
        <v>0</v>
      </c>
      <c r="M60" s="9" t="str">
        <f>IF(D60="","",IF(J60&gt;='13_Setting'!$H$7,"Tercapai",IF(J60&gt;='13_Setting'!$H$6,"On Track","Tertinggal")))</f>
        <v/>
      </c>
      <c r="N60" s="20"/>
      <c r="O60" s="1"/>
      <c r="P60" s="1"/>
      <c r="Q60" s="1"/>
      <c r="R60" s="1"/>
      <c r="S60" s="1"/>
      <c r="T60" s="1"/>
      <c r="U60" s="1"/>
      <c r="V60" s="1"/>
      <c r="W60" s="1"/>
      <c r="X60" s="1"/>
      <c r="Y60" s="1"/>
      <c r="Z60" s="1"/>
    </row>
    <row r="61" spans="1:26">
      <c r="A61" s="20"/>
      <c r="B61" s="20"/>
      <c r="C61" s="21"/>
      <c r="D61" s="20"/>
      <c r="E61" s="9" t="str">
        <f>IFERROR(VLOOKUP(D61,'04_Master Karyawan'!$A$5:$F$50,2,FALSE),"")</f>
        <v/>
      </c>
      <c r="F61" s="20"/>
      <c r="G61" s="9" t="str">
        <f>IFERROR(VLOOKUP(F61,'05_Master KPI'!$B$5:$G$100,2,FALSE)&amp;" ("&amp;VLOOKUP(F61,'05_Master KPI'!$B$5:$G$100,3,FALSE)&amp;")","")</f>
        <v/>
      </c>
      <c r="H61" s="9">
        <f>IFERROR(IF(B61&lt;&gt;'06_Target KPI'!$B$3,0,IF(VLOOKUP(F61,'05_Master KPI'!$B$5:$G$100,6,FALSE)="Kumulatif",INDEX('06_Target KPI'!$E$5:$P$100,MATCH(F61,'06_Target KPI'!$B$5:$B$100,0),MATCH(A61,'06_Target KPI'!$E$4:$P$4,0))*DAY(C61)/DAY(EOMONTH(C61,0)),INDEX('06_Target KPI'!$E$5:$P$100,MATCH(F61,'06_Target KPI'!$B$5:$B$100,0),MATCH(A61,'06_Target KPI'!$E$4:$P$4,0)))),0)</f>
        <v>0</v>
      </c>
      <c r="I61" s="20"/>
      <c r="J61" s="22">
        <f>IFERROR(MIN(IF(VLOOKUP(F61,'05_Master KPI'!$B$5:$G$100,5,FALSE)="Lower",H61/I61,I61/H61),1),0)</f>
        <v>0</v>
      </c>
      <c r="K61" s="9">
        <f>IFERROR(VLOOKUP(F61,'05_Master KPI'!$B$5:$G$100,4,FALSE),0)</f>
        <v>0</v>
      </c>
      <c r="L61" s="23">
        <f t="shared" si="0"/>
        <v>0</v>
      </c>
      <c r="M61" s="9" t="str">
        <f>IF(D61="","",IF(J61&gt;='13_Setting'!$H$7,"Tercapai",IF(J61&gt;='13_Setting'!$H$6,"On Track","Tertinggal")))</f>
        <v/>
      </c>
      <c r="N61" s="20"/>
      <c r="O61" s="1"/>
      <c r="P61" s="1"/>
      <c r="Q61" s="1"/>
      <c r="R61" s="1"/>
      <c r="S61" s="1"/>
      <c r="T61" s="1"/>
      <c r="U61" s="1"/>
      <c r="V61" s="1"/>
      <c r="W61" s="1"/>
      <c r="X61" s="1"/>
      <c r="Y61" s="1"/>
      <c r="Z61" s="1"/>
    </row>
    <row r="62" spans="1:26">
      <c r="A62" s="20"/>
      <c r="B62" s="20"/>
      <c r="C62" s="21"/>
      <c r="D62" s="20"/>
      <c r="E62" s="9" t="str">
        <f>IFERROR(VLOOKUP(D62,'04_Master Karyawan'!$A$5:$F$50,2,FALSE),"")</f>
        <v/>
      </c>
      <c r="F62" s="20"/>
      <c r="G62" s="9" t="str">
        <f>IFERROR(VLOOKUP(F62,'05_Master KPI'!$B$5:$G$100,2,FALSE)&amp;" ("&amp;VLOOKUP(F62,'05_Master KPI'!$B$5:$G$100,3,FALSE)&amp;")","")</f>
        <v/>
      </c>
      <c r="H62" s="9">
        <f>IFERROR(IF(B62&lt;&gt;'06_Target KPI'!$B$3,0,IF(VLOOKUP(F62,'05_Master KPI'!$B$5:$G$100,6,FALSE)="Kumulatif",INDEX('06_Target KPI'!$E$5:$P$100,MATCH(F62,'06_Target KPI'!$B$5:$B$100,0),MATCH(A62,'06_Target KPI'!$E$4:$P$4,0))*DAY(C62)/DAY(EOMONTH(C62,0)),INDEX('06_Target KPI'!$E$5:$P$100,MATCH(F62,'06_Target KPI'!$B$5:$B$100,0),MATCH(A62,'06_Target KPI'!$E$4:$P$4,0)))),0)</f>
        <v>0</v>
      </c>
      <c r="I62" s="20"/>
      <c r="J62" s="22">
        <f>IFERROR(MIN(IF(VLOOKUP(F62,'05_Master KPI'!$B$5:$G$100,5,FALSE)="Lower",H62/I62,I62/H62),1),0)</f>
        <v>0</v>
      </c>
      <c r="K62" s="9">
        <f>IFERROR(VLOOKUP(F62,'05_Master KPI'!$B$5:$G$100,4,FALSE),0)</f>
        <v>0</v>
      </c>
      <c r="L62" s="23">
        <f t="shared" si="0"/>
        <v>0</v>
      </c>
      <c r="M62" s="9" t="str">
        <f>IF(D62="","",IF(J62&gt;='13_Setting'!$H$7,"Tercapai",IF(J62&gt;='13_Setting'!$H$6,"On Track","Tertinggal")))</f>
        <v/>
      </c>
      <c r="N62" s="20"/>
      <c r="O62" s="1"/>
      <c r="P62" s="1"/>
      <c r="Q62" s="1"/>
      <c r="R62" s="1"/>
      <c r="S62" s="1"/>
      <c r="T62" s="1"/>
      <c r="U62" s="1"/>
      <c r="V62" s="1"/>
      <c r="W62" s="1"/>
      <c r="X62" s="1"/>
      <c r="Y62" s="1"/>
      <c r="Z62" s="1"/>
    </row>
    <row r="63" spans="1:26">
      <c r="A63" s="20"/>
      <c r="B63" s="20"/>
      <c r="C63" s="21"/>
      <c r="D63" s="20"/>
      <c r="E63" s="9" t="str">
        <f>IFERROR(VLOOKUP(D63,'04_Master Karyawan'!$A$5:$F$50,2,FALSE),"")</f>
        <v/>
      </c>
      <c r="F63" s="20"/>
      <c r="G63" s="9" t="str">
        <f>IFERROR(VLOOKUP(F63,'05_Master KPI'!$B$5:$G$100,2,FALSE)&amp;" ("&amp;VLOOKUP(F63,'05_Master KPI'!$B$5:$G$100,3,FALSE)&amp;")","")</f>
        <v/>
      </c>
      <c r="H63" s="9">
        <f>IFERROR(IF(B63&lt;&gt;'06_Target KPI'!$B$3,0,IF(VLOOKUP(F63,'05_Master KPI'!$B$5:$G$100,6,FALSE)="Kumulatif",INDEX('06_Target KPI'!$E$5:$P$100,MATCH(F63,'06_Target KPI'!$B$5:$B$100,0),MATCH(A63,'06_Target KPI'!$E$4:$P$4,0))*DAY(C63)/DAY(EOMONTH(C63,0)),INDEX('06_Target KPI'!$E$5:$P$100,MATCH(F63,'06_Target KPI'!$B$5:$B$100,0),MATCH(A63,'06_Target KPI'!$E$4:$P$4,0)))),0)</f>
        <v>0</v>
      </c>
      <c r="I63" s="20"/>
      <c r="J63" s="22">
        <f>IFERROR(MIN(IF(VLOOKUP(F63,'05_Master KPI'!$B$5:$G$100,5,FALSE)="Lower",H63/I63,I63/H63),1),0)</f>
        <v>0</v>
      </c>
      <c r="K63" s="9">
        <f>IFERROR(VLOOKUP(F63,'05_Master KPI'!$B$5:$G$100,4,FALSE),0)</f>
        <v>0</v>
      </c>
      <c r="L63" s="23">
        <f t="shared" si="0"/>
        <v>0</v>
      </c>
      <c r="M63" s="9" t="str">
        <f>IF(D63="","",IF(J63&gt;='13_Setting'!$H$7,"Tercapai",IF(J63&gt;='13_Setting'!$H$6,"On Track","Tertinggal")))</f>
        <v/>
      </c>
      <c r="N63" s="20"/>
      <c r="O63" s="1"/>
      <c r="P63" s="1"/>
      <c r="Q63" s="1"/>
      <c r="R63" s="1"/>
      <c r="S63" s="1"/>
      <c r="T63" s="1"/>
      <c r="U63" s="1"/>
      <c r="V63" s="1"/>
      <c r="W63" s="1"/>
      <c r="X63" s="1"/>
      <c r="Y63" s="1"/>
      <c r="Z63" s="1"/>
    </row>
    <row r="64" spans="1:26">
      <c r="A64" s="20"/>
      <c r="B64" s="20"/>
      <c r="C64" s="21"/>
      <c r="D64" s="20"/>
      <c r="E64" s="9" t="str">
        <f>IFERROR(VLOOKUP(D64,'04_Master Karyawan'!$A$5:$F$50,2,FALSE),"")</f>
        <v/>
      </c>
      <c r="F64" s="20"/>
      <c r="G64" s="9" t="str">
        <f>IFERROR(VLOOKUP(F64,'05_Master KPI'!$B$5:$G$100,2,FALSE)&amp;" ("&amp;VLOOKUP(F64,'05_Master KPI'!$B$5:$G$100,3,FALSE)&amp;")","")</f>
        <v/>
      </c>
      <c r="H64" s="9">
        <f>IFERROR(IF(B64&lt;&gt;'06_Target KPI'!$B$3,0,IF(VLOOKUP(F64,'05_Master KPI'!$B$5:$G$100,6,FALSE)="Kumulatif",INDEX('06_Target KPI'!$E$5:$P$100,MATCH(F64,'06_Target KPI'!$B$5:$B$100,0),MATCH(A64,'06_Target KPI'!$E$4:$P$4,0))*DAY(C64)/DAY(EOMONTH(C64,0)),INDEX('06_Target KPI'!$E$5:$P$100,MATCH(F64,'06_Target KPI'!$B$5:$B$100,0),MATCH(A64,'06_Target KPI'!$E$4:$P$4,0)))),0)</f>
        <v>0</v>
      </c>
      <c r="I64" s="20"/>
      <c r="J64" s="22">
        <f>IFERROR(MIN(IF(VLOOKUP(F64,'05_Master KPI'!$B$5:$G$100,5,FALSE)="Lower",H64/I64,I64/H64),1),0)</f>
        <v>0</v>
      </c>
      <c r="K64" s="9">
        <f>IFERROR(VLOOKUP(F64,'05_Master KPI'!$B$5:$G$100,4,FALSE),0)</f>
        <v>0</v>
      </c>
      <c r="L64" s="23">
        <f t="shared" si="0"/>
        <v>0</v>
      </c>
      <c r="M64" s="9" t="str">
        <f>IF(D64="","",IF(J64&gt;='13_Setting'!$H$7,"Tercapai",IF(J64&gt;='13_Setting'!$H$6,"On Track","Tertinggal")))</f>
        <v/>
      </c>
      <c r="N64" s="20"/>
      <c r="O64" s="1"/>
      <c r="P64" s="1"/>
      <c r="Q64" s="1"/>
      <c r="R64" s="1"/>
      <c r="S64" s="1"/>
      <c r="T64" s="1"/>
      <c r="U64" s="1"/>
      <c r="V64" s="1"/>
      <c r="W64" s="1"/>
      <c r="X64" s="1"/>
      <c r="Y64" s="1"/>
      <c r="Z64" s="1"/>
    </row>
    <row r="65" spans="1:26">
      <c r="A65" s="20"/>
      <c r="B65" s="20"/>
      <c r="C65" s="21"/>
      <c r="D65" s="20"/>
      <c r="E65" s="9" t="str">
        <f>IFERROR(VLOOKUP(D65,'04_Master Karyawan'!$A$5:$F$50,2,FALSE),"")</f>
        <v/>
      </c>
      <c r="F65" s="20"/>
      <c r="G65" s="9" t="str">
        <f>IFERROR(VLOOKUP(F65,'05_Master KPI'!$B$5:$G$100,2,FALSE)&amp;" ("&amp;VLOOKUP(F65,'05_Master KPI'!$B$5:$G$100,3,FALSE)&amp;")","")</f>
        <v/>
      </c>
      <c r="H65" s="9">
        <f>IFERROR(IF(B65&lt;&gt;'06_Target KPI'!$B$3,0,IF(VLOOKUP(F65,'05_Master KPI'!$B$5:$G$100,6,FALSE)="Kumulatif",INDEX('06_Target KPI'!$E$5:$P$100,MATCH(F65,'06_Target KPI'!$B$5:$B$100,0),MATCH(A65,'06_Target KPI'!$E$4:$P$4,0))*DAY(C65)/DAY(EOMONTH(C65,0)),INDEX('06_Target KPI'!$E$5:$P$100,MATCH(F65,'06_Target KPI'!$B$5:$B$100,0),MATCH(A65,'06_Target KPI'!$E$4:$P$4,0)))),0)</f>
        <v>0</v>
      </c>
      <c r="I65" s="20"/>
      <c r="J65" s="22">
        <f>IFERROR(MIN(IF(VLOOKUP(F65,'05_Master KPI'!$B$5:$G$100,5,FALSE)="Lower",H65/I65,I65/H65),1),0)</f>
        <v>0</v>
      </c>
      <c r="K65" s="9">
        <f>IFERROR(VLOOKUP(F65,'05_Master KPI'!$B$5:$G$100,4,FALSE),0)</f>
        <v>0</v>
      </c>
      <c r="L65" s="23">
        <f t="shared" si="0"/>
        <v>0</v>
      </c>
      <c r="M65" s="9" t="str">
        <f>IF(D65="","",IF(J65&gt;='13_Setting'!$H$7,"Tercapai",IF(J65&gt;='13_Setting'!$H$6,"On Track","Tertinggal")))</f>
        <v/>
      </c>
      <c r="N65" s="20"/>
      <c r="O65" s="1"/>
      <c r="P65" s="1"/>
      <c r="Q65" s="1"/>
      <c r="R65" s="1"/>
      <c r="S65" s="1"/>
      <c r="T65" s="1"/>
      <c r="U65" s="1"/>
      <c r="V65" s="1"/>
      <c r="W65" s="1"/>
      <c r="X65" s="1"/>
      <c r="Y65" s="1"/>
      <c r="Z65" s="1"/>
    </row>
    <row r="66" spans="1:26">
      <c r="A66" s="20"/>
      <c r="B66" s="20"/>
      <c r="C66" s="21"/>
      <c r="D66" s="20"/>
      <c r="E66" s="9" t="str">
        <f>IFERROR(VLOOKUP(D66,'04_Master Karyawan'!$A$5:$F$50,2,FALSE),"")</f>
        <v/>
      </c>
      <c r="F66" s="20"/>
      <c r="G66" s="9" t="str">
        <f>IFERROR(VLOOKUP(F66,'05_Master KPI'!$B$5:$G$100,2,FALSE)&amp;" ("&amp;VLOOKUP(F66,'05_Master KPI'!$B$5:$G$100,3,FALSE)&amp;")","")</f>
        <v/>
      </c>
      <c r="H66" s="9">
        <f>IFERROR(IF(B66&lt;&gt;'06_Target KPI'!$B$3,0,IF(VLOOKUP(F66,'05_Master KPI'!$B$5:$G$100,6,FALSE)="Kumulatif",INDEX('06_Target KPI'!$E$5:$P$100,MATCH(F66,'06_Target KPI'!$B$5:$B$100,0),MATCH(A66,'06_Target KPI'!$E$4:$P$4,0))*DAY(C66)/DAY(EOMONTH(C66,0)),INDEX('06_Target KPI'!$E$5:$P$100,MATCH(F66,'06_Target KPI'!$B$5:$B$100,0),MATCH(A66,'06_Target KPI'!$E$4:$P$4,0)))),0)</f>
        <v>0</v>
      </c>
      <c r="I66" s="20"/>
      <c r="J66" s="22">
        <f>IFERROR(MIN(IF(VLOOKUP(F66,'05_Master KPI'!$B$5:$G$100,5,FALSE)="Lower",H66/I66,I66/H66),1),0)</f>
        <v>0</v>
      </c>
      <c r="K66" s="9">
        <f>IFERROR(VLOOKUP(F66,'05_Master KPI'!$B$5:$G$100,4,FALSE),0)</f>
        <v>0</v>
      </c>
      <c r="L66" s="23">
        <f t="shared" si="0"/>
        <v>0</v>
      </c>
      <c r="M66" s="9" t="str">
        <f>IF(D66="","",IF(J66&gt;='13_Setting'!$H$7,"Tercapai",IF(J66&gt;='13_Setting'!$H$6,"On Track","Tertinggal")))</f>
        <v/>
      </c>
      <c r="N66" s="20"/>
      <c r="O66" s="1"/>
      <c r="P66" s="1"/>
      <c r="Q66" s="1"/>
      <c r="R66" s="1"/>
      <c r="S66" s="1"/>
      <c r="T66" s="1"/>
      <c r="U66" s="1"/>
      <c r="V66" s="1"/>
      <c r="W66" s="1"/>
      <c r="X66" s="1"/>
      <c r="Y66" s="1"/>
      <c r="Z66" s="1"/>
    </row>
    <row r="67" spans="1:26">
      <c r="A67" s="20"/>
      <c r="B67" s="20"/>
      <c r="C67" s="21"/>
      <c r="D67" s="20"/>
      <c r="E67" s="9" t="str">
        <f>IFERROR(VLOOKUP(D67,'04_Master Karyawan'!$A$5:$F$50,2,FALSE),"")</f>
        <v/>
      </c>
      <c r="F67" s="20"/>
      <c r="G67" s="9" t="str">
        <f>IFERROR(VLOOKUP(F67,'05_Master KPI'!$B$5:$G$100,2,FALSE)&amp;" ("&amp;VLOOKUP(F67,'05_Master KPI'!$B$5:$G$100,3,FALSE)&amp;")","")</f>
        <v/>
      </c>
      <c r="H67" s="9">
        <f>IFERROR(IF(B67&lt;&gt;'06_Target KPI'!$B$3,0,IF(VLOOKUP(F67,'05_Master KPI'!$B$5:$G$100,6,FALSE)="Kumulatif",INDEX('06_Target KPI'!$E$5:$P$100,MATCH(F67,'06_Target KPI'!$B$5:$B$100,0),MATCH(A67,'06_Target KPI'!$E$4:$P$4,0))*DAY(C67)/DAY(EOMONTH(C67,0)),INDEX('06_Target KPI'!$E$5:$P$100,MATCH(F67,'06_Target KPI'!$B$5:$B$100,0),MATCH(A67,'06_Target KPI'!$E$4:$P$4,0)))),0)</f>
        <v>0</v>
      </c>
      <c r="I67" s="20"/>
      <c r="J67" s="22">
        <f>IFERROR(MIN(IF(VLOOKUP(F67,'05_Master KPI'!$B$5:$G$100,5,FALSE)="Lower",H67/I67,I67/H67),1),0)</f>
        <v>0</v>
      </c>
      <c r="K67" s="9">
        <f>IFERROR(VLOOKUP(F67,'05_Master KPI'!$B$5:$G$100,4,FALSE),0)</f>
        <v>0</v>
      </c>
      <c r="L67" s="23">
        <f t="shared" si="0"/>
        <v>0</v>
      </c>
      <c r="M67" s="9" t="str">
        <f>IF(D67="","",IF(J67&gt;='13_Setting'!$H$7,"Tercapai",IF(J67&gt;='13_Setting'!$H$6,"On Track","Tertinggal")))</f>
        <v/>
      </c>
      <c r="N67" s="20"/>
      <c r="O67" s="1"/>
      <c r="P67" s="1"/>
      <c r="Q67" s="1"/>
      <c r="R67" s="1"/>
      <c r="S67" s="1"/>
      <c r="T67" s="1"/>
      <c r="U67" s="1"/>
      <c r="V67" s="1"/>
      <c r="W67" s="1"/>
      <c r="X67" s="1"/>
      <c r="Y67" s="1"/>
      <c r="Z67" s="1"/>
    </row>
    <row r="68" spans="1:26">
      <c r="A68" s="20"/>
      <c r="B68" s="20"/>
      <c r="C68" s="21"/>
      <c r="D68" s="20"/>
      <c r="E68" s="9" t="str">
        <f>IFERROR(VLOOKUP(D68,'04_Master Karyawan'!$A$5:$F$50,2,FALSE),"")</f>
        <v/>
      </c>
      <c r="F68" s="20"/>
      <c r="G68" s="9" t="str">
        <f>IFERROR(VLOOKUP(F68,'05_Master KPI'!$B$5:$G$100,2,FALSE)&amp;" ("&amp;VLOOKUP(F68,'05_Master KPI'!$B$5:$G$100,3,FALSE)&amp;")","")</f>
        <v/>
      </c>
      <c r="H68" s="9">
        <f>IFERROR(IF(B68&lt;&gt;'06_Target KPI'!$B$3,0,IF(VLOOKUP(F68,'05_Master KPI'!$B$5:$G$100,6,FALSE)="Kumulatif",INDEX('06_Target KPI'!$E$5:$P$100,MATCH(F68,'06_Target KPI'!$B$5:$B$100,0),MATCH(A68,'06_Target KPI'!$E$4:$P$4,0))*DAY(C68)/DAY(EOMONTH(C68,0)),INDEX('06_Target KPI'!$E$5:$P$100,MATCH(F68,'06_Target KPI'!$B$5:$B$100,0),MATCH(A68,'06_Target KPI'!$E$4:$P$4,0)))),0)</f>
        <v>0</v>
      </c>
      <c r="I68" s="20"/>
      <c r="J68" s="22">
        <f>IFERROR(MIN(IF(VLOOKUP(F68,'05_Master KPI'!$B$5:$G$100,5,FALSE)="Lower",H68/I68,I68/H68),1),0)</f>
        <v>0</v>
      </c>
      <c r="K68" s="9">
        <f>IFERROR(VLOOKUP(F68,'05_Master KPI'!$B$5:$G$100,4,FALSE),0)</f>
        <v>0</v>
      </c>
      <c r="L68" s="23">
        <f t="shared" si="0"/>
        <v>0</v>
      </c>
      <c r="M68" s="9" t="str">
        <f>IF(D68="","",IF(J68&gt;='13_Setting'!$H$7,"Tercapai",IF(J68&gt;='13_Setting'!$H$6,"On Track","Tertinggal")))</f>
        <v/>
      </c>
      <c r="N68" s="20"/>
      <c r="O68" s="1"/>
      <c r="P68" s="1"/>
      <c r="Q68" s="1"/>
      <c r="R68" s="1"/>
      <c r="S68" s="1"/>
      <c r="T68" s="1"/>
      <c r="U68" s="1"/>
      <c r="V68" s="1"/>
      <c r="W68" s="1"/>
      <c r="X68" s="1"/>
      <c r="Y68" s="1"/>
      <c r="Z68" s="1"/>
    </row>
    <row r="69" spans="1:26">
      <c r="A69" s="20"/>
      <c r="B69" s="20"/>
      <c r="C69" s="21"/>
      <c r="D69" s="20"/>
      <c r="E69" s="9" t="str">
        <f>IFERROR(VLOOKUP(D69,'04_Master Karyawan'!$A$5:$F$50,2,FALSE),"")</f>
        <v/>
      </c>
      <c r="F69" s="20"/>
      <c r="G69" s="9" t="str">
        <f>IFERROR(VLOOKUP(F69,'05_Master KPI'!$B$5:$G$100,2,FALSE)&amp;" ("&amp;VLOOKUP(F69,'05_Master KPI'!$B$5:$G$100,3,FALSE)&amp;")","")</f>
        <v/>
      </c>
      <c r="H69" s="9">
        <f>IFERROR(IF(B69&lt;&gt;'06_Target KPI'!$B$3,0,IF(VLOOKUP(F69,'05_Master KPI'!$B$5:$G$100,6,FALSE)="Kumulatif",INDEX('06_Target KPI'!$E$5:$P$100,MATCH(F69,'06_Target KPI'!$B$5:$B$100,0),MATCH(A69,'06_Target KPI'!$E$4:$P$4,0))*DAY(C69)/DAY(EOMONTH(C69,0)),INDEX('06_Target KPI'!$E$5:$P$100,MATCH(F69,'06_Target KPI'!$B$5:$B$100,0),MATCH(A69,'06_Target KPI'!$E$4:$P$4,0)))),0)</f>
        <v>0</v>
      </c>
      <c r="I69" s="20"/>
      <c r="J69" s="22">
        <f>IFERROR(MIN(IF(VLOOKUP(F69,'05_Master KPI'!$B$5:$G$100,5,FALSE)="Lower",H69/I69,I69/H69),1),0)</f>
        <v>0</v>
      </c>
      <c r="K69" s="9">
        <f>IFERROR(VLOOKUP(F69,'05_Master KPI'!$B$5:$G$100,4,FALSE),0)</f>
        <v>0</v>
      </c>
      <c r="L69" s="23">
        <f t="shared" ref="L69:L132" si="1">J69*K69</f>
        <v>0</v>
      </c>
      <c r="M69" s="9" t="str">
        <f>IF(D69="","",IF(J69&gt;='13_Setting'!$H$7,"Tercapai",IF(J69&gt;='13_Setting'!$H$6,"On Track","Tertinggal")))</f>
        <v/>
      </c>
      <c r="N69" s="20"/>
      <c r="O69" s="1"/>
      <c r="P69" s="1"/>
      <c r="Q69" s="1"/>
      <c r="R69" s="1"/>
      <c r="S69" s="1"/>
      <c r="T69" s="1"/>
      <c r="U69" s="1"/>
      <c r="V69" s="1"/>
      <c r="W69" s="1"/>
      <c r="X69" s="1"/>
      <c r="Y69" s="1"/>
      <c r="Z69" s="1"/>
    </row>
    <row r="70" spans="1:26">
      <c r="A70" s="20"/>
      <c r="B70" s="20"/>
      <c r="C70" s="21"/>
      <c r="D70" s="20"/>
      <c r="E70" s="9" t="str">
        <f>IFERROR(VLOOKUP(D70,'04_Master Karyawan'!$A$5:$F$50,2,FALSE),"")</f>
        <v/>
      </c>
      <c r="F70" s="20"/>
      <c r="G70" s="9" t="str">
        <f>IFERROR(VLOOKUP(F70,'05_Master KPI'!$B$5:$G$100,2,FALSE)&amp;" ("&amp;VLOOKUP(F70,'05_Master KPI'!$B$5:$G$100,3,FALSE)&amp;")","")</f>
        <v/>
      </c>
      <c r="H70" s="9">
        <f>IFERROR(IF(B70&lt;&gt;'06_Target KPI'!$B$3,0,IF(VLOOKUP(F70,'05_Master KPI'!$B$5:$G$100,6,FALSE)="Kumulatif",INDEX('06_Target KPI'!$E$5:$P$100,MATCH(F70,'06_Target KPI'!$B$5:$B$100,0),MATCH(A70,'06_Target KPI'!$E$4:$P$4,0))*DAY(C70)/DAY(EOMONTH(C70,0)),INDEX('06_Target KPI'!$E$5:$P$100,MATCH(F70,'06_Target KPI'!$B$5:$B$100,0),MATCH(A70,'06_Target KPI'!$E$4:$P$4,0)))),0)</f>
        <v>0</v>
      </c>
      <c r="I70" s="20"/>
      <c r="J70" s="22">
        <f>IFERROR(MIN(IF(VLOOKUP(F70,'05_Master KPI'!$B$5:$G$100,5,FALSE)="Lower",H70/I70,I70/H70),1),0)</f>
        <v>0</v>
      </c>
      <c r="K70" s="9">
        <f>IFERROR(VLOOKUP(F70,'05_Master KPI'!$B$5:$G$100,4,FALSE),0)</f>
        <v>0</v>
      </c>
      <c r="L70" s="23">
        <f t="shared" si="1"/>
        <v>0</v>
      </c>
      <c r="M70" s="9" t="str">
        <f>IF(D70="","",IF(J70&gt;='13_Setting'!$H$7,"Tercapai",IF(J70&gt;='13_Setting'!$H$6,"On Track","Tertinggal")))</f>
        <v/>
      </c>
      <c r="N70" s="20"/>
      <c r="O70" s="1"/>
      <c r="P70" s="1"/>
      <c r="Q70" s="1"/>
      <c r="R70" s="1"/>
      <c r="S70" s="1"/>
      <c r="T70" s="1"/>
      <c r="U70" s="1"/>
      <c r="V70" s="1"/>
      <c r="W70" s="1"/>
      <c r="X70" s="1"/>
      <c r="Y70" s="1"/>
      <c r="Z70" s="1"/>
    </row>
    <row r="71" spans="1:26">
      <c r="A71" s="20"/>
      <c r="B71" s="20"/>
      <c r="C71" s="21"/>
      <c r="D71" s="20"/>
      <c r="E71" s="9" t="str">
        <f>IFERROR(VLOOKUP(D71,'04_Master Karyawan'!$A$5:$F$50,2,FALSE),"")</f>
        <v/>
      </c>
      <c r="F71" s="20"/>
      <c r="G71" s="9" t="str">
        <f>IFERROR(VLOOKUP(F71,'05_Master KPI'!$B$5:$G$100,2,FALSE)&amp;" ("&amp;VLOOKUP(F71,'05_Master KPI'!$B$5:$G$100,3,FALSE)&amp;")","")</f>
        <v/>
      </c>
      <c r="H71" s="9">
        <f>IFERROR(IF(B71&lt;&gt;'06_Target KPI'!$B$3,0,IF(VLOOKUP(F71,'05_Master KPI'!$B$5:$G$100,6,FALSE)="Kumulatif",INDEX('06_Target KPI'!$E$5:$P$100,MATCH(F71,'06_Target KPI'!$B$5:$B$100,0),MATCH(A71,'06_Target KPI'!$E$4:$P$4,0))*DAY(C71)/DAY(EOMONTH(C71,0)),INDEX('06_Target KPI'!$E$5:$P$100,MATCH(F71,'06_Target KPI'!$B$5:$B$100,0),MATCH(A71,'06_Target KPI'!$E$4:$P$4,0)))),0)</f>
        <v>0</v>
      </c>
      <c r="I71" s="20"/>
      <c r="J71" s="22">
        <f>IFERROR(MIN(IF(VLOOKUP(F71,'05_Master KPI'!$B$5:$G$100,5,FALSE)="Lower",H71/I71,I71/H71),1),0)</f>
        <v>0</v>
      </c>
      <c r="K71" s="9">
        <f>IFERROR(VLOOKUP(F71,'05_Master KPI'!$B$5:$G$100,4,FALSE),0)</f>
        <v>0</v>
      </c>
      <c r="L71" s="23">
        <f t="shared" si="1"/>
        <v>0</v>
      </c>
      <c r="M71" s="9" t="str">
        <f>IF(D71="","",IF(J71&gt;='13_Setting'!$H$7,"Tercapai",IF(J71&gt;='13_Setting'!$H$6,"On Track","Tertinggal")))</f>
        <v/>
      </c>
      <c r="N71" s="20"/>
      <c r="O71" s="1"/>
      <c r="P71" s="1"/>
      <c r="Q71" s="1"/>
      <c r="R71" s="1"/>
      <c r="S71" s="1"/>
      <c r="T71" s="1"/>
      <c r="U71" s="1"/>
      <c r="V71" s="1"/>
      <c r="W71" s="1"/>
      <c r="X71" s="1"/>
      <c r="Y71" s="1"/>
      <c r="Z71" s="1"/>
    </row>
    <row r="72" spans="1:26">
      <c r="A72" s="20"/>
      <c r="B72" s="20"/>
      <c r="C72" s="21"/>
      <c r="D72" s="20"/>
      <c r="E72" s="9" t="str">
        <f>IFERROR(VLOOKUP(D72,'04_Master Karyawan'!$A$5:$F$50,2,FALSE),"")</f>
        <v/>
      </c>
      <c r="F72" s="20"/>
      <c r="G72" s="9" t="str">
        <f>IFERROR(VLOOKUP(F72,'05_Master KPI'!$B$5:$G$100,2,FALSE)&amp;" ("&amp;VLOOKUP(F72,'05_Master KPI'!$B$5:$G$100,3,FALSE)&amp;")","")</f>
        <v/>
      </c>
      <c r="H72" s="9">
        <f>IFERROR(IF(B72&lt;&gt;'06_Target KPI'!$B$3,0,IF(VLOOKUP(F72,'05_Master KPI'!$B$5:$G$100,6,FALSE)="Kumulatif",INDEX('06_Target KPI'!$E$5:$P$100,MATCH(F72,'06_Target KPI'!$B$5:$B$100,0),MATCH(A72,'06_Target KPI'!$E$4:$P$4,0))*DAY(C72)/DAY(EOMONTH(C72,0)),INDEX('06_Target KPI'!$E$5:$P$100,MATCH(F72,'06_Target KPI'!$B$5:$B$100,0),MATCH(A72,'06_Target KPI'!$E$4:$P$4,0)))),0)</f>
        <v>0</v>
      </c>
      <c r="I72" s="20"/>
      <c r="J72" s="22">
        <f>IFERROR(MIN(IF(VLOOKUP(F72,'05_Master KPI'!$B$5:$G$100,5,FALSE)="Lower",H72/I72,I72/H72),1),0)</f>
        <v>0</v>
      </c>
      <c r="K72" s="9">
        <f>IFERROR(VLOOKUP(F72,'05_Master KPI'!$B$5:$G$100,4,FALSE),0)</f>
        <v>0</v>
      </c>
      <c r="L72" s="23">
        <f t="shared" si="1"/>
        <v>0</v>
      </c>
      <c r="M72" s="9" t="str">
        <f>IF(D72="","",IF(J72&gt;='13_Setting'!$H$7,"Tercapai",IF(J72&gt;='13_Setting'!$H$6,"On Track","Tertinggal")))</f>
        <v/>
      </c>
      <c r="N72" s="20"/>
      <c r="O72" s="1"/>
      <c r="P72" s="1"/>
      <c r="Q72" s="1"/>
      <c r="R72" s="1"/>
      <c r="S72" s="1"/>
      <c r="T72" s="1"/>
      <c r="U72" s="1"/>
      <c r="V72" s="1"/>
      <c r="W72" s="1"/>
      <c r="X72" s="1"/>
      <c r="Y72" s="1"/>
      <c r="Z72" s="1"/>
    </row>
    <row r="73" spans="1:26">
      <c r="A73" s="20"/>
      <c r="B73" s="20"/>
      <c r="C73" s="21"/>
      <c r="D73" s="20"/>
      <c r="E73" s="9" t="str">
        <f>IFERROR(VLOOKUP(D73,'04_Master Karyawan'!$A$5:$F$50,2,FALSE),"")</f>
        <v/>
      </c>
      <c r="F73" s="20"/>
      <c r="G73" s="9" t="str">
        <f>IFERROR(VLOOKUP(F73,'05_Master KPI'!$B$5:$G$100,2,FALSE)&amp;" ("&amp;VLOOKUP(F73,'05_Master KPI'!$B$5:$G$100,3,FALSE)&amp;")","")</f>
        <v/>
      </c>
      <c r="H73" s="9">
        <f>IFERROR(IF(B73&lt;&gt;'06_Target KPI'!$B$3,0,IF(VLOOKUP(F73,'05_Master KPI'!$B$5:$G$100,6,FALSE)="Kumulatif",INDEX('06_Target KPI'!$E$5:$P$100,MATCH(F73,'06_Target KPI'!$B$5:$B$100,0),MATCH(A73,'06_Target KPI'!$E$4:$P$4,0))*DAY(C73)/DAY(EOMONTH(C73,0)),INDEX('06_Target KPI'!$E$5:$P$100,MATCH(F73,'06_Target KPI'!$B$5:$B$100,0),MATCH(A73,'06_Target KPI'!$E$4:$P$4,0)))),0)</f>
        <v>0</v>
      </c>
      <c r="I73" s="20"/>
      <c r="J73" s="22">
        <f>IFERROR(MIN(IF(VLOOKUP(F73,'05_Master KPI'!$B$5:$G$100,5,FALSE)="Lower",H73/I73,I73/H73),1),0)</f>
        <v>0</v>
      </c>
      <c r="K73" s="9">
        <f>IFERROR(VLOOKUP(F73,'05_Master KPI'!$B$5:$G$100,4,FALSE),0)</f>
        <v>0</v>
      </c>
      <c r="L73" s="23">
        <f t="shared" si="1"/>
        <v>0</v>
      </c>
      <c r="M73" s="9" t="str">
        <f>IF(D73="","",IF(J73&gt;='13_Setting'!$H$7,"Tercapai",IF(J73&gt;='13_Setting'!$H$6,"On Track","Tertinggal")))</f>
        <v/>
      </c>
      <c r="N73" s="20"/>
      <c r="O73" s="1"/>
      <c r="P73" s="1"/>
      <c r="Q73" s="1"/>
      <c r="R73" s="1"/>
      <c r="S73" s="1"/>
      <c r="T73" s="1"/>
      <c r="U73" s="1"/>
      <c r="V73" s="1"/>
      <c r="W73" s="1"/>
      <c r="X73" s="1"/>
      <c r="Y73" s="1"/>
      <c r="Z73" s="1"/>
    </row>
    <row r="74" spans="1:26">
      <c r="A74" s="20"/>
      <c r="B74" s="20"/>
      <c r="C74" s="21"/>
      <c r="D74" s="20"/>
      <c r="E74" s="9" t="str">
        <f>IFERROR(VLOOKUP(D74,'04_Master Karyawan'!$A$5:$F$50,2,FALSE),"")</f>
        <v/>
      </c>
      <c r="F74" s="20"/>
      <c r="G74" s="9" t="str">
        <f>IFERROR(VLOOKUP(F74,'05_Master KPI'!$B$5:$G$100,2,FALSE)&amp;" ("&amp;VLOOKUP(F74,'05_Master KPI'!$B$5:$G$100,3,FALSE)&amp;")","")</f>
        <v/>
      </c>
      <c r="H74" s="9">
        <f>IFERROR(IF(B74&lt;&gt;'06_Target KPI'!$B$3,0,IF(VLOOKUP(F74,'05_Master KPI'!$B$5:$G$100,6,FALSE)="Kumulatif",INDEX('06_Target KPI'!$E$5:$P$100,MATCH(F74,'06_Target KPI'!$B$5:$B$100,0),MATCH(A74,'06_Target KPI'!$E$4:$P$4,0))*DAY(C74)/DAY(EOMONTH(C74,0)),INDEX('06_Target KPI'!$E$5:$P$100,MATCH(F74,'06_Target KPI'!$B$5:$B$100,0),MATCH(A74,'06_Target KPI'!$E$4:$P$4,0)))),0)</f>
        <v>0</v>
      </c>
      <c r="I74" s="20"/>
      <c r="J74" s="22">
        <f>IFERROR(MIN(IF(VLOOKUP(F74,'05_Master KPI'!$B$5:$G$100,5,FALSE)="Lower",H74/I74,I74/H74),1),0)</f>
        <v>0</v>
      </c>
      <c r="K74" s="9">
        <f>IFERROR(VLOOKUP(F74,'05_Master KPI'!$B$5:$G$100,4,FALSE),0)</f>
        <v>0</v>
      </c>
      <c r="L74" s="23">
        <f t="shared" si="1"/>
        <v>0</v>
      </c>
      <c r="M74" s="9" t="str">
        <f>IF(D74="","",IF(J74&gt;='13_Setting'!$H$7,"Tercapai",IF(J74&gt;='13_Setting'!$H$6,"On Track","Tertinggal")))</f>
        <v/>
      </c>
      <c r="N74" s="20"/>
      <c r="O74" s="1"/>
      <c r="P74" s="1"/>
      <c r="Q74" s="1"/>
      <c r="R74" s="1"/>
      <c r="S74" s="1"/>
      <c r="T74" s="1"/>
      <c r="U74" s="1"/>
      <c r="V74" s="1"/>
      <c r="W74" s="1"/>
      <c r="X74" s="1"/>
      <c r="Y74" s="1"/>
      <c r="Z74" s="1"/>
    </row>
    <row r="75" spans="1:26">
      <c r="A75" s="20"/>
      <c r="B75" s="20"/>
      <c r="C75" s="21"/>
      <c r="D75" s="20"/>
      <c r="E75" s="9" t="str">
        <f>IFERROR(VLOOKUP(D75,'04_Master Karyawan'!$A$5:$F$50,2,FALSE),"")</f>
        <v/>
      </c>
      <c r="F75" s="20"/>
      <c r="G75" s="9" t="str">
        <f>IFERROR(VLOOKUP(F75,'05_Master KPI'!$B$5:$G$100,2,FALSE)&amp;" ("&amp;VLOOKUP(F75,'05_Master KPI'!$B$5:$G$100,3,FALSE)&amp;")","")</f>
        <v/>
      </c>
      <c r="H75" s="9">
        <f>IFERROR(IF(B75&lt;&gt;'06_Target KPI'!$B$3,0,IF(VLOOKUP(F75,'05_Master KPI'!$B$5:$G$100,6,FALSE)="Kumulatif",INDEX('06_Target KPI'!$E$5:$P$100,MATCH(F75,'06_Target KPI'!$B$5:$B$100,0),MATCH(A75,'06_Target KPI'!$E$4:$P$4,0))*DAY(C75)/DAY(EOMONTH(C75,0)),INDEX('06_Target KPI'!$E$5:$P$100,MATCH(F75,'06_Target KPI'!$B$5:$B$100,0),MATCH(A75,'06_Target KPI'!$E$4:$P$4,0)))),0)</f>
        <v>0</v>
      </c>
      <c r="I75" s="20"/>
      <c r="J75" s="22">
        <f>IFERROR(MIN(IF(VLOOKUP(F75,'05_Master KPI'!$B$5:$G$100,5,FALSE)="Lower",H75/I75,I75/H75),1),0)</f>
        <v>0</v>
      </c>
      <c r="K75" s="9">
        <f>IFERROR(VLOOKUP(F75,'05_Master KPI'!$B$5:$G$100,4,FALSE),0)</f>
        <v>0</v>
      </c>
      <c r="L75" s="23">
        <f t="shared" si="1"/>
        <v>0</v>
      </c>
      <c r="M75" s="9" t="str">
        <f>IF(D75="","",IF(J75&gt;='13_Setting'!$H$7,"Tercapai",IF(J75&gt;='13_Setting'!$H$6,"On Track","Tertinggal")))</f>
        <v/>
      </c>
      <c r="N75" s="20"/>
      <c r="O75" s="1"/>
      <c r="P75" s="1"/>
      <c r="Q75" s="1"/>
      <c r="R75" s="1"/>
      <c r="S75" s="1"/>
      <c r="T75" s="1"/>
      <c r="U75" s="1"/>
      <c r="V75" s="1"/>
      <c r="W75" s="1"/>
      <c r="X75" s="1"/>
      <c r="Y75" s="1"/>
      <c r="Z75" s="1"/>
    </row>
    <row r="76" spans="1:26">
      <c r="A76" s="20"/>
      <c r="B76" s="20"/>
      <c r="C76" s="21"/>
      <c r="D76" s="20"/>
      <c r="E76" s="9" t="str">
        <f>IFERROR(VLOOKUP(D76,'04_Master Karyawan'!$A$5:$F$50,2,FALSE),"")</f>
        <v/>
      </c>
      <c r="F76" s="20"/>
      <c r="G76" s="9" t="str">
        <f>IFERROR(VLOOKUP(F76,'05_Master KPI'!$B$5:$G$100,2,FALSE)&amp;" ("&amp;VLOOKUP(F76,'05_Master KPI'!$B$5:$G$100,3,FALSE)&amp;")","")</f>
        <v/>
      </c>
      <c r="H76" s="9">
        <f>IFERROR(IF(B76&lt;&gt;'06_Target KPI'!$B$3,0,IF(VLOOKUP(F76,'05_Master KPI'!$B$5:$G$100,6,FALSE)="Kumulatif",INDEX('06_Target KPI'!$E$5:$P$100,MATCH(F76,'06_Target KPI'!$B$5:$B$100,0),MATCH(A76,'06_Target KPI'!$E$4:$P$4,0))*DAY(C76)/DAY(EOMONTH(C76,0)),INDEX('06_Target KPI'!$E$5:$P$100,MATCH(F76,'06_Target KPI'!$B$5:$B$100,0),MATCH(A76,'06_Target KPI'!$E$4:$P$4,0)))),0)</f>
        <v>0</v>
      </c>
      <c r="I76" s="20"/>
      <c r="J76" s="22">
        <f>IFERROR(MIN(IF(VLOOKUP(F76,'05_Master KPI'!$B$5:$G$100,5,FALSE)="Lower",H76/I76,I76/H76),1),0)</f>
        <v>0</v>
      </c>
      <c r="K76" s="9">
        <f>IFERROR(VLOOKUP(F76,'05_Master KPI'!$B$5:$G$100,4,FALSE),0)</f>
        <v>0</v>
      </c>
      <c r="L76" s="23">
        <f t="shared" si="1"/>
        <v>0</v>
      </c>
      <c r="M76" s="9" t="str">
        <f>IF(D76="","",IF(J76&gt;='13_Setting'!$H$7,"Tercapai",IF(J76&gt;='13_Setting'!$H$6,"On Track","Tertinggal")))</f>
        <v/>
      </c>
      <c r="N76" s="20"/>
      <c r="O76" s="1"/>
      <c r="P76" s="1"/>
      <c r="Q76" s="1"/>
      <c r="R76" s="1"/>
      <c r="S76" s="1"/>
      <c r="T76" s="1"/>
      <c r="U76" s="1"/>
      <c r="V76" s="1"/>
      <c r="W76" s="1"/>
      <c r="X76" s="1"/>
      <c r="Y76" s="1"/>
      <c r="Z76" s="1"/>
    </row>
    <row r="77" spans="1:26">
      <c r="A77" s="20"/>
      <c r="B77" s="20"/>
      <c r="C77" s="21"/>
      <c r="D77" s="20"/>
      <c r="E77" s="9" t="str">
        <f>IFERROR(VLOOKUP(D77,'04_Master Karyawan'!$A$5:$F$50,2,FALSE),"")</f>
        <v/>
      </c>
      <c r="F77" s="20"/>
      <c r="G77" s="9" t="str">
        <f>IFERROR(VLOOKUP(F77,'05_Master KPI'!$B$5:$G$100,2,FALSE)&amp;" ("&amp;VLOOKUP(F77,'05_Master KPI'!$B$5:$G$100,3,FALSE)&amp;")","")</f>
        <v/>
      </c>
      <c r="H77" s="9">
        <f>IFERROR(IF(B77&lt;&gt;'06_Target KPI'!$B$3,0,IF(VLOOKUP(F77,'05_Master KPI'!$B$5:$G$100,6,FALSE)="Kumulatif",INDEX('06_Target KPI'!$E$5:$P$100,MATCH(F77,'06_Target KPI'!$B$5:$B$100,0),MATCH(A77,'06_Target KPI'!$E$4:$P$4,0))*DAY(C77)/DAY(EOMONTH(C77,0)),INDEX('06_Target KPI'!$E$5:$P$100,MATCH(F77,'06_Target KPI'!$B$5:$B$100,0),MATCH(A77,'06_Target KPI'!$E$4:$P$4,0)))),0)</f>
        <v>0</v>
      </c>
      <c r="I77" s="20"/>
      <c r="J77" s="22">
        <f>IFERROR(MIN(IF(VLOOKUP(F77,'05_Master KPI'!$B$5:$G$100,5,FALSE)="Lower",H77/I77,I77/H77),1),0)</f>
        <v>0</v>
      </c>
      <c r="K77" s="9">
        <f>IFERROR(VLOOKUP(F77,'05_Master KPI'!$B$5:$G$100,4,FALSE),0)</f>
        <v>0</v>
      </c>
      <c r="L77" s="23">
        <f t="shared" si="1"/>
        <v>0</v>
      </c>
      <c r="M77" s="9" t="str">
        <f>IF(D77="","",IF(J77&gt;='13_Setting'!$H$7,"Tercapai",IF(J77&gt;='13_Setting'!$H$6,"On Track","Tertinggal")))</f>
        <v/>
      </c>
      <c r="N77" s="20"/>
      <c r="O77" s="1"/>
      <c r="P77" s="1"/>
      <c r="Q77" s="1"/>
      <c r="R77" s="1"/>
      <c r="S77" s="1"/>
      <c r="T77" s="1"/>
      <c r="U77" s="1"/>
      <c r="V77" s="1"/>
      <c r="W77" s="1"/>
      <c r="X77" s="1"/>
      <c r="Y77" s="1"/>
      <c r="Z77" s="1"/>
    </row>
    <row r="78" spans="1:26">
      <c r="A78" s="20"/>
      <c r="B78" s="20"/>
      <c r="C78" s="21"/>
      <c r="D78" s="20"/>
      <c r="E78" s="9" t="str">
        <f>IFERROR(VLOOKUP(D78,'04_Master Karyawan'!$A$5:$F$50,2,FALSE),"")</f>
        <v/>
      </c>
      <c r="F78" s="20"/>
      <c r="G78" s="9" t="str">
        <f>IFERROR(VLOOKUP(F78,'05_Master KPI'!$B$5:$G$100,2,FALSE)&amp;" ("&amp;VLOOKUP(F78,'05_Master KPI'!$B$5:$G$100,3,FALSE)&amp;")","")</f>
        <v/>
      </c>
      <c r="H78" s="9">
        <f>IFERROR(IF(B78&lt;&gt;'06_Target KPI'!$B$3,0,IF(VLOOKUP(F78,'05_Master KPI'!$B$5:$G$100,6,FALSE)="Kumulatif",INDEX('06_Target KPI'!$E$5:$P$100,MATCH(F78,'06_Target KPI'!$B$5:$B$100,0),MATCH(A78,'06_Target KPI'!$E$4:$P$4,0))*DAY(C78)/DAY(EOMONTH(C78,0)),INDEX('06_Target KPI'!$E$5:$P$100,MATCH(F78,'06_Target KPI'!$B$5:$B$100,0),MATCH(A78,'06_Target KPI'!$E$4:$P$4,0)))),0)</f>
        <v>0</v>
      </c>
      <c r="I78" s="20"/>
      <c r="J78" s="22">
        <f>IFERROR(MIN(IF(VLOOKUP(F78,'05_Master KPI'!$B$5:$G$100,5,FALSE)="Lower",H78/I78,I78/H78),1),0)</f>
        <v>0</v>
      </c>
      <c r="K78" s="9">
        <f>IFERROR(VLOOKUP(F78,'05_Master KPI'!$B$5:$G$100,4,FALSE),0)</f>
        <v>0</v>
      </c>
      <c r="L78" s="23">
        <f t="shared" si="1"/>
        <v>0</v>
      </c>
      <c r="M78" s="9" t="str">
        <f>IF(D78="","",IF(J78&gt;='13_Setting'!$H$7,"Tercapai",IF(J78&gt;='13_Setting'!$H$6,"On Track","Tertinggal")))</f>
        <v/>
      </c>
      <c r="N78" s="20"/>
      <c r="O78" s="1"/>
      <c r="P78" s="1"/>
      <c r="Q78" s="1"/>
      <c r="R78" s="1"/>
      <c r="S78" s="1"/>
      <c r="T78" s="1"/>
      <c r="U78" s="1"/>
      <c r="V78" s="1"/>
      <c r="W78" s="1"/>
      <c r="X78" s="1"/>
      <c r="Y78" s="1"/>
      <c r="Z78" s="1"/>
    </row>
    <row r="79" spans="1:26">
      <c r="A79" s="20"/>
      <c r="B79" s="20"/>
      <c r="C79" s="21"/>
      <c r="D79" s="20"/>
      <c r="E79" s="9" t="str">
        <f>IFERROR(VLOOKUP(D79,'04_Master Karyawan'!$A$5:$F$50,2,FALSE),"")</f>
        <v/>
      </c>
      <c r="F79" s="20"/>
      <c r="G79" s="9" t="str">
        <f>IFERROR(VLOOKUP(F79,'05_Master KPI'!$B$5:$G$100,2,FALSE)&amp;" ("&amp;VLOOKUP(F79,'05_Master KPI'!$B$5:$G$100,3,FALSE)&amp;")","")</f>
        <v/>
      </c>
      <c r="H79" s="9">
        <f>IFERROR(IF(B79&lt;&gt;'06_Target KPI'!$B$3,0,IF(VLOOKUP(F79,'05_Master KPI'!$B$5:$G$100,6,FALSE)="Kumulatif",INDEX('06_Target KPI'!$E$5:$P$100,MATCH(F79,'06_Target KPI'!$B$5:$B$100,0),MATCH(A79,'06_Target KPI'!$E$4:$P$4,0))*DAY(C79)/DAY(EOMONTH(C79,0)),INDEX('06_Target KPI'!$E$5:$P$100,MATCH(F79,'06_Target KPI'!$B$5:$B$100,0),MATCH(A79,'06_Target KPI'!$E$4:$P$4,0)))),0)</f>
        <v>0</v>
      </c>
      <c r="I79" s="20"/>
      <c r="J79" s="22">
        <f>IFERROR(MIN(IF(VLOOKUP(F79,'05_Master KPI'!$B$5:$G$100,5,FALSE)="Lower",H79/I79,I79/H79),1),0)</f>
        <v>0</v>
      </c>
      <c r="K79" s="9">
        <f>IFERROR(VLOOKUP(F79,'05_Master KPI'!$B$5:$G$100,4,FALSE),0)</f>
        <v>0</v>
      </c>
      <c r="L79" s="23">
        <f t="shared" si="1"/>
        <v>0</v>
      </c>
      <c r="M79" s="9" t="str">
        <f>IF(D79="","",IF(J79&gt;='13_Setting'!$H$7,"Tercapai",IF(J79&gt;='13_Setting'!$H$6,"On Track","Tertinggal")))</f>
        <v/>
      </c>
      <c r="N79" s="20"/>
      <c r="O79" s="1"/>
      <c r="P79" s="1"/>
      <c r="Q79" s="1"/>
      <c r="R79" s="1"/>
      <c r="S79" s="1"/>
      <c r="T79" s="1"/>
      <c r="U79" s="1"/>
      <c r="V79" s="1"/>
      <c r="W79" s="1"/>
      <c r="X79" s="1"/>
      <c r="Y79" s="1"/>
      <c r="Z79" s="1"/>
    </row>
    <row r="80" spans="1:26">
      <c r="A80" s="20"/>
      <c r="B80" s="20"/>
      <c r="C80" s="21"/>
      <c r="D80" s="20"/>
      <c r="E80" s="9" t="str">
        <f>IFERROR(VLOOKUP(D80,'04_Master Karyawan'!$A$5:$F$50,2,FALSE),"")</f>
        <v/>
      </c>
      <c r="F80" s="20"/>
      <c r="G80" s="9" t="str">
        <f>IFERROR(VLOOKUP(F80,'05_Master KPI'!$B$5:$G$100,2,FALSE)&amp;" ("&amp;VLOOKUP(F80,'05_Master KPI'!$B$5:$G$100,3,FALSE)&amp;")","")</f>
        <v/>
      </c>
      <c r="H80" s="9">
        <f>IFERROR(IF(B80&lt;&gt;'06_Target KPI'!$B$3,0,IF(VLOOKUP(F80,'05_Master KPI'!$B$5:$G$100,6,FALSE)="Kumulatif",INDEX('06_Target KPI'!$E$5:$P$100,MATCH(F80,'06_Target KPI'!$B$5:$B$100,0),MATCH(A80,'06_Target KPI'!$E$4:$P$4,0))*DAY(C80)/DAY(EOMONTH(C80,0)),INDEX('06_Target KPI'!$E$5:$P$100,MATCH(F80,'06_Target KPI'!$B$5:$B$100,0),MATCH(A80,'06_Target KPI'!$E$4:$P$4,0)))),0)</f>
        <v>0</v>
      </c>
      <c r="I80" s="20"/>
      <c r="J80" s="22">
        <f>IFERROR(MIN(IF(VLOOKUP(F80,'05_Master KPI'!$B$5:$G$100,5,FALSE)="Lower",H80/I80,I80/H80),1),0)</f>
        <v>0</v>
      </c>
      <c r="K80" s="9">
        <f>IFERROR(VLOOKUP(F80,'05_Master KPI'!$B$5:$G$100,4,FALSE),0)</f>
        <v>0</v>
      </c>
      <c r="L80" s="23">
        <f t="shared" si="1"/>
        <v>0</v>
      </c>
      <c r="M80" s="9" t="str">
        <f>IF(D80="","",IF(J80&gt;='13_Setting'!$H$7,"Tercapai",IF(J80&gt;='13_Setting'!$H$6,"On Track","Tertinggal")))</f>
        <v/>
      </c>
      <c r="N80" s="20"/>
      <c r="O80" s="1"/>
      <c r="P80" s="1"/>
      <c r="Q80" s="1"/>
      <c r="R80" s="1"/>
      <c r="S80" s="1"/>
      <c r="T80" s="1"/>
      <c r="U80" s="1"/>
      <c r="V80" s="1"/>
      <c r="W80" s="1"/>
      <c r="X80" s="1"/>
      <c r="Y80" s="1"/>
      <c r="Z80" s="1"/>
    </row>
    <row r="81" spans="1:14">
      <c r="A81" s="24"/>
      <c r="B81" s="24"/>
      <c r="C81" s="25"/>
      <c r="D81" s="24"/>
      <c r="E81" s="26" t="str">
        <f>IFERROR(VLOOKUP(D81,'04_Master Karyawan'!$A$5:$F$50,2,FALSE),"")</f>
        <v/>
      </c>
      <c r="F81" s="24"/>
      <c r="G81" s="26" t="str">
        <f>IFERROR(VLOOKUP(F81,'05_Master KPI'!$B$5:$G$100,2,FALSE)&amp;" ("&amp;VLOOKUP(F81,'05_Master KPI'!$B$5:$G$100,3,FALSE)&amp;")","")</f>
        <v/>
      </c>
      <c r="H81" s="26">
        <f>IFERROR(IF(B81&lt;&gt;'06_Target KPI'!$B$3,0,IF(VLOOKUP(F81,'05_Master KPI'!$B$5:$G$100,6,FALSE)="Kumulatif",INDEX('06_Target KPI'!$E$5:$P$100,MATCH(F81,'06_Target KPI'!$B$5:$B$100,0),MATCH(A81,'06_Target KPI'!$E$4:$P$4,0))*DAY(C81)/DAY(EOMONTH(C81,0)),INDEX('06_Target KPI'!$E$5:$P$100,MATCH(F81,'06_Target KPI'!$B$5:$B$100,0),MATCH(A81,'06_Target KPI'!$E$4:$P$4,0)))),0)</f>
        <v>0</v>
      </c>
      <c r="I81" s="24"/>
      <c r="J81" s="27">
        <f>IFERROR(MIN(IF(VLOOKUP(F81,'05_Master KPI'!$B$5:$G$100,5,FALSE)="Lower",H81/I81,I81/H81),1),0)</f>
        <v>0</v>
      </c>
      <c r="K81" s="26">
        <f>IFERROR(VLOOKUP(F81,'05_Master KPI'!$B$5:$G$100,4,FALSE),0)</f>
        <v>0</v>
      </c>
      <c r="L81" s="28">
        <f t="shared" si="1"/>
        <v>0</v>
      </c>
      <c r="M81" s="26" t="str">
        <f>IF(D81="","",IF(J81&gt;='13_Setting'!$H$7,"Tercapai",IF(J81&gt;='13_Setting'!$H$6,"On Track","Tertinggal")))</f>
        <v/>
      </c>
      <c r="N81" s="24"/>
    </row>
    <row r="82" spans="1:14">
      <c r="A82" s="24"/>
      <c r="B82" s="24"/>
      <c r="C82" s="25"/>
      <c r="D82" s="24"/>
      <c r="E82" s="26" t="str">
        <f>IFERROR(VLOOKUP(D82,'04_Master Karyawan'!$A$5:$F$50,2,FALSE),"")</f>
        <v/>
      </c>
      <c r="F82" s="24"/>
      <c r="G82" s="26" t="str">
        <f>IFERROR(VLOOKUP(F82,'05_Master KPI'!$B$5:$G$100,2,FALSE)&amp;" ("&amp;VLOOKUP(F82,'05_Master KPI'!$B$5:$G$100,3,FALSE)&amp;")","")</f>
        <v/>
      </c>
      <c r="H82" s="26">
        <f>IFERROR(IF(B82&lt;&gt;'06_Target KPI'!$B$3,0,IF(VLOOKUP(F82,'05_Master KPI'!$B$5:$G$100,6,FALSE)="Kumulatif",INDEX('06_Target KPI'!$E$5:$P$100,MATCH(F82,'06_Target KPI'!$B$5:$B$100,0),MATCH(A82,'06_Target KPI'!$E$4:$P$4,0))*DAY(C82)/DAY(EOMONTH(C82,0)),INDEX('06_Target KPI'!$E$5:$P$100,MATCH(F82,'06_Target KPI'!$B$5:$B$100,0),MATCH(A82,'06_Target KPI'!$E$4:$P$4,0)))),0)</f>
        <v>0</v>
      </c>
      <c r="I82" s="24"/>
      <c r="J82" s="27">
        <f>IFERROR(MIN(IF(VLOOKUP(F82,'05_Master KPI'!$B$5:$G$100,5,FALSE)="Lower",H82/I82,I82/H82),1),0)</f>
        <v>0</v>
      </c>
      <c r="K82" s="26">
        <f>IFERROR(VLOOKUP(F82,'05_Master KPI'!$B$5:$G$100,4,FALSE),0)</f>
        <v>0</v>
      </c>
      <c r="L82" s="28">
        <f t="shared" si="1"/>
        <v>0</v>
      </c>
      <c r="M82" s="26" t="str">
        <f>IF(D82="","",IF(J82&gt;='13_Setting'!$H$7,"Tercapai",IF(J82&gt;='13_Setting'!$H$6,"On Track","Tertinggal")))</f>
        <v/>
      </c>
      <c r="N82" s="24"/>
    </row>
    <row r="83" spans="1:14">
      <c r="A83" s="24"/>
      <c r="B83" s="24"/>
      <c r="C83" s="25"/>
      <c r="D83" s="24"/>
      <c r="E83" s="26" t="str">
        <f>IFERROR(VLOOKUP(D83,'04_Master Karyawan'!$A$5:$F$50,2,FALSE),"")</f>
        <v/>
      </c>
      <c r="F83" s="24"/>
      <c r="G83" s="26" t="str">
        <f>IFERROR(VLOOKUP(F83,'05_Master KPI'!$B$5:$G$100,2,FALSE)&amp;" ("&amp;VLOOKUP(F83,'05_Master KPI'!$B$5:$G$100,3,FALSE)&amp;")","")</f>
        <v/>
      </c>
      <c r="H83" s="26">
        <f>IFERROR(IF(B83&lt;&gt;'06_Target KPI'!$B$3,0,IF(VLOOKUP(F83,'05_Master KPI'!$B$5:$G$100,6,FALSE)="Kumulatif",INDEX('06_Target KPI'!$E$5:$P$100,MATCH(F83,'06_Target KPI'!$B$5:$B$100,0),MATCH(A83,'06_Target KPI'!$E$4:$P$4,0))*DAY(C83)/DAY(EOMONTH(C83,0)),INDEX('06_Target KPI'!$E$5:$P$100,MATCH(F83,'06_Target KPI'!$B$5:$B$100,0),MATCH(A83,'06_Target KPI'!$E$4:$P$4,0)))),0)</f>
        <v>0</v>
      </c>
      <c r="I83" s="24"/>
      <c r="J83" s="27">
        <f>IFERROR(MIN(IF(VLOOKUP(F83,'05_Master KPI'!$B$5:$G$100,5,FALSE)="Lower",H83/I83,I83/H83),1),0)</f>
        <v>0</v>
      </c>
      <c r="K83" s="26">
        <f>IFERROR(VLOOKUP(F83,'05_Master KPI'!$B$5:$G$100,4,FALSE),0)</f>
        <v>0</v>
      </c>
      <c r="L83" s="28">
        <f t="shared" si="1"/>
        <v>0</v>
      </c>
      <c r="M83" s="26" t="str">
        <f>IF(D83="","",IF(J83&gt;='13_Setting'!$H$7,"Tercapai",IF(J83&gt;='13_Setting'!$H$6,"On Track","Tertinggal")))</f>
        <v/>
      </c>
      <c r="N83" s="24"/>
    </row>
    <row r="84" spans="1:14">
      <c r="A84" s="24"/>
      <c r="B84" s="24"/>
      <c r="C84" s="25"/>
      <c r="D84" s="24"/>
      <c r="E84" s="26" t="str">
        <f>IFERROR(VLOOKUP(D84,'04_Master Karyawan'!$A$5:$F$50,2,FALSE),"")</f>
        <v/>
      </c>
      <c r="F84" s="24"/>
      <c r="G84" s="26" t="str">
        <f>IFERROR(VLOOKUP(F84,'05_Master KPI'!$B$5:$G$100,2,FALSE)&amp;" ("&amp;VLOOKUP(F84,'05_Master KPI'!$B$5:$G$100,3,FALSE)&amp;")","")</f>
        <v/>
      </c>
      <c r="H84" s="26">
        <f>IFERROR(IF(B84&lt;&gt;'06_Target KPI'!$B$3,0,IF(VLOOKUP(F84,'05_Master KPI'!$B$5:$G$100,6,FALSE)="Kumulatif",INDEX('06_Target KPI'!$E$5:$P$100,MATCH(F84,'06_Target KPI'!$B$5:$B$100,0),MATCH(A84,'06_Target KPI'!$E$4:$P$4,0))*DAY(C84)/DAY(EOMONTH(C84,0)),INDEX('06_Target KPI'!$E$5:$P$100,MATCH(F84,'06_Target KPI'!$B$5:$B$100,0),MATCH(A84,'06_Target KPI'!$E$4:$P$4,0)))),0)</f>
        <v>0</v>
      </c>
      <c r="I84" s="24"/>
      <c r="J84" s="27">
        <f>IFERROR(MIN(IF(VLOOKUP(F84,'05_Master KPI'!$B$5:$G$100,5,FALSE)="Lower",H84/I84,I84/H84),1),0)</f>
        <v>0</v>
      </c>
      <c r="K84" s="26">
        <f>IFERROR(VLOOKUP(F84,'05_Master KPI'!$B$5:$G$100,4,FALSE),0)</f>
        <v>0</v>
      </c>
      <c r="L84" s="28">
        <f t="shared" si="1"/>
        <v>0</v>
      </c>
      <c r="M84" s="26" t="str">
        <f>IF(D84="","",IF(J84&gt;='13_Setting'!$H$7,"Tercapai",IF(J84&gt;='13_Setting'!$H$6,"On Track","Tertinggal")))</f>
        <v/>
      </c>
      <c r="N84" s="24"/>
    </row>
    <row r="85" spans="1:14">
      <c r="A85" s="24"/>
      <c r="B85" s="24"/>
      <c r="C85" s="25"/>
      <c r="D85" s="24"/>
      <c r="E85" s="26" t="str">
        <f>IFERROR(VLOOKUP(D85,'04_Master Karyawan'!$A$5:$F$50,2,FALSE),"")</f>
        <v/>
      </c>
      <c r="F85" s="24"/>
      <c r="G85" s="26" t="str">
        <f>IFERROR(VLOOKUP(F85,'05_Master KPI'!$B$5:$G$100,2,FALSE)&amp;" ("&amp;VLOOKUP(F85,'05_Master KPI'!$B$5:$G$100,3,FALSE)&amp;")","")</f>
        <v/>
      </c>
      <c r="H85" s="26">
        <f>IFERROR(IF(B85&lt;&gt;'06_Target KPI'!$B$3,0,IF(VLOOKUP(F85,'05_Master KPI'!$B$5:$G$100,6,FALSE)="Kumulatif",INDEX('06_Target KPI'!$E$5:$P$100,MATCH(F85,'06_Target KPI'!$B$5:$B$100,0),MATCH(A85,'06_Target KPI'!$E$4:$P$4,0))*DAY(C85)/DAY(EOMONTH(C85,0)),INDEX('06_Target KPI'!$E$5:$P$100,MATCH(F85,'06_Target KPI'!$B$5:$B$100,0),MATCH(A85,'06_Target KPI'!$E$4:$P$4,0)))),0)</f>
        <v>0</v>
      </c>
      <c r="I85" s="24"/>
      <c r="J85" s="27">
        <f>IFERROR(MIN(IF(VLOOKUP(F85,'05_Master KPI'!$B$5:$G$100,5,FALSE)="Lower",H85/I85,I85/H85),1),0)</f>
        <v>0</v>
      </c>
      <c r="K85" s="26">
        <f>IFERROR(VLOOKUP(F85,'05_Master KPI'!$B$5:$G$100,4,FALSE),0)</f>
        <v>0</v>
      </c>
      <c r="L85" s="28">
        <f t="shared" si="1"/>
        <v>0</v>
      </c>
      <c r="M85" s="26" t="str">
        <f>IF(D85="","",IF(J85&gt;='13_Setting'!$H$7,"Tercapai",IF(J85&gt;='13_Setting'!$H$6,"On Track","Tertinggal")))</f>
        <v/>
      </c>
      <c r="N85" s="24"/>
    </row>
    <row r="86" spans="1:14">
      <c r="A86" s="24"/>
      <c r="B86" s="24"/>
      <c r="C86" s="25"/>
      <c r="D86" s="24"/>
      <c r="E86" s="26" t="str">
        <f>IFERROR(VLOOKUP(D86,'04_Master Karyawan'!$A$5:$F$50,2,FALSE),"")</f>
        <v/>
      </c>
      <c r="F86" s="24"/>
      <c r="G86" s="26" t="str">
        <f>IFERROR(VLOOKUP(F86,'05_Master KPI'!$B$5:$G$100,2,FALSE)&amp;" ("&amp;VLOOKUP(F86,'05_Master KPI'!$B$5:$G$100,3,FALSE)&amp;")","")</f>
        <v/>
      </c>
      <c r="H86" s="26">
        <f>IFERROR(IF(B86&lt;&gt;'06_Target KPI'!$B$3,0,IF(VLOOKUP(F86,'05_Master KPI'!$B$5:$G$100,6,FALSE)="Kumulatif",INDEX('06_Target KPI'!$E$5:$P$100,MATCH(F86,'06_Target KPI'!$B$5:$B$100,0),MATCH(A86,'06_Target KPI'!$E$4:$P$4,0))*DAY(C86)/DAY(EOMONTH(C86,0)),INDEX('06_Target KPI'!$E$5:$P$100,MATCH(F86,'06_Target KPI'!$B$5:$B$100,0),MATCH(A86,'06_Target KPI'!$E$4:$P$4,0)))),0)</f>
        <v>0</v>
      </c>
      <c r="I86" s="24"/>
      <c r="J86" s="27">
        <f>IFERROR(MIN(IF(VLOOKUP(F86,'05_Master KPI'!$B$5:$G$100,5,FALSE)="Lower",H86/I86,I86/H86),1),0)</f>
        <v>0</v>
      </c>
      <c r="K86" s="26">
        <f>IFERROR(VLOOKUP(F86,'05_Master KPI'!$B$5:$G$100,4,FALSE),0)</f>
        <v>0</v>
      </c>
      <c r="L86" s="28">
        <f t="shared" si="1"/>
        <v>0</v>
      </c>
      <c r="M86" s="26" t="str">
        <f>IF(D86="","",IF(J86&gt;='13_Setting'!$H$7,"Tercapai",IF(J86&gt;='13_Setting'!$H$6,"On Track","Tertinggal")))</f>
        <v/>
      </c>
      <c r="N86" s="24"/>
    </row>
    <row r="87" spans="1:14">
      <c r="A87" s="24"/>
      <c r="B87" s="24"/>
      <c r="C87" s="25"/>
      <c r="D87" s="24"/>
      <c r="E87" s="26" t="str">
        <f>IFERROR(VLOOKUP(D87,'04_Master Karyawan'!$A$5:$F$50,2,FALSE),"")</f>
        <v/>
      </c>
      <c r="F87" s="24"/>
      <c r="G87" s="26" t="str">
        <f>IFERROR(VLOOKUP(F87,'05_Master KPI'!$B$5:$G$100,2,FALSE)&amp;" ("&amp;VLOOKUP(F87,'05_Master KPI'!$B$5:$G$100,3,FALSE)&amp;")","")</f>
        <v/>
      </c>
      <c r="H87" s="26">
        <f>IFERROR(IF(B87&lt;&gt;'06_Target KPI'!$B$3,0,IF(VLOOKUP(F87,'05_Master KPI'!$B$5:$G$100,6,FALSE)="Kumulatif",INDEX('06_Target KPI'!$E$5:$P$100,MATCH(F87,'06_Target KPI'!$B$5:$B$100,0),MATCH(A87,'06_Target KPI'!$E$4:$P$4,0))*DAY(C87)/DAY(EOMONTH(C87,0)),INDEX('06_Target KPI'!$E$5:$P$100,MATCH(F87,'06_Target KPI'!$B$5:$B$100,0),MATCH(A87,'06_Target KPI'!$E$4:$P$4,0)))),0)</f>
        <v>0</v>
      </c>
      <c r="I87" s="24"/>
      <c r="J87" s="27">
        <f>IFERROR(MIN(IF(VLOOKUP(F87,'05_Master KPI'!$B$5:$G$100,5,FALSE)="Lower",H87/I87,I87/H87),1),0)</f>
        <v>0</v>
      </c>
      <c r="K87" s="26">
        <f>IFERROR(VLOOKUP(F87,'05_Master KPI'!$B$5:$G$100,4,FALSE),0)</f>
        <v>0</v>
      </c>
      <c r="L87" s="28">
        <f t="shared" si="1"/>
        <v>0</v>
      </c>
      <c r="M87" s="26" t="str">
        <f>IF(D87="","",IF(J87&gt;='13_Setting'!$H$7,"Tercapai",IF(J87&gt;='13_Setting'!$H$6,"On Track","Tertinggal")))</f>
        <v/>
      </c>
      <c r="N87" s="24"/>
    </row>
    <row r="88" spans="1:14">
      <c r="A88" s="24"/>
      <c r="B88" s="24"/>
      <c r="C88" s="25"/>
      <c r="D88" s="24"/>
      <c r="E88" s="26" t="str">
        <f>IFERROR(VLOOKUP(D88,'04_Master Karyawan'!$A$5:$F$50,2,FALSE),"")</f>
        <v/>
      </c>
      <c r="F88" s="24"/>
      <c r="G88" s="26" t="str">
        <f>IFERROR(VLOOKUP(F88,'05_Master KPI'!$B$5:$G$100,2,FALSE)&amp;" ("&amp;VLOOKUP(F88,'05_Master KPI'!$B$5:$G$100,3,FALSE)&amp;")","")</f>
        <v/>
      </c>
      <c r="H88" s="26">
        <f>IFERROR(IF(B88&lt;&gt;'06_Target KPI'!$B$3,0,IF(VLOOKUP(F88,'05_Master KPI'!$B$5:$G$100,6,FALSE)="Kumulatif",INDEX('06_Target KPI'!$E$5:$P$100,MATCH(F88,'06_Target KPI'!$B$5:$B$100,0),MATCH(A88,'06_Target KPI'!$E$4:$P$4,0))*DAY(C88)/DAY(EOMONTH(C88,0)),INDEX('06_Target KPI'!$E$5:$P$100,MATCH(F88,'06_Target KPI'!$B$5:$B$100,0),MATCH(A88,'06_Target KPI'!$E$4:$P$4,0)))),0)</f>
        <v>0</v>
      </c>
      <c r="I88" s="24"/>
      <c r="J88" s="27">
        <f>IFERROR(MIN(IF(VLOOKUP(F88,'05_Master KPI'!$B$5:$G$100,5,FALSE)="Lower",H88/I88,I88/H88),1),0)</f>
        <v>0</v>
      </c>
      <c r="K88" s="26">
        <f>IFERROR(VLOOKUP(F88,'05_Master KPI'!$B$5:$G$100,4,FALSE),0)</f>
        <v>0</v>
      </c>
      <c r="L88" s="28">
        <f t="shared" si="1"/>
        <v>0</v>
      </c>
      <c r="M88" s="26" t="str">
        <f>IF(D88="","",IF(J88&gt;='13_Setting'!$H$7,"Tercapai",IF(J88&gt;='13_Setting'!$H$6,"On Track","Tertinggal")))</f>
        <v/>
      </c>
      <c r="N88" s="24"/>
    </row>
    <row r="89" spans="1:14">
      <c r="A89" s="24"/>
      <c r="B89" s="24"/>
      <c r="C89" s="25"/>
      <c r="D89" s="24"/>
      <c r="E89" s="26" t="str">
        <f>IFERROR(VLOOKUP(D89,'04_Master Karyawan'!$A$5:$F$50,2,FALSE),"")</f>
        <v/>
      </c>
      <c r="F89" s="24"/>
      <c r="G89" s="26" t="str">
        <f>IFERROR(VLOOKUP(F89,'05_Master KPI'!$B$5:$G$100,2,FALSE)&amp;" ("&amp;VLOOKUP(F89,'05_Master KPI'!$B$5:$G$100,3,FALSE)&amp;")","")</f>
        <v/>
      </c>
      <c r="H89" s="26">
        <f>IFERROR(IF(B89&lt;&gt;'06_Target KPI'!$B$3,0,IF(VLOOKUP(F89,'05_Master KPI'!$B$5:$G$100,6,FALSE)="Kumulatif",INDEX('06_Target KPI'!$E$5:$P$100,MATCH(F89,'06_Target KPI'!$B$5:$B$100,0),MATCH(A89,'06_Target KPI'!$E$4:$P$4,0))*DAY(C89)/DAY(EOMONTH(C89,0)),INDEX('06_Target KPI'!$E$5:$P$100,MATCH(F89,'06_Target KPI'!$B$5:$B$100,0),MATCH(A89,'06_Target KPI'!$E$4:$P$4,0)))),0)</f>
        <v>0</v>
      </c>
      <c r="I89" s="24"/>
      <c r="J89" s="27">
        <f>IFERROR(MIN(IF(VLOOKUP(F89,'05_Master KPI'!$B$5:$G$100,5,FALSE)="Lower",H89/I89,I89/H89),1),0)</f>
        <v>0</v>
      </c>
      <c r="K89" s="26">
        <f>IFERROR(VLOOKUP(F89,'05_Master KPI'!$B$5:$G$100,4,FALSE),0)</f>
        <v>0</v>
      </c>
      <c r="L89" s="28">
        <f t="shared" si="1"/>
        <v>0</v>
      </c>
      <c r="M89" s="26" t="str">
        <f>IF(D89="","",IF(J89&gt;='13_Setting'!$H$7,"Tercapai",IF(J89&gt;='13_Setting'!$H$6,"On Track","Tertinggal")))</f>
        <v/>
      </c>
      <c r="N89" s="24"/>
    </row>
    <row r="90" spans="1:14">
      <c r="A90" s="24"/>
      <c r="B90" s="24"/>
      <c r="C90" s="25"/>
      <c r="D90" s="24"/>
      <c r="E90" s="26" t="str">
        <f>IFERROR(VLOOKUP(D90,'04_Master Karyawan'!$A$5:$F$50,2,FALSE),"")</f>
        <v/>
      </c>
      <c r="F90" s="24"/>
      <c r="G90" s="26" t="str">
        <f>IFERROR(VLOOKUP(F90,'05_Master KPI'!$B$5:$G$100,2,FALSE)&amp;" ("&amp;VLOOKUP(F90,'05_Master KPI'!$B$5:$G$100,3,FALSE)&amp;")","")</f>
        <v/>
      </c>
      <c r="H90" s="26">
        <f>IFERROR(IF(B90&lt;&gt;'06_Target KPI'!$B$3,0,IF(VLOOKUP(F90,'05_Master KPI'!$B$5:$G$100,6,FALSE)="Kumulatif",INDEX('06_Target KPI'!$E$5:$P$100,MATCH(F90,'06_Target KPI'!$B$5:$B$100,0),MATCH(A90,'06_Target KPI'!$E$4:$P$4,0))*DAY(C90)/DAY(EOMONTH(C90,0)),INDEX('06_Target KPI'!$E$5:$P$100,MATCH(F90,'06_Target KPI'!$B$5:$B$100,0),MATCH(A90,'06_Target KPI'!$E$4:$P$4,0)))),0)</f>
        <v>0</v>
      </c>
      <c r="I90" s="24"/>
      <c r="J90" s="27">
        <f>IFERROR(MIN(IF(VLOOKUP(F90,'05_Master KPI'!$B$5:$G$100,5,FALSE)="Lower",H90/I90,I90/H90),1),0)</f>
        <v>0</v>
      </c>
      <c r="K90" s="26">
        <f>IFERROR(VLOOKUP(F90,'05_Master KPI'!$B$5:$G$100,4,FALSE),0)</f>
        <v>0</v>
      </c>
      <c r="L90" s="28">
        <f t="shared" si="1"/>
        <v>0</v>
      </c>
      <c r="M90" s="26" t="str">
        <f>IF(D90="","",IF(J90&gt;='13_Setting'!$H$7,"Tercapai",IF(J90&gt;='13_Setting'!$H$6,"On Track","Tertinggal")))</f>
        <v/>
      </c>
      <c r="N90" s="24"/>
    </row>
    <row r="91" spans="1:14">
      <c r="A91" s="24"/>
      <c r="B91" s="24"/>
      <c r="C91" s="25"/>
      <c r="D91" s="24"/>
      <c r="E91" s="26" t="str">
        <f>IFERROR(VLOOKUP(D91,'04_Master Karyawan'!$A$5:$F$50,2,FALSE),"")</f>
        <v/>
      </c>
      <c r="F91" s="24"/>
      <c r="G91" s="26" t="str">
        <f>IFERROR(VLOOKUP(F91,'05_Master KPI'!$B$5:$G$100,2,FALSE)&amp;" ("&amp;VLOOKUP(F91,'05_Master KPI'!$B$5:$G$100,3,FALSE)&amp;")","")</f>
        <v/>
      </c>
      <c r="H91" s="26">
        <f>IFERROR(IF(B91&lt;&gt;'06_Target KPI'!$B$3,0,IF(VLOOKUP(F91,'05_Master KPI'!$B$5:$G$100,6,FALSE)="Kumulatif",INDEX('06_Target KPI'!$E$5:$P$100,MATCH(F91,'06_Target KPI'!$B$5:$B$100,0),MATCH(A91,'06_Target KPI'!$E$4:$P$4,0))*DAY(C91)/DAY(EOMONTH(C91,0)),INDEX('06_Target KPI'!$E$5:$P$100,MATCH(F91,'06_Target KPI'!$B$5:$B$100,0),MATCH(A91,'06_Target KPI'!$E$4:$P$4,0)))),0)</f>
        <v>0</v>
      </c>
      <c r="I91" s="24"/>
      <c r="J91" s="27">
        <f>IFERROR(MIN(IF(VLOOKUP(F91,'05_Master KPI'!$B$5:$G$100,5,FALSE)="Lower",H91/I91,I91/H91),1),0)</f>
        <v>0</v>
      </c>
      <c r="K91" s="26">
        <f>IFERROR(VLOOKUP(F91,'05_Master KPI'!$B$5:$G$100,4,FALSE),0)</f>
        <v>0</v>
      </c>
      <c r="L91" s="28">
        <f t="shared" si="1"/>
        <v>0</v>
      </c>
      <c r="M91" s="26" t="str">
        <f>IF(D91="","",IF(J91&gt;='13_Setting'!$H$7,"Tercapai",IF(J91&gt;='13_Setting'!$H$6,"On Track","Tertinggal")))</f>
        <v/>
      </c>
      <c r="N91" s="24"/>
    </row>
    <row r="92" spans="1:14">
      <c r="A92" s="24"/>
      <c r="B92" s="24"/>
      <c r="C92" s="25"/>
      <c r="D92" s="24"/>
      <c r="E92" s="26" t="str">
        <f>IFERROR(VLOOKUP(D92,'04_Master Karyawan'!$A$5:$F$50,2,FALSE),"")</f>
        <v/>
      </c>
      <c r="F92" s="24"/>
      <c r="G92" s="26" t="str">
        <f>IFERROR(VLOOKUP(F92,'05_Master KPI'!$B$5:$G$100,2,FALSE)&amp;" ("&amp;VLOOKUP(F92,'05_Master KPI'!$B$5:$G$100,3,FALSE)&amp;")","")</f>
        <v/>
      </c>
      <c r="H92" s="26">
        <f>IFERROR(IF(B92&lt;&gt;'06_Target KPI'!$B$3,0,IF(VLOOKUP(F92,'05_Master KPI'!$B$5:$G$100,6,FALSE)="Kumulatif",INDEX('06_Target KPI'!$E$5:$P$100,MATCH(F92,'06_Target KPI'!$B$5:$B$100,0),MATCH(A92,'06_Target KPI'!$E$4:$P$4,0))*DAY(C92)/DAY(EOMONTH(C92,0)),INDEX('06_Target KPI'!$E$5:$P$100,MATCH(F92,'06_Target KPI'!$B$5:$B$100,0),MATCH(A92,'06_Target KPI'!$E$4:$P$4,0)))),0)</f>
        <v>0</v>
      </c>
      <c r="I92" s="24"/>
      <c r="J92" s="27">
        <f>IFERROR(MIN(IF(VLOOKUP(F92,'05_Master KPI'!$B$5:$G$100,5,FALSE)="Lower",H92/I92,I92/H92),1),0)</f>
        <v>0</v>
      </c>
      <c r="K92" s="26">
        <f>IFERROR(VLOOKUP(F92,'05_Master KPI'!$B$5:$G$100,4,FALSE),0)</f>
        <v>0</v>
      </c>
      <c r="L92" s="28">
        <f t="shared" si="1"/>
        <v>0</v>
      </c>
      <c r="M92" s="26" t="str">
        <f>IF(D92="","",IF(J92&gt;='13_Setting'!$H$7,"Tercapai",IF(J92&gt;='13_Setting'!$H$6,"On Track","Tertinggal")))</f>
        <v/>
      </c>
      <c r="N92" s="24"/>
    </row>
    <row r="93" spans="1:14">
      <c r="A93" s="24"/>
      <c r="B93" s="24"/>
      <c r="C93" s="25"/>
      <c r="D93" s="24"/>
      <c r="E93" s="26" t="str">
        <f>IFERROR(VLOOKUP(D93,'04_Master Karyawan'!$A$5:$F$50,2,FALSE),"")</f>
        <v/>
      </c>
      <c r="F93" s="24"/>
      <c r="G93" s="26" t="str">
        <f>IFERROR(VLOOKUP(F93,'05_Master KPI'!$B$5:$G$100,2,FALSE)&amp;" ("&amp;VLOOKUP(F93,'05_Master KPI'!$B$5:$G$100,3,FALSE)&amp;")","")</f>
        <v/>
      </c>
      <c r="H93" s="26">
        <f>IFERROR(IF(B93&lt;&gt;'06_Target KPI'!$B$3,0,IF(VLOOKUP(F93,'05_Master KPI'!$B$5:$G$100,6,FALSE)="Kumulatif",INDEX('06_Target KPI'!$E$5:$P$100,MATCH(F93,'06_Target KPI'!$B$5:$B$100,0),MATCH(A93,'06_Target KPI'!$E$4:$P$4,0))*DAY(C93)/DAY(EOMONTH(C93,0)),INDEX('06_Target KPI'!$E$5:$P$100,MATCH(F93,'06_Target KPI'!$B$5:$B$100,0),MATCH(A93,'06_Target KPI'!$E$4:$P$4,0)))),0)</f>
        <v>0</v>
      </c>
      <c r="I93" s="24"/>
      <c r="J93" s="27">
        <f>IFERROR(MIN(IF(VLOOKUP(F93,'05_Master KPI'!$B$5:$G$100,5,FALSE)="Lower",H93/I93,I93/H93),1),0)</f>
        <v>0</v>
      </c>
      <c r="K93" s="26">
        <f>IFERROR(VLOOKUP(F93,'05_Master KPI'!$B$5:$G$100,4,FALSE),0)</f>
        <v>0</v>
      </c>
      <c r="L93" s="28">
        <f t="shared" si="1"/>
        <v>0</v>
      </c>
      <c r="M93" s="26" t="str">
        <f>IF(D93="","",IF(J93&gt;='13_Setting'!$H$7,"Tercapai",IF(J93&gt;='13_Setting'!$H$6,"On Track","Tertinggal")))</f>
        <v/>
      </c>
      <c r="N93" s="24"/>
    </row>
    <row r="94" spans="1:14">
      <c r="A94" s="24"/>
      <c r="B94" s="24"/>
      <c r="C94" s="25"/>
      <c r="D94" s="24"/>
      <c r="E94" s="26" t="str">
        <f>IFERROR(VLOOKUP(D94,'04_Master Karyawan'!$A$5:$F$50,2,FALSE),"")</f>
        <v/>
      </c>
      <c r="F94" s="24"/>
      <c r="G94" s="26" t="str">
        <f>IFERROR(VLOOKUP(F94,'05_Master KPI'!$B$5:$G$100,2,FALSE)&amp;" ("&amp;VLOOKUP(F94,'05_Master KPI'!$B$5:$G$100,3,FALSE)&amp;")","")</f>
        <v/>
      </c>
      <c r="H94" s="26">
        <f>IFERROR(IF(B94&lt;&gt;'06_Target KPI'!$B$3,0,IF(VLOOKUP(F94,'05_Master KPI'!$B$5:$G$100,6,FALSE)="Kumulatif",INDEX('06_Target KPI'!$E$5:$P$100,MATCH(F94,'06_Target KPI'!$B$5:$B$100,0),MATCH(A94,'06_Target KPI'!$E$4:$P$4,0))*DAY(C94)/DAY(EOMONTH(C94,0)),INDEX('06_Target KPI'!$E$5:$P$100,MATCH(F94,'06_Target KPI'!$B$5:$B$100,0),MATCH(A94,'06_Target KPI'!$E$4:$P$4,0)))),0)</f>
        <v>0</v>
      </c>
      <c r="I94" s="24"/>
      <c r="J94" s="27">
        <f>IFERROR(MIN(IF(VLOOKUP(F94,'05_Master KPI'!$B$5:$G$100,5,FALSE)="Lower",H94/I94,I94/H94),1),0)</f>
        <v>0</v>
      </c>
      <c r="K94" s="26">
        <f>IFERROR(VLOOKUP(F94,'05_Master KPI'!$B$5:$G$100,4,FALSE),0)</f>
        <v>0</v>
      </c>
      <c r="L94" s="28">
        <f t="shared" si="1"/>
        <v>0</v>
      </c>
      <c r="M94" s="26" t="str">
        <f>IF(D94="","",IF(J94&gt;='13_Setting'!$H$7,"Tercapai",IF(J94&gt;='13_Setting'!$H$6,"On Track","Tertinggal")))</f>
        <v/>
      </c>
      <c r="N94" s="24"/>
    </row>
    <row r="95" spans="1:14">
      <c r="A95" s="24"/>
      <c r="B95" s="24"/>
      <c r="C95" s="25"/>
      <c r="D95" s="24"/>
      <c r="E95" s="26" t="str">
        <f>IFERROR(VLOOKUP(D95,'04_Master Karyawan'!$A$5:$F$50,2,FALSE),"")</f>
        <v/>
      </c>
      <c r="F95" s="24"/>
      <c r="G95" s="26" t="str">
        <f>IFERROR(VLOOKUP(F95,'05_Master KPI'!$B$5:$G$100,2,FALSE)&amp;" ("&amp;VLOOKUP(F95,'05_Master KPI'!$B$5:$G$100,3,FALSE)&amp;")","")</f>
        <v/>
      </c>
      <c r="H95" s="26">
        <f>IFERROR(IF(B95&lt;&gt;'06_Target KPI'!$B$3,0,IF(VLOOKUP(F95,'05_Master KPI'!$B$5:$G$100,6,FALSE)="Kumulatif",INDEX('06_Target KPI'!$E$5:$P$100,MATCH(F95,'06_Target KPI'!$B$5:$B$100,0),MATCH(A95,'06_Target KPI'!$E$4:$P$4,0))*DAY(C95)/DAY(EOMONTH(C95,0)),INDEX('06_Target KPI'!$E$5:$P$100,MATCH(F95,'06_Target KPI'!$B$5:$B$100,0),MATCH(A95,'06_Target KPI'!$E$4:$P$4,0)))),0)</f>
        <v>0</v>
      </c>
      <c r="I95" s="24"/>
      <c r="J95" s="27">
        <f>IFERROR(MIN(IF(VLOOKUP(F95,'05_Master KPI'!$B$5:$G$100,5,FALSE)="Lower",H95/I95,I95/H95),1),0)</f>
        <v>0</v>
      </c>
      <c r="K95" s="26">
        <f>IFERROR(VLOOKUP(F95,'05_Master KPI'!$B$5:$G$100,4,FALSE),0)</f>
        <v>0</v>
      </c>
      <c r="L95" s="28">
        <f t="shared" si="1"/>
        <v>0</v>
      </c>
      <c r="M95" s="26" t="str">
        <f>IF(D95="","",IF(J95&gt;='13_Setting'!$H$7,"Tercapai",IF(J95&gt;='13_Setting'!$H$6,"On Track","Tertinggal")))</f>
        <v/>
      </c>
      <c r="N95" s="24"/>
    </row>
    <row r="96" spans="1:14">
      <c r="A96" s="24"/>
      <c r="B96" s="24"/>
      <c r="C96" s="25"/>
      <c r="D96" s="24"/>
      <c r="E96" s="26" t="str">
        <f>IFERROR(VLOOKUP(D96,'04_Master Karyawan'!$A$5:$F$50,2,FALSE),"")</f>
        <v/>
      </c>
      <c r="F96" s="24"/>
      <c r="G96" s="26" t="str">
        <f>IFERROR(VLOOKUP(F96,'05_Master KPI'!$B$5:$G$100,2,FALSE)&amp;" ("&amp;VLOOKUP(F96,'05_Master KPI'!$B$5:$G$100,3,FALSE)&amp;")","")</f>
        <v/>
      </c>
      <c r="H96" s="26">
        <f>IFERROR(IF(B96&lt;&gt;'06_Target KPI'!$B$3,0,IF(VLOOKUP(F96,'05_Master KPI'!$B$5:$G$100,6,FALSE)="Kumulatif",INDEX('06_Target KPI'!$E$5:$P$100,MATCH(F96,'06_Target KPI'!$B$5:$B$100,0),MATCH(A96,'06_Target KPI'!$E$4:$P$4,0))*DAY(C96)/DAY(EOMONTH(C96,0)),INDEX('06_Target KPI'!$E$5:$P$100,MATCH(F96,'06_Target KPI'!$B$5:$B$100,0),MATCH(A96,'06_Target KPI'!$E$4:$P$4,0)))),0)</f>
        <v>0</v>
      </c>
      <c r="I96" s="24"/>
      <c r="J96" s="27">
        <f>IFERROR(MIN(IF(VLOOKUP(F96,'05_Master KPI'!$B$5:$G$100,5,FALSE)="Lower",H96/I96,I96/H96),1),0)</f>
        <v>0</v>
      </c>
      <c r="K96" s="26">
        <f>IFERROR(VLOOKUP(F96,'05_Master KPI'!$B$5:$G$100,4,FALSE),0)</f>
        <v>0</v>
      </c>
      <c r="L96" s="28">
        <f t="shared" si="1"/>
        <v>0</v>
      </c>
      <c r="M96" s="26" t="str">
        <f>IF(D96="","",IF(J96&gt;='13_Setting'!$H$7,"Tercapai",IF(J96&gt;='13_Setting'!$H$6,"On Track","Tertinggal")))</f>
        <v/>
      </c>
      <c r="N96" s="24"/>
    </row>
    <row r="97" spans="1:14">
      <c r="A97" s="24"/>
      <c r="B97" s="24"/>
      <c r="C97" s="25"/>
      <c r="D97" s="24"/>
      <c r="E97" s="26" t="str">
        <f>IFERROR(VLOOKUP(D97,'04_Master Karyawan'!$A$5:$F$50,2,FALSE),"")</f>
        <v/>
      </c>
      <c r="F97" s="24"/>
      <c r="G97" s="26" t="str">
        <f>IFERROR(VLOOKUP(F97,'05_Master KPI'!$B$5:$G$100,2,FALSE)&amp;" ("&amp;VLOOKUP(F97,'05_Master KPI'!$B$5:$G$100,3,FALSE)&amp;")","")</f>
        <v/>
      </c>
      <c r="H97" s="26">
        <f>IFERROR(IF(B97&lt;&gt;'06_Target KPI'!$B$3,0,IF(VLOOKUP(F97,'05_Master KPI'!$B$5:$G$100,6,FALSE)="Kumulatif",INDEX('06_Target KPI'!$E$5:$P$100,MATCH(F97,'06_Target KPI'!$B$5:$B$100,0),MATCH(A97,'06_Target KPI'!$E$4:$P$4,0))*DAY(C97)/DAY(EOMONTH(C97,0)),INDEX('06_Target KPI'!$E$5:$P$100,MATCH(F97,'06_Target KPI'!$B$5:$B$100,0),MATCH(A97,'06_Target KPI'!$E$4:$P$4,0)))),0)</f>
        <v>0</v>
      </c>
      <c r="I97" s="24"/>
      <c r="J97" s="27">
        <f>IFERROR(MIN(IF(VLOOKUP(F97,'05_Master KPI'!$B$5:$G$100,5,FALSE)="Lower",H97/I97,I97/H97),1),0)</f>
        <v>0</v>
      </c>
      <c r="K97" s="26">
        <f>IFERROR(VLOOKUP(F97,'05_Master KPI'!$B$5:$G$100,4,FALSE),0)</f>
        <v>0</v>
      </c>
      <c r="L97" s="28">
        <f t="shared" si="1"/>
        <v>0</v>
      </c>
      <c r="M97" s="26" t="str">
        <f>IF(D97="","",IF(J97&gt;='13_Setting'!$H$7,"Tercapai",IF(J97&gt;='13_Setting'!$H$6,"On Track","Tertinggal")))</f>
        <v/>
      </c>
      <c r="N97" s="24"/>
    </row>
    <row r="98" spans="1:14">
      <c r="A98" s="24"/>
      <c r="B98" s="24"/>
      <c r="C98" s="25"/>
      <c r="D98" s="24"/>
      <c r="E98" s="26" t="str">
        <f>IFERROR(VLOOKUP(D98,'04_Master Karyawan'!$A$5:$F$50,2,FALSE),"")</f>
        <v/>
      </c>
      <c r="F98" s="24"/>
      <c r="G98" s="26" t="str">
        <f>IFERROR(VLOOKUP(F98,'05_Master KPI'!$B$5:$G$100,2,FALSE)&amp;" ("&amp;VLOOKUP(F98,'05_Master KPI'!$B$5:$G$100,3,FALSE)&amp;")","")</f>
        <v/>
      </c>
      <c r="H98" s="26">
        <f>IFERROR(IF(B98&lt;&gt;'06_Target KPI'!$B$3,0,IF(VLOOKUP(F98,'05_Master KPI'!$B$5:$G$100,6,FALSE)="Kumulatif",INDEX('06_Target KPI'!$E$5:$P$100,MATCH(F98,'06_Target KPI'!$B$5:$B$100,0),MATCH(A98,'06_Target KPI'!$E$4:$P$4,0))*DAY(C98)/DAY(EOMONTH(C98,0)),INDEX('06_Target KPI'!$E$5:$P$100,MATCH(F98,'06_Target KPI'!$B$5:$B$100,0),MATCH(A98,'06_Target KPI'!$E$4:$P$4,0)))),0)</f>
        <v>0</v>
      </c>
      <c r="I98" s="24"/>
      <c r="J98" s="27">
        <f>IFERROR(MIN(IF(VLOOKUP(F98,'05_Master KPI'!$B$5:$G$100,5,FALSE)="Lower",H98/I98,I98/H98),1),0)</f>
        <v>0</v>
      </c>
      <c r="K98" s="26">
        <f>IFERROR(VLOOKUP(F98,'05_Master KPI'!$B$5:$G$100,4,FALSE),0)</f>
        <v>0</v>
      </c>
      <c r="L98" s="28">
        <f t="shared" si="1"/>
        <v>0</v>
      </c>
      <c r="M98" s="26" t="str">
        <f>IF(D98="","",IF(J98&gt;='13_Setting'!$H$7,"Tercapai",IF(J98&gt;='13_Setting'!$H$6,"On Track","Tertinggal")))</f>
        <v/>
      </c>
      <c r="N98" s="24"/>
    </row>
    <row r="99" spans="1:14">
      <c r="A99" s="24"/>
      <c r="B99" s="24"/>
      <c r="C99" s="25"/>
      <c r="D99" s="24"/>
      <c r="E99" s="26" t="str">
        <f>IFERROR(VLOOKUP(D99,'04_Master Karyawan'!$A$5:$F$50,2,FALSE),"")</f>
        <v/>
      </c>
      <c r="F99" s="24"/>
      <c r="G99" s="26" t="str">
        <f>IFERROR(VLOOKUP(F99,'05_Master KPI'!$B$5:$G$100,2,FALSE)&amp;" ("&amp;VLOOKUP(F99,'05_Master KPI'!$B$5:$G$100,3,FALSE)&amp;")","")</f>
        <v/>
      </c>
      <c r="H99" s="26">
        <f>IFERROR(IF(B99&lt;&gt;'06_Target KPI'!$B$3,0,IF(VLOOKUP(F99,'05_Master KPI'!$B$5:$G$100,6,FALSE)="Kumulatif",INDEX('06_Target KPI'!$E$5:$P$100,MATCH(F99,'06_Target KPI'!$B$5:$B$100,0),MATCH(A99,'06_Target KPI'!$E$4:$P$4,0))*DAY(C99)/DAY(EOMONTH(C99,0)),INDEX('06_Target KPI'!$E$5:$P$100,MATCH(F99,'06_Target KPI'!$B$5:$B$100,0),MATCH(A99,'06_Target KPI'!$E$4:$P$4,0)))),0)</f>
        <v>0</v>
      </c>
      <c r="I99" s="24"/>
      <c r="J99" s="27">
        <f>IFERROR(MIN(IF(VLOOKUP(F99,'05_Master KPI'!$B$5:$G$100,5,FALSE)="Lower",H99/I99,I99/H99),1),0)</f>
        <v>0</v>
      </c>
      <c r="K99" s="26">
        <f>IFERROR(VLOOKUP(F99,'05_Master KPI'!$B$5:$G$100,4,FALSE),0)</f>
        <v>0</v>
      </c>
      <c r="L99" s="28">
        <f t="shared" si="1"/>
        <v>0</v>
      </c>
      <c r="M99" s="26" t="str">
        <f>IF(D99="","",IF(J99&gt;='13_Setting'!$H$7,"Tercapai",IF(J99&gt;='13_Setting'!$H$6,"On Track","Tertinggal")))</f>
        <v/>
      </c>
      <c r="N99" s="24"/>
    </row>
    <row r="100" spans="1:14">
      <c r="A100" s="24"/>
      <c r="B100" s="24"/>
      <c r="C100" s="25"/>
      <c r="D100" s="24"/>
      <c r="E100" s="26" t="str">
        <f>IFERROR(VLOOKUP(D100,'04_Master Karyawan'!$A$5:$F$50,2,FALSE),"")</f>
        <v/>
      </c>
      <c r="F100" s="24"/>
      <c r="G100" s="26" t="str">
        <f>IFERROR(VLOOKUP(F100,'05_Master KPI'!$B$5:$G$100,2,FALSE)&amp;" ("&amp;VLOOKUP(F100,'05_Master KPI'!$B$5:$G$100,3,FALSE)&amp;")","")</f>
        <v/>
      </c>
      <c r="H100" s="26">
        <f>IFERROR(IF(B100&lt;&gt;'06_Target KPI'!$B$3,0,IF(VLOOKUP(F100,'05_Master KPI'!$B$5:$G$100,6,FALSE)="Kumulatif",INDEX('06_Target KPI'!$E$5:$P$100,MATCH(F100,'06_Target KPI'!$B$5:$B$100,0),MATCH(A100,'06_Target KPI'!$E$4:$P$4,0))*DAY(C100)/DAY(EOMONTH(C100,0)),INDEX('06_Target KPI'!$E$5:$P$100,MATCH(F100,'06_Target KPI'!$B$5:$B$100,0),MATCH(A100,'06_Target KPI'!$E$4:$P$4,0)))),0)</f>
        <v>0</v>
      </c>
      <c r="I100" s="24"/>
      <c r="J100" s="27">
        <f>IFERROR(MIN(IF(VLOOKUP(F100,'05_Master KPI'!$B$5:$G$100,5,FALSE)="Lower",H100/I100,I100/H100),1),0)</f>
        <v>0</v>
      </c>
      <c r="K100" s="26">
        <f>IFERROR(VLOOKUP(F100,'05_Master KPI'!$B$5:$G$100,4,FALSE),0)</f>
        <v>0</v>
      </c>
      <c r="L100" s="28">
        <f t="shared" si="1"/>
        <v>0</v>
      </c>
      <c r="M100" s="26" t="str">
        <f>IF(D100="","",IF(J100&gt;='13_Setting'!$H$7,"Tercapai",IF(J100&gt;='13_Setting'!$H$6,"On Track","Tertinggal")))</f>
        <v/>
      </c>
      <c r="N100" s="24"/>
    </row>
    <row r="101" spans="1:14">
      <c r="A101" s="24"/>
      <c r="B101" s="24"/>
      <c r="C101" s="25"/>
      <c r="D101" s="24"/>
      <c r="E101" s="26" t="str">
        <f>IFERROR(VLOOKUP(D101,'04_Master Karyawan'!$A$5:$F$50,2,FALSE),"")</f>
        <v/>
      </c>
      <c r="F101" s="24"/>
      <c r="G101" s="26" t="str">
        <f>IFERROR(VLOOKUP(F101,'05_Master KPI'!$B$5:$G$100,2,FALSE)&amp;" ("&amp;VLOOKUP(F101,'05_Master KPI'!$B$5:$G$100,3,FALSE)&amp;")","")</f>
        <v/>
      </c>
      <c r="H101" s="26">
        <f>IFERROR(IF(B101&lt;&gt;'06_Target KPI'!$B$3,0,IF(VLOOKUP(F101,'05_Master KPI'!$B$5:$G$100,6,FALSE)="Kumulatif",INDEX('06_Target KPI'!$E$5:$P$100,MATCH(F101,'06_Target KPI'!$B$5:$B$100,0),MATCH(A101,'06_Target KPI'!$E$4:$P$4,0))*DAY(C101)/DAY(EOMONTH(C101,0)),INDEX('06_Target KPI'!$E$5:$P$100,MATCH(F101,'06_Target KPI'!$B$5:$B$100,0),MATCH(A101,'06_Target KPI'!$E$4:$P$4,0)))),0)</f>
        <v>0</v>
      </c>
      <c r="I101" s="24"/>
      <c r="J101" s="27">
        <f>IFERROR(MIN(IF(VLOOKUP(F101,'05_Master KPI'!$B$5:$G$100,5,FALSE)="Lower",H101/I101,I101/H101),1),0)</f>
        <v>0</v>
      </c>
      <c r="K101" s="26">
        <f>IFERROR(VLOOKUP(F101,'05_Master KPI'!$B$5:$G$100,4,FALSE),0)</f>
        <v>0</v>
      </c>
      <c r="L101" s="28">
        <f t="shared" si="1"/>
        <v>0</v>
      </c>
      <c r="M101" s="26" t="str">
        <f>IF(D101="","",IF(J101&gt;='13_Setting'!$H$7,"Tercapai",IF(J101&gt;='13_Setting'!$H$6,"On Track","Tertinggal")))</f>
        <v/>
      </c>
      <c r="N101" s="24"/>
    </row>
    <row r="102" spans="1:14">
      <c r="A102" s="24"/>
      <c r="B102" s="24"/>
      <c r="C102" s="25"/>
      <c r="D102" s="24"/>
      <c r="E102" s="26" t="str">
        <f>IFERROR(VLOOKUP(D102,'04_Master Karyawan'!$A$5:$F$50,2,FALSE),"")</f>
        <v/>
      </c>
      <c r="F102" s="24"/>
      <c r="G102" s="26" t="str">
        <f>IFERROR(VLOOKUP(F102,'05_Master KPI'!$B$5:$G$100,2,FALSE)&amp;" ("&amp;VLOOKUP(F102,'05_Master KPI'!$B$5:$G$100,3,FALSE)&amp;")","")</f>
        <v/>
      </c>
      <c r="H102" s="26">
        <f>IFERROR(IF(B102&lt;&gt;'06_Target KPI'!$B$3,0,IF(VLOOKUP(F102,'05_Master KPI'!$B$5:$G$100,6,FALSE)="Kumulatif",INDEX('06_Target KPI'!$E$5:$P$100,MATCH(F102,'06_Target KPI'!$B$5:$B$100,0),MATCH(A102,'06_Target KPI'!$E$4:$P$4,0))*DAY(C102)/DAY(EOMONTH(C102,0)),INDEX('06_Target KPI'!$E$5:$P$100,MATCH(F102,'06_Target KPI'!$B$5:$B$100,0),MATCH(A102,'06_Target KPI'!$E$4:$P$4,0)))),0)</f>
        <v>0</v>
      </c>
      <c r="I102" s="24"/>
      <c r="J102" s="27">
        <f>IFERROR(MIN(IF(VLOOKUP(F102,'05_Master KPI'!$B$5:$G$100,5,FALSE)="Lower",H102/I102,I102/H102),1),0)</f>
        <v>0</v>
      </c>
      <c r="K102" s="26">
        <f>IFERROR(VLOOKUP(F102,'05_Master KPI'!$B$5:$G$100,4,FALSE),0)</f>
        <v>0</v>
      </c>
      <c r="L102" s="28">
        <f t="shared" si="1"/>
        <v>0</v>
      </c>
      <c r="M102" s="26" t="str">
        <f>IF(D102="","",IF(J102&gt;='13_Setting'!$H$7,"Tercapai",IF(J102&gt;='13_Setting'!$H$6,"On Track","Tertinggal")))</f>
        <v/>
      </c>
      <c r="N102" s="24"/>
    </row>
    <row r="103" spans="1:14">
      <c r="A103" s="24"/>
      <c r="B103" s="24"/>
      <c r="C103" s="25"/>
      <c r="D103" s="24"/>
      <c r="E103" s="26" t="str">
        <f>IFERROR(VLOOKUP(D103,'04_Master Karyawan'!$A$5:$F$50,2,FALSE),"")</f>
        <v/>
      </c>
      <c r="F103" s="24"/>
      <c r="G103" s="26" t="str">
        <f>IFERROR(VLOOKUP(F103,'05_Master KPI'!$B$5:$G$100,2,FALSE)&amp;" ("&amp;VLOOKUP(F103,'05_Master KPI'!$B$5:$G$100,3,FALSE)&amp;")","")</f>
        <v/>
      </c>
      <c r="H103" s="26">
        <f>IFERROR(IF(B103&lt;&gt;'06_Target KPI'!$B$3,0,IF(VLOOKUP(F103,'05_Master KPI'!$B$5:$G$100,6,FALSE)="Kumulatif",INDEX('06_Target KPI'!$E$5:$P$100,MATCH(F103,'06_Target KPI'!$B$5:$B$100,0),MATCH(A103,'06_Target KPI'!$E$4:$P$4,0))*DAY(C103)/DAY(EOMONTH(C103,0)),INDEX('06_Target KPI'!$E$5:$P$100,MATCH(F103,'06_Target KPI'!$B$5:$B$100,0),MATCH(A103,'06_Target KPI'!$E$4:$P$4,0)))),0)</f>
        <v>0</v>
      </c>
      <c r="I103" s="24"/>
      <c r="J103" s="27">
        <f>IFERROR(MIN(IF(VLOOKUP(F103,'05_Master KPI'!$B$5:$G$100,5,FALSE)="Lower",H103/I103,I103/H103),1),0)</f>
        <v>0</v>
      </c>
      <c r="K103" s="26">
        <f>IFERROR(VLOOKUP(F103,'05_Master KPI'!$B$5:$G$100,4,FALSE),0)</f>
        <v>0</v>
      </c>
      <c r="L103" s="28">
        <f t="shared" si="1"/>
        <v>0</v>
      </c>
      <c r="M103" s="26" t="str">
        <f>IF(D103="","",IF(J103&gt;='13_Setting'!$H$7,"Tercapai",IF(J103&gt;='13_Setting'!$H$6,"On Track","Tertinggal")))</f>
        <v/>
      </c>
      <c r="N103" s="24"/>
    </row>
    <row r="104" spans="1:14">
      <c r="A104" s="24"/>
      <c r="B104" s="24"/>
      <c r="C104" s="25"/>
      <c r="D104" s="24"/>
      <c r="E104" s="26" t="str">
        <f>IFERROR(VLOOKUP(D104,'04_Master Karyawan'!$A$5:$F$50,2,FALSE),"")</f>
        <v/>
      </c>
      <c r="F104" s="24"/>
      <c r="G104" s="26" t="str">
        <f>IFERROR(VLOOKUP(F104,'05_Master KPI'!$B$5:$G$100,2,FALSE)&amp;" ("&amp;VLOOKUP(F104,'05_Master KPI'!$B$5:$G$100,3,FALSE)&amp;")","")</f>
        <v/>
      </c>
      <c r="H104" s="26">
        <f>IFERROR(IF(B104&lt;&gt;'06_Target KPI'!$B$3,0,IF(VLOOKUP(F104,'05_Master KPI'!$B$5:$G$100,6,FALSE)="Kumulatif",INDEX('06_Target KPI'!$E$5:$P$100,MATCH(F104,'06_Target KPI'!$B$5:$B$100,0),MATCH(A104,'06_Target KPI'!$E$4:$P$4,0))*DAY(C104)/DAY(EOMONTH(C104,0)),INDEX('06_Target KPI'!$E$5:$P$100,MATCH(F104,'06_Target KPI'!$B$5:$B$100,0),MATCH(A104,'06_Target KPI'!$E$4:$P$4,0)))),0)</f>
        <v>0</v>
      </c>
      <c r="I104" s="24"/>
      <c r="J104" s="27">
        <f>IFERROR(MIN(IF(VLOOKUP(F104,'05_Master KPI'!$B$5:$G$100,5,FALSE)="Lower",H104/I104,I104/H104),1),0)</f>
        <v>0</v>
      </c>
      <c r="K104" s="26">
        <f>IFERROR(VLOOKUP(F104,'05_Master KPI'!$B$5:$G$100,4,FALSE),0)</f>
        <v>0</v>
      </c>
      <c r="L104" s="28">
        <f t="shared" si="1"/>
        <v>0</v>
      </c>
      <c r="M104" s="26" t="str">
        <f>IF(D104="","",IF(J104&gt;='13_Setting'!$H$7,"Tercapai",IF(J104&gt;='13_Setting'!$H$6,"On Track","Tertinggal")))</f>
        <v/>
      </c>
      <c r="N104" s="24"/>
    </row>
    <row r="105" spans="1:14">
      <c r="A105" s="24"/>
      <c r="B105" s="24"/>
      <c r="C105" s="25"/>
      <c r="D105" s="24"/>
      <c r="E105" s="26" t="str">
        <f>IFERROR(VLOOKUP(D105,'04_Master Karyawan'!$A$5:$F$50,2,FALSE),"")</f>
        <v/>
      </c>
      <c r="F105" s="24"/>
      <c r="G105" s="26" t="str">
        <f>IFERROR(VLOOKUP(F105,'05_Master KPI'!$B$5:$G$100,2,FALSE)&amp;" ("&amp;VLOOKUP(F105,'05_Master KPI'!$B$5:$G$100,3,FALSE)&amp;")","")</f>
        <v/>
      </c>
      <c r="H105" s="26">
        <f>IFERROR(IF(B105&lt;&gt;'06_Target KPI'!$B$3,0,IF(VLOOKUP(F105,'05_Master KPI'!$B$5:$G$100,6,FALSE)="Kumulatif",INDEX('06_Target KPI'!$E$5:$P$100,MATCH(F105,'06_Target KPI'!$B$5:$B$100,0),MATCH(A105,'06_Target KPI'!$E$4:$P$4,0))*DAY(C105)/DAY(EOMONTH(C105,0)),INDEX('06_Target KPI'!$E$5:$P$100,MATCH(F105,'06_Target KPI'!$B$5:$B$100,0),MATCH(A105,'06_Target KPI'!$E$4:$P$4,0)))),0)</f>
        <v>0</v>
      </c>
      <c r="I105" s="24"/>
      <c r="J105" s="27">
        <f>IFERROR(MIN(IF(VLOOKUP(F105,'05_Master KPI'!$B$5:$G$100,5,FALSE)="Lower",H105/I105,I105/H105),1),0)</f>
        <v>0</v>
      </c>
      <c r="K105" s="26">
        <f>IFERROR(VLOOKUP(F105,'05_Master KPI'!$B$5:$G$100,4,FALSE),0)</f>
        <v>0</v>
      </c>
      <c r="L105" s="28">
        <f t="shared" si="1"/>
        <v>0</v>
      </c>
      <c r="M105" s="26" t="str">
        <f>IF(D105="","",IF(J105&gt;='13_Setting'!$H$7,"Tercapai",IF(J105&gt;='13_Setting'!$H$6,"On Track","Tertinggal")))</f>
        <v/>
      </c>
      <c r="N105" s="24"/>
    </row>
    <row r="106" spans="1:14">
      <c r="A106" s="24"/>
      <c r="B106" s="24"/>
      <c r="C106" s="25"/>
      <c r="D106" s="24"/>
      <c r="E106" s="26" t="str">
        <f>IFERROR(VLOOKUP(D106,'04_Master Karyawan'!$A$5:$F$50,2,FALSE),"")</f>
        <v/>
      </c>
      <c r="F106" s="24"/>
      <c r="G106" s="26" t="str">
        <f>IFERROR(VLOOKUP(F106,'05_Master KPI'!$B$5:$G$100,2,FALSE)&amp;" ("&amp;VLOOKUP(F106,'05_Master KPI'!$B$5:$G$100,3,FALSE)&amp;")","")</f>
        <v/>
      </c>
      <c r="H106" s="26">
        <f>IFERROR(IF(B106&lt;&gt;'06_Target KPI'!$B$3,0,IF(VLOOKUP(F106,'05_Master KPI'!$B$5:$G$100,6,FALSE)="Kumulatif",INDEX('06_Target KPI'!$E$5:$P$100,MATCH(F106,'06_Target KPI'!$B$5:$B$100,0),MATCH(A106,'06_Target KPI'!$E$4:$P$4,0))*DAY(C106)/DAY(EOMONTH(C106,0)),INDEX('06_Target KPI'!$E$5:$P$100,MATCH(F106,'06_Target KPI'!$B$5:$B$100,0),MATCH(A106,'06_Target KPI'!$E$4:$P$4,0)))),0)</f>
        <v>0</v>
      </c>
      <c r="I106" s="24"/>
      <c r="J106" s="27">
        <f>IFERROR(MIN(IF(VLOOKUP(F106,'05_Master KPI'!$B$5:$G$100,5,FALSE)="Lower",H106/I106,I106/H106),1),0)</f>
        <v>0</v>
      </c>
      <c r="K106" s="26">
        <f>IFERROR(VLOOKUP(F106,'05_Master KPI'!$B$5:$G$100,4,FALSE),0)</f>
        <v>0</v>
      </c>
      <c r="L106" s="28">
        <f t="shared" si="1"/>
        <v>0</v>
      </c>
      <c r="M106" s="26" t="str">
        <f>IF(D106="","",IF(J106&gt;='13_Setting'!$H$7,"Tercapai",IF(J106&gt;='13_Setting'!$H$6,"On Track","Tertinggal")))</f>
        <v/>
      </c>
      <c r="N106" s="24"/>
    </row>
    <row r="107" spans="1:14">
      <c r="A107" s="24"/>
      <c r="B107" s="24"/>
      <c r="C107" s="25"/>
      <c r="D107" s="24"/>
      <c r="E107" s="26" t="str">
        <f>IFERROR(VLOOKUP(D107,'04_Master Karyawan'!$A$5:$F$50,2,FALSE),"")</f>
        <v/>
      </c>
      <c r="F107" s="24"/>
      <c r="G107" s="26" t="str">
        <f>IFERROR(VLOOKUP(F107,'05_Master KPI'!$B$5:$G$100,2,FALSE)&amp;" ("&amp;VLOOKUP(F107,'05_Master KPI'!$B$5:$G$100,3,FALSE)&amp;")","")</f>
        <v/>
      </c>
      <c r="H107" s="26">
        <f>IFERROR(IF(B107&lt;&gt;'06_Target KPI'!$B$3,0,IF(VLOOKUP(F107,'05_Master KPI'!$B$5:$G$100,6,FALSE)="Kumulatif",INDEX('06_Target KPI'!$E$5:$P$100,MATCH(F107,'06_Target KPI'!$B$5:$B$100,0),MATCH(A107,'06_Target KPI'!$E$4:$P$4,0))*DAY(C107)/DAY(EOMONTH(C107,0)),INDEX('06_Target KPI'!$E$5:$P$100,MATCH(F107,'06_Target KPI'!$B$5:$B$100,0),MATCH(A107,'06_Target KPI'!$E$4:$P$4,0)))),0)</f>
        <v>0</v>
      </c>
      <c r="I107" s="24"/>
      <c r="J107" s="27">
        <f>IFERROR(MIN(IF(VLOOKUP(F107,'05_Master KPI'!$B$5:$G$100,5,FALSE)="Lower",H107/I107,I107/H107),1),0)</f>
        <v>0</v>
      </c>
      <c r="K107" s="26">
        <f>IFERROR(VLOOKUP(F107,'05_Master KPI'!$B$5:$G$100,4,FALSE),0)</f>
        <v>0</v>
      </c>
      <c r="L107" s="28">
        <f t="shared" si="1"/>
        <v>0</v>
      </c>
      <c r="M107" s="26" t="str">
        <f>IF(D107="","",IF(J107&gt;='13_Setting'!$H$7,"Tercapai",IF(J107&gt;='13_Setting'!$H$6,"On Track","Tertinggal")))</f>
        <v/>
      </c>
      <c r="N107" s="24"/>
    </row>
    <row r="108" spans="1:14">
      <c r="A108" s="24"/>
      <c r="B108" s="24"/>
      <c r="C108" s="25"/>
      <c r="D108" s="24"/>
      <c r="E108" s="26" t="str">
        <f>IFERROR(VLOOKUP(D108,'04_Master Karyawan'!$A$5:$F$50,2,FALSE),"")</f>
        <v/>
      </c>
      <c r="F108" s="24"/>
      <c r="G108" s="26" t="str">
        <f>IFERROR(VLOOKUP(F108,'05_Master KPI'!$B$5:$G$100,2,FALSE)&amp;" ("&amp;VLOOKUP(F108,'05_Master KPI'!$B$5:$G$100,3,FALSE)&amp;")","")</f>
        <v/>
      </c>
      <c r="H108" s="26">
        <f>IFERROR(IF(B108&lt;&gt;'06_Target KPI'!$B$3,0,IF(VLOOKUP(F108,'05_Master KPI'!$B$5:$G$100,6,FALSE)="Kumulatif",INDEX('06_Target KPI'!$E$5:$P$100,MATCH(F108,'06_Target KPI'!$B$5:$B$100,0),MATCH(A108,'06_Target KPI'!$E$4:$P$4,0))*DAY(C108)/DAY(EOMONTH(C108,0)),INDEX('06_Target KPI'!$E$5:$P$100,MATCH(F108,'06_Target KPI'!$B$5:$B$100,0),MATCH(A108,'06_Target KPI'!$E$4:$P$4,0)))),0)</f>
        <v>0</v>
      </c>
      <c r="I108" s="24"/>
      <c r="J108" s="27">
        <f>IFERROR(MIN(IF(VLOOKUP(F108,'05_Master KPI'!$B$5:$G$100,5,FALSE)="Lower",H108/I108,I108/H108),1),0)</f>
        <v>0</v>
      </c>
      <c r="K108" s="26">
        <f>IFERROR(VLOOKUP(F108,'05_Master KPI'!$B$5:$G$100,4,FALSE),0)</f>
        <v>0</v>
      </c>
      <c r="L108" s="28">
        <f t="shared" si="1"/>
        <v>0</v>
      </c>
      <c r="M108" s="26" t="str">
        <f>IF(D108="","",IF(J108&gt;='13_Setting'!$H$7,"Tercapai",IF(J108&gt;='13_Setting'!$H$6,"On Track","Tertinggal")))</f>
        <v/>
      </c>
      <c r="N108" s="24"/>
    </row>
    <row r="109" spans="1:14">
      <c r="A109" s="24"/>
      <c r="B109" s="24"/>
      <c r="C109" s="25"/>
      <c r="D109" s="24"/>
      <c r="E109" s="26" t="str">
        <f>IFERROR(VLOOKUP(D109,'04_Master Karyawan'!$A$5:$F$50,2,FALSE),"")</f>
        <v/>
      </c>
      <c r="F109" s="24"/>
      <c r="G109" s="26" t="str">
        <f>IFERROR(VLOOKUP(F109,'05_Master KPI'!$B$5:$G$100,2,FALSE)&amp;" ("&amp;VLOOKUP(F109,'05_Master KPI'!$B$5:$G$100,3,FALSE)&amp;")","")</f>
        <v/>
      </c>
      <c r="H109" s="26">
        <f>IFERROR(IF(B109&lt;&gt;'06_Target KPI'!$B$3,0,IF(VLOOKUP(F109,'05_Master KPI'!$B$5:$G$100,6,FALSE)="Kumulatif",INDEX('06_Target KPI'!$E$5:$P$100,MATCH(F109,'06_Target KPI'!$B$5:$B$100,0),MATCH(A109,'06_Target KPI'!$E$4:$P$4,0))*DAY(C109)/DAY(EOMONTH(C109,0)),INDEX('06_Target KPI'!$E$5:$P$100,MATCH(F109,'06_Target KPI'!$B$5:$B$100,0),MATCH(A109,'06_Target KPI'!$E$4:$P$4,0)))),0)</f>
        <v>0</v>
      </c>
      <c r="I109" s="24"/>
      <c r="J109" s="27">
        <f>IFERROR(MIN(IF(VLOOKUP(F109,'05_Master KPI'!$B$5:$G$100,5,FALSE)="Lower",H109/I109,I109/H109),1),0)</f>
        <v>0</v>
      </c>
      <c r="K109" s="26">
        <f>IFERROR(VLOOKUP(F109,'05_Master KPI'!$B$5:$G$100,4,FALSE),0)</f>
        <v>0</v>
      </c>
      <c r="L109" s="28">
        <f t="shared" si="1"/>
        <v>0</v>
      </c>
      <c r="M109" s="26" t="str">
        <f>IF(D109="","",IF(J109&gt;='13_Setting'!$H$7,"Tercapai",IF(J109&gt;='13_Setting'!$H$6,"On Track","Tertinggal")))</f>
        <v/>
      </c>
      <c r="N109" s="24"/>
    </row>
    <row r="110" spans="1:14">
      <c r="A110" s="24"/>
      <c r="B110" s="24"/>
      <c r="C110" s="25"/>
      <c r="D110" s="24"/>
      <c r="E110" s="26" t="str">
        <f>IFERROR(VLOOKUP(D110,'04_Master Karyawan'!$A$5:$F$50,2,FALSE),"")</f>
        <v/>
      </c>
      <c r="F110" s="24"/>
      <c r="G110" s="26" t="str">
        <f>IFERROR(VLOOKUP(F110,'05_Master KPI'!$B$5:$G$100,2,FALSE)&amp;" ("&amp;VLOOKUP(F110,'05_Master KPI'!$B$5:$G$100,3,FALSE)&amp;")","")</f>
        <v/>
      </c>
      <c r="H110" s="26">
        <f>IFERROR(IF(B110&lt;&gt;'06_Target KPI'!$B$3,0,IF(VLOOKUP(F110,'05_Master KPI'!$B$5:$G$100,6,FALSE)="Kumulatif",INDEX('06_Target KPI'!$E$5:$P$100,MATCH(F110,'06_Target KPI'!$B$5:$B$100,0),MATCH(A110,'06_Target KPI'!$E$4:$P$4,0))*DAY(C110)/DAY(EOMONTH(C110,0)),INDEX('06_Target KPI'!$E$5:$P$100,MATCH(F110,'06_Target KPI'!$B$5:$B$100,0),MATCH(A110,'06_Target KPI'!$E$4:$P$4,0)))),0)</f>
        <v>0</v>
      </c>
      <c r="I110" s="24"/>
      <c r="J110" s="27">
        <f>IFERROR(MIN(IF(VLOOKUP(F110,'05_Master KPI'!$B$5:$G$100,5,FALSE)="Lower",H110/I110,I110/H110),1),0)</f>
        <v>0</v>
      </c>
      <c r="K110" s="26">
        <f>IFERROR(VLOOKUP(F110,'05_Master KPI'!$B$5:$G$100,4,FALSE),0)</f>
        <v>0</v>
      </c>
      <c r="L110" s="28">
        <f t="shared" si="1"/>
        <v>0</v>
      </c>
      <c r="M110" s="26" t="str">
        <f>IF(D110="","",IF(J110&gt;='13_Setting'!$H$7,"Tercapai",IF(J110&gt;='13_Setting'!$H$6,"On Track","Tertinggal")))</f>
        <v/>
      </c>
      <c r="N110" s="24"/>
    </row>
    <row r="111" spans="1:14">
      <c r="A111" s="24"/>
      <c r="B111" s="24"/>
      <c r="C111" s="25"/>
      <c r="D111" s="24"/>
      <c r="E111" s="26" t="str">
        <f>IFERROR(VLOOKUP(D111,'04_Master Karyawan'!$A$5:$F$50,2,FALSE),"")</f>
        <v/>
      </c>
      <c r="F111" s="24"/>
      <c r="G111" s="26" t="str">
        <f>IFERROR(VLOOKUP(F111,'05_Master KPI'!$B$5:$G$100,2,FALSE)&amp;" ("&amp;VLOOKUP(F111,'05_Master KPI'!$B$5:$G$100,3,FALSE)&amp;")","")</f>
        <v/>
      </c>
      <c r="H111" s="26">
        <f>IFERROR(IF(B111&lt;&gt;'06_Target KPI'!$B$3,0,IF(VLOOKUP(F111,'05_Master KPI'!$B$5:$G$100,6,FALSE)="Kumulatif",INDEX('06_Target KPI'!$E$5:$P$100,MATCH(F111,'06_Target KPI'!$B$5:$B$100,0),MATCH(A111,'06_Target KPI'!$E$4:$P$4,0))*DAY(C111)/DAY(EOMONTH(C111,0)),INDEX('06_Target KPI'!$E$5:$P$100,MATCH(F111,'06_Target KPI'!$B$5:$B$100,0),MATCH(A111,'06_Target KPI'!$E$4:$P$4,0)))),0)</f>
        <v>0</v>
      </c>
      <c r="I111" s="24"/>
      <c r="J111" s="27">
        <f>IFERROR(MIN(IF(VLOOKUP(F111,'05_Master KPI'!$B$5:$G$100,5,FALSE)="Lower",H111/I111,I111/H111),1),0)</f>
        <v>0</v>
      </c>
      <c r="K111" s="26">
        <f>IFERROR(VLOOKUP(F111,'05_Master KPI'!$B$5:$G$100,4,FALSE),0)</f>
        <v>0</v>
      </c>
      <c r="L111" s="28">
        <f t="shared" si="1"/>
        <v>0</v>
      </c>
      <c r="M111" s="26" t="str">
        <f>IF(D111="","",IF(J111&gt;='13_Setting'!$H$7,"Tercapai",IF(J111&gt;='13_Setting'!$H$6,"On Track","Tertinggal")))</f>
        <v/>
      </c>
      <c r="N111" s="24"/>
    </row>
    <row r="112" spans="1:14">
      <c r="A112" s="24"/>
      <c r="B112" s="24"/>
      <c r="C112" s="25"/>
      <c r="D112" s="24"/>
      <c r="E112" s="26" t="str">
        <f>IFERROR(VLOOKUP(D112,'04_Master Karyawan'!$A$5:$F$50,2,FALSE),"")</f>
        <v/>
      </c>
      <c r="F112" s="24"/>
      <c r="G112" s="26" t="str">
        <f>IFERROR(VLOOKUP(F112,'05_Master KPI'!$B$5:$G$100,2,FALSE)&amp;" ("&amp;VLOOKUP(F112,'05_Master KPI'!$B$5:$G$100,3,FALSE)&amp;")","")</f>
        <v/>
      </c>
      <c r="H112" s="26">
        <f>IFERROR(IF(B112&lt;&gt;'06_Target KPI'!$B$3,0,IF(VLOOKUP(F112,'05_Master KPI'!$B$5:$G$100,6,FALSE)="Kumulatif",INDEX('06_Target KPI'!$E$5:$P$100,MATCH(F112,'06_Target KPI'!$B$5:$B$100,0),MATCH(A112,'06_Target KPI'!$E$4:$P$4,0))*DAY(C112)/DAY(EOMONTH(C112,0)),INDEX('06_Target KPI'!$E$5:$P$100,MATCH(F112,'06_Target KPI'!$B$5:$B$100,0),MATCH(A112,'06_Target KPI'!$E$4:$P$4,0)))),0)</f>
        <v>0</v>
      </c>
      <c r="I112" s="24"/>
      <c r="J112" s="27">
        <f>IFERROR(MIN(IF(VLOOKUP(F112,'05_Master KPI'!$B$5:$G$100,5,FALSE)="Lower",H112/I112,I112/H112),1),0)</f>
        <v>0</v>
      </c>
      <c r="K112" s="26">
        <f>IFERROR(VLOOKUP(F112,'05_Master KPI'!$B$5:$G$100,4,FALSE),0)</f>
        <v>0</v>
      </c>
      <c r="L112" s="28">
        <f t="shared" si="1"/>
        <v>0</v>
      </c>
      <c r="M112" s="26" t="str">
        <f>IF(D112="","",IF(J112&gt;='13_Setting'!$H$7,"Tercapai",IF(J112&gt;='13_Setting'!$H$6,"On Track","Tertinggal")))</f>
        <v/>
      </c>
      <c r="N112" s="24"/>
    </row>
    <row r="113" spans="1:14">
      <c r="A113" s="24"/>
      <c r="B113" s="24"/>
      <c r="C113" s="25"/>
      <c r="D113" s="24"/>
      <c r="E113" s="26" t="str">
        <f>IFERROR(VLOOKUP(D113,'04_Master Karyawan'!$A$5:$F$50,2,FALSE),"")</f>
        <v/>
      </c>
      <c r="F113" s="24"/>
      <c r="G113" s="26" t="str">
        <f>IFERROR(VLOOKUP(F113,'05_Master KPI'!$B$5:$G$100,2,FALSE)&amp;" ("&amp;VLOOKUP(F113,'05_Master KPI'!$B$5:$G$100,3,FALSE)&amp;")","")</f>
        <v/>
      </c>
      <c r="H113" s="26">
        <f>IFERROR(IF(B113&lt;&gt;'06_Target KPI'!$B$3,0,IF(VLOOKUP(F113,'05_Master KPI'!$B$5:$G$100,6,FALSE)="Kumulatif",INDEX('06_Target KPI'!$E$5:$P$100,MATCH(F113,'06_Target KPI'!$B$5:$B$100,0),MATCH(A113,'06_Target KPI'!$E$4:$P$4,0))*DAY(C113)/DAY(EOMONTH(C113,0)),INDEX('06_Target KPI'!$E$5:$P$100,MATCH(F113,'06_Target KPI'!$B$5:$B$100,0),MATCH(A113,'06_Target KPI'!$E$4:$P$4,0)))),0)</f>
        <v>0</v>
      </c>
      <c r="I113" s="24"/>
      <c r="J113" s="27">
        <f>IFERROR(MIN(IF(VLOOKUP(F113,'05_Master KPI'!$B$5:$G$100,5,FALSE)="Lower",H113/I113,I113/H113),1),0)</f>
        <v>0</v>
      </c>
      <c r="K113" s="26">
        <f>IFERROR(VLOOKUP(F113,'05_Master KPI'!$B$5:$G$100,4,FALSE),0)</f>
        <v>0</v>
      </c>
      <c r="L113" s="28">
        <f t="shared" si="1"/>
        <v>0</v>
      </c>
      <c r="M113" s="26" t="str">
        <f>IF(D113="","",IF(J113&gt;='13_Setting'!$H$7,"Tercapai",IF(J113&gt;='13_Setting'!$H$6,"On Track","Tertinggal")))</f>
        <v/>
      </c>
      <c r="N113" s="24"/>
    </row>
    <row r="114" spans="1:14">
      <c r="A114" s="24"/>
      <c r="B114" s="24"/>
      <c r="C114" s="25"/>
      <c r="D114" s="24"/>
      <c r="E114" s="26" t="str">
        <f>IFERROR(VLOOKUP(D114,'04_Master Karyawan'!$A$5:$F$50,2,FALSE),"")</f>
        <v/>
      </c>
      <c r="F114" s="24"/>
      <c r="G114" s="26" t="str">
        <f>IFERROR(VLOOKUP(F114,'05_Master KPI'!$B$5:$G$100,2,FALSE)&amp;" ("&amp;VLOOKUP(F114,'05_Master KPI'!$B$5:$G$100,3,FALSE)&amp;")","")</f>
        <v/>
      </c>
      <c r="H114" s="26">
        <f>IFERROR(IF(B114&lt;&gt;'06_Target KPI'!$B$3,0,IF(VLOOKUP(F114,'05_Master KPI'!$B$5:$G$100,6,FALSE)="Kumulatif",INDEX('06_Target KPI'!$E$5:$P$100,MATCH(F114,'06_Target KPI'!$B$5:$B$100,0),MATCH(A114,'06_Target KPI'!$E$4:$P$4,0))*DAY(C114)/DAY(EOMONTH(C114,0)),INDEX('06_Target KPI'!$E$5:$P$100,MATCH(F114,'06_Target KPI'!$B$5:$B$100,0),MATCH(A114,'06_Target KPI'!$E$4:$P$4,0)))),0)</f>
        <v>0</v>
      </c>
      <c r="I114" s="24"/>
      <c r="J114" s="27">
        <f>IFERROR(MIN(IF(VLOOKUP(F114,'05_Master KPI'!$B$5:$G$100,5,FALSE)="Lower",H114/I114,I114/H114),1),0)</f>
        <v>0</v>
      </c>
      <c r="K114" s="26">
        <f>IFERROR(VLOOKUP(F114,'05_Master KPI'!$B$5:$G$100,4,FALSE),0)</f>
        <v>0</v>
      </c>
      <c r="L114" s="28">
        <f t="shared" si="1"/>
        <v>0</v>
      </c>
      <c r="M114" s="26" t="str">
        <f>IF(D114="","",IF(J114&gt;='13_Setting'!$H$7,"Tercapai",IF(J114&gt;='13_Setting'!$H$6,"On Track","Tertinggal")))</f>
        <v/>
      </c>
      <c r="N114" s="24"/>
    </row>
    <row r="115" spans="1:14">
      <c r="A115" s="24"/>
      <c r="B115" s="24"/>
      <c r="C115" s="25"/>
      <c r="D115" s="24"/>
      <c r="E115" s="26" t="str">
        <f>IFERROR(VLOOKUP(D115,'04_Master Karyawan'!$A$5:$F$50,2,FALSE),"")</f>
        <v/>
      </c>
      <c r="F115" s="24"/>
      <c r="G115" s="26" t="str">
        <f>IFERROR(VLOOKUP(F115,'05_Master KPI'!$B$5:$G$100,2,FALSE)&amp;" ("&amp;VLOOKUP(F115,'05_Master KPI'!$B$5:$G$100,3,FALSE)&amp;")","")</f>
        <v/>
      </c>
      <c r="H115" s="26">
        <f>IFERROR(IF(B115&lt;&gt;'06_Target KPI'!$B$3,0,IF(VLOOKUP(F115,'05_Master KPI'!$B$5:$G$100,6,FALSE)="Kumulatif",INDEX('06_Target KPI'!$E$5:$P$100,MATCH(F115,'06_Target KPI'!$B$5:$B$100,0),MATCH(A115,'06_Target KPI'!$E$4:$P$4,0))*DAY(C115)/DAY(EOMONTH(C115,0)),INDEX('06_Target KPI'!$E$5:$P$100,MATCH(F115,'06_Target KPI'!$B$5:$B$100,0),MATCH(A115,'06_Target KPI'!$E$4:$P$4,0)))),0)</f>
        <v>0</v>
      </c>
      <c r="I115" s="24"/>
      <c r="J115" s="27">
        <f>IFERROR(MIN(IF(VLOOKUP(F115,'05_Master KPI'!$B$5:$G$100,5,FALSE)="Lower",H115/I115,I115/H115),1),0)</f>
        <v>0</v>
      </c>
      <c r="K115" s="26">
        <f>IFERROR(VLOOKUP(F115,'05_Master KPI'!$B$5:$G$100,4,FALSE),0)</f>
        <v>0</v>
      </c>
      <c r="L115" s="28">
        <f t="shared" si="1"/>
        <v>0</v>
      </c>
      <c r="M115" s="26" t="str">
        <f>IF(D115="","",IF(J115&gt;='13_Setting'!$H$7,"Tercapai",IF(J115&gt;='13_Setting'!$H$6,"On Track","Tertinggal")))</f>
        <v/>
      </c>
      <c r="N115" s="24"/>
    </row>
    <row r="116" spans="1:14">
      <c r="A116" s="24"/>
      <c r="B116" s="24"/>
      <c r="C116" s="25"/>
      <c r="D116" s="24"/>
      <c r="E116" s="26" t="str">
        <f>IFERROR(VLOOKUP(D116,'04_Master Karyawan'!$A$5:$F$50,2,FALSE),"")</f>
        <v/>
      </c>
      <c r="F116" s="24"/>
      <c r="G116" s="26" t="str">
        <f>IFERROR(VLOOKUP(F116,'05_Master KPI'!$B$5:$G$100,2,FALSE)&amp;" ("&amp;VLOOKUP(F116,'05_Master KPI'!$B$5:$G$100,3,FALSE)&amp;")","")</f>
        <v/>
      </c>
      <c r="H116" s="26">
        <f>IFERROR(IF(B116&lt;&gt;'06_Target KPI'!$B$3,0,IF(VLOOKUP(F116,'05_Master KPI'!$B$5:$G$100,6,FALSE)="Kumulatif",INDEX('06_Target KPI'!$E$5:$P$100,MATCH(F116,'06_Target KPI'!$B$5:$B$100,0),MATCH(A116,'06_Target KPI'!$E$4:$P$4,0))*DAY(C116)/DAY(EOMONTH(C116,0)),INDEX('06_Target KPI'!$E$5:$P$100,MATCH(F116,'06_Target KPI'!$B$5:$B$100,0),MATCH(A116,'06_Target KPI'!$E$4:$P$4,0)))),0)</f>
        <v>0</v>
      </c>
      <c r="I116" s="24"/>
      <c r="J116" s="27">
        <f>IFERROR(MIN(IF(VLOOKUP(F116,'05_Master KPI'!$B$5:$G$100,5,FALSE)="Lower",H116/I116,I116/H116),1),0)</f>
        <v>0</v>
      </c>
      <c r="K116" s="26">
        <f>IFERROR(VLOOKUP(F116,'05_Master KPI'!$B$5:$G$100,4,FALSE),0)</f>
        <v>0</v>
      </c>
      <c r="L116" s="28">
        <f t="shared" si="1"/>
        <v>0</v>
      </c>
      <c r="M116" s="26" t="str">
        <f>IF(D116="","",IF(J116&gt;='13_Setting'!$H$7,"Tercapai",IF(J116&gt;='13_Setting'!$H$6,"On Track","Tertinggal")))</f>
        <v/>
      </c>
      <c r="N116" s="24"/>
    </row>
    <row r="117" spans="1:14">
      <c r="A117" s="24"/>
      <c r="B117" s="24"/>
      <c r="C117" s="25"/>
      <c r="D117" s="24"/>
      <c r="E117" s="26" t="str">
        <f>IFERROR(VLOOKUP(D117,'04_Master Karyawan'!$A$5:$F$50,2,FALSE),"")</f>
        <v/>
      </c>
      <c r="F117" s="24"/>
      <c r="G117" s="26" t="str">
        <f>IFERROR(VLOOKUP(F117,'05_Master KPI'!$B$5:$G$100,2,FALSE)&amp;" ("&amp;VLOOKUP(F117,'05_Master KPI'!$B$5:$G$100,3,FALSE)&amp;")","")</f>
        <v/>
      </c>
      <c r="H117" s="26">
        <f>IFERROR(IF(B117&lt;&gt;'06_Target KPI'!$B$3,0,IF(VLOOKUP(F117,'05_Master KPI'!$B$5:$G$100,6,FALSE)="Kumulatif",INDEX('06_Target KPI'!$E$5:$P$100,MATCH(F117,'06_Target KPI'!$B$5:$B$100,0),MATCH(A117,'06_Target KPI'!$E$4:$P$4,0))*DAY(C117)/DAY(EOMONTH(C117,0)),INDEX('06_Target KPI'!$E$5:$P$100,MATCH(F117,'06_Target KPI'!$B$5:$B$100,0),MATCH(A117,'06_Target KPI'!$E$4:$P$4,0)))),0)</f>
        <v>0</v>
      </c>
      <c r="I117" s="24"/>
      <c r="J117" s="27">
        <f>IFERROR(MIN(IF(VLOOKUP(F117,'05_Master KPI'!$B$5:$G$100,5,FALSE)="Lower",H117/I117,I117/H117),1),0)</f>
        <v>0</v>
      </c>
      <c r="K117" s="26">
        <f>IFERROR(VLOOKUP(F117,'05_Master KPI'!$B$5:$G$100,4,FALSE),0)</f>
        <v>0</v>
      </c>
      <c r="L117" s="28">
        <f t="shared" si="1"/>
        <v>0</v>
      </c>
      <c r="M117" s="26" t="str">
        <f>IF(D117="","",IF(J117&gt;='13_Setting'!$H$7,"Tercapai",IF(J117&gt;='13_Setting'!$H$6,"On Track","Tertinggal")))</f>
        <v/>
      </c>
      <c r="N117" s="24"/>
    </row>
    <row r="118" spans="1:14">
      <c r="A118" s="24"/>
      <c r="B118" s="24"/>
      <c r="C118" s="25"/>
      <c r="D118" s="24"/>
      <c r="E118" s="26" t="str">
        <f>IFERROR(VLOOKUP(D118,'04_Master Karyawan'!$A$5:$F$50,2,FALSE),"")</f>
        <v/>
      </c>
      <c r="F118" s="24"/>
      <c r="G118" s="26" t="str">
        <f>IFERROR(VLOOKUP(F118,'05_Master KPI'!$B$5:$G$100,2,FALSE)&amp;" ("&amp;VLOOKUP(F118,'05_Master KPI'!$B$5:$G$100,3,FALSE)&amp;")","")</f>
        <v/>
      </c>
      <c r="H118" s="26">
        <f>IFERROR(IF(B118&lt;&gt;'06_Target KPI'!$B$3,0,IF(VLOOKUP(F118,'05_Master KPI'!$B$5:$G$100,6,FALSE)="Kumulatif",INDEX('06_Target KPI'!$E$5:$P$100,MATCH(F118,'06_Target KPI'!$B$5:$B$100,0),MATCH(A118,'06_Target KPI'!$E$4:$P$4,0))*DAY(C118)/DAY(EOMONTH(C118,0)),INDEX('06_Target KPI'!$E$5:$P$100,MATCH(F118,'06_Target KPI'!$B$5:$B$100,0),MATCH(A118,'06_Target KPI'!$E$4:$P$4,0)))),0)</f>
        <v>0</v>
      </c>
      <c r="I118" s="24"/>
      <c r="J118" s="27">
        <f>IFERROR(MIN(IF(VLOOKUP(F118,'05_Master KPI'!$B$5:$G$100,5,FALSE)="Lower",H118/I118,I118/H118),1),0)</f>
        <v>0</v>
      </c>
      <c r="K118" s="26">
        <f>IFERROR(VLOOKUP(F118,'05_Master KPI'!$B$5:$G$100,4,FALSE),0)</f>
        <v>0</v>
      </c>
      <c r="L118" s="28">
        <f t="shared" si="1"/>
        <v>0</v>
      </c>
      <c r="M118" s="26" t="str">
        <f>IF(D118="","",IF(J118&gt;='13_Setting'!$H$7,"Tercapai",IF(J118&gt;='13_Setting'!$H$6,"On Track","Tertinggal")))</f>
        <v/>
      </c>
      <c r="N118" s="24"/>
    </row>
    <row r="119" spans="1:14">
      <c r="A119" s="24"/>
      <c r="B119" s="24"/>
      <c r="C119" s="25"/>
      <c r="D119" s="24"/>
      <c r="E119" s="26" t="str">
        <f>IFERROR(VLOOKUP(D119,'04_Master Karyawan'!$A$5:$F$50,2,FALSE),"")</f>
        <v/>
      </c>
      <c r="F119" s="24"/>
      <c r="G119" s="26" t="str">
        <f>IFERROR(VLOOKUP(F119,'05_Master KPI'!$B$5:$G$100,2,FALSE)&amp;" ("&amp;VLOOKUP(F119,'05_Master KPI'!$B$5:$G$100,3,FALSE)&amp;")","")</f>
        <v/>
      </c>
      <c r="H119" s="26">
        <f>IFERROR(IF(B119&lt;&gt;'06_Target KPI'!$B$3,0,IF(VLOOKUP(F119,'05_Master KPI'!$B$5:$G$100,6,FALSE)="Kumulatif",INDEX('06_Target KPI'!$E$5:$P$100,MATCH(F119,'06_Target KPI'!$B$5:$B$100,0),MATCH(A119,'06_Target KPI'!$E$4:$P$4,0))*DAY(C119)/DAY(EOMONTH(C119,0)),INDEX('06_Target KPI'!$E$5:$P$100,MATCH(F119,'06_Target KPI'!$B$5:$B$100,0),MATCH(A119,'06_Target KPI'!$E$4:$P$4,0)))),0)</f>
        <v>0</v>
      </c>
      <c r="I119" s="24"/>
      <c r="J119" s="27">
        <f>IFERROR(MIN(IF(VLOOKUP(F119,'05_Master KPI'!$B$5:$G$100,5,FALSE)="Lower",H119/I119,I119/H119),1),0)</f>
        <v>0</v>
      </c>
      <c r="K119" s="26">
        <f>IFERROR(VLOOKUP(F119,'05_Master KPI'!$B$5:$G$100,4,FALSE),0)</f>
        <v>0</v>
      </c>
      <c r="L119" s="28">
        <f t="shared" si="1"/>
        <v>0</v>
      </c>
      <c r="M119" s="26" t="str">
        <f>IF(D119="","",IF(J119&gt;='13_Setting'!$H$7,"Tercapai",IF(J119&gt;='13_Setting'!$H$6,"On Track","Tertinggal")))</f>
        <v/>
      </c>
      <c r="N119" s="24"/>
    </row>
    <row r="120" spans="1:14">
      <c r="A120" s="24"/>
      <c r="B120" s="24"/>
      <c r="C120" s="25"/>
      <c r="D120" s="24"/>
      <c r="E120" s="26" t="str">
        <f>IFERROR(VLOOKUP(D120,'04_Master Karyawan'!$A$5:$F$50,2,FALSE),"")</f>
        <v/>
      </c>
      <c r="F120" s="24"/>
      <c r="G120" s="26" t="str">
        <f>IFERROR(VLOOKUP(F120,'05_Master KPI'!$B$5:$G$100,2,FALSE)&amp;" ("&amp;VLOOKUP(F120,'05_Master KPI'!$B$5:$G$100,3,FALSE)&amp;")","")</f>
        <v/>
      </c>
      <c r="H120" s="26">
        <f>IFERROR(IF(B120&lt;&gt;'06_Target KPI'!$B$3,0,IF(VLOOKUP(F120,'05_Master KPI'!$B$5:$G$100,6,FALSE)="Kumulatif",INDEX('06_Target KPI'!$E$5:$P$100,MATCH(F120,'06_Target KPI'!$B$5:$B$100,0),MATCH(A120,'06_Target KPI'!$E$4:$P$4,0))*DAY(C120)/DAY(EOMONTH(C120,0)),INDEX('06_Target KPI'!$E$5:$P$100,MATCH(F120,'06_Target KPI'!$B$5:$B$100,0),MATCH(A120,'06_Target KPI'!$E$4:$P$4,0)))),0)</f>
        <v>0</v>
      </c>
      <c r="I120" s="24"/>
      <c r="J120" s="27">
        <f>IFERROR(MIN(IF(VLOOKUP(F120,'05_Master KPI'!$B$5:$G$100,5,FALSE)="Lower",H120/I120,I120/H120),1),0)</f>
        <v>0</v>
      </c>
      <c r="K120" s="26">
        <f>IFERROR(VLOOKUP(F120,'05_Master KPI'!$B$5:$G$100,4,FALSE),0)</f>
        <v>0</v>
      </c>
      <c r="L120" s="28">
        <f t="shared" si="1"/>
        <v>0</v>
      </c>
      <c r="M120" s="26" t="str">
        <f>IF(D120="","",IF(J120&gt;='13_Setting'!$H$7,"Tercapai",IF(J120&gt;='13_Setting'!$H$6,"On Track","Tertinggal")))</f>
        <v/>
      </c>
      <c r="N120" s="24"/>
    </row>
    <row r="121" spans="1:14">
      <c r="A121" s="24"/>
      <c r="B121" s="24"/>
      <c r="C121" s="25"/>
      <c r="D121" s="24"/>
      <c r="E121" s="26" t="str">
        <f>IFERROR(VLOOKUP(D121,'04_Master Karyawan'!$A$5:$F$50,2,FALSE),"")</f>
        <v/>
      </c>
      <c r="F121" s="24"/>
      <c r="G121" s="26" t="str">
        <f>IFERROR(VLOOKUP(F121,'05_Master KPI'!$B$5:$G$100,2,FALSE)&amp;" ("&amp;VLOOKUP(F121,'05_Master KPI'!$B$5:$G$100,3,FALSE)&amp;")","")</f>
        <v/>
      </c>
      <c r="H121" s="26">
        <f>IFERROR(IF(B121&lt;&gt;'06_Target KPI'!$B$3,0,IF(VLOOKUP(F121,'05_Master KPI'!$B$5:$G$100,6,FALSE)="Kumulatif",INDEX('06_Target KPI'!$E$5:$P$100,MATCH(F121,'06_Target KPI'!$B$5:$B$100,0),MATCH(A121,'06_Target KPI'!$E$4:$P$4,0))*DAY(C121)/DAY(EOMONTH(C121,0)),INDEX('06_Target KPI'!$E$5:$P$100,MATCH(F121,'06_Target KPI'!$B$5:$B$100,0),MATCH(A121,'06_Target KPI'!$E$4:$P$4,0)))),0)</f>
        <v>0</v>
      </c>
      <c r="I121" s="24"/>
      <c r="J121" s="27">
        <f>IFERROR(MIN(IF(VLOOKUP(F121,'05_Master KPI'!$B$5:$G$100,5,FALSE)="Lower",H121/I121,I121/H121),1),0)</f>
        <v>0</v>
      </c>
      <c r="K121" s="26">
        <f>IFERROR(VLOOKUP(F121,'05_Master KPI'!$B$5:$G$100,4,FALSE),0)</f>
        <v>0</v>
      </c>
      <c r="L121" s="28">
        <f t="shared" si="1"/>
        <v>0</v>
      </c>
      <c r="M121" s="26" t="str">
        <f>IF(D121="","",IF(J121&gt;='13_Setting'!$H$7,"Tercapai",IF(J121&gt;='13_Setting'!$H$6,"On Track","Tertinggal")))</f>
        <v/>
      </c>
      <c r="N121" s="24"/>
    </row>
    <row r="122" spans="1:14">
      <c r="A122" s="24"/>
      <c r="B122" s="24"/>
      <c r="C122" s="25"/>
      <c r="D122" s="24"/>
      <c r="E122" s="26" t="str">
        <f>IFERROR(VLOOKUP(D122,'04_Master Karyawan'!$A$5:$F$50,2,FALSE),"")</f>
        <v/>
      </c>
      <c r="F122" s="24"/>
      <c r="G122" s="26" t="str">
        <f>IFERROR(VLOOKUP(F122,'05_Master KPI'!$B$5:$G$100,2,FALSE)&amp;" ("&amp;VLOOKUP(F122,'05_Master KPI'!$B$5:$G$100,3,FALSE)&amp;")","")</f>
        <v/>
      </c>
      <c r="H122" s="26">
        <f>IFERROR(IF(B122&lt;&gt;'06_Target KPI'!$B$3,0,IF(VLOOKUP(F122,'05_Master KPI'!$B$5:$G$100,6,FALSE)="Kumulatif",INDEX('06_Target KPI'!$E$5:$P$100,MATCH(F122,'06_Target KPI'!$B$5:$B$100,0),MATCH(A122,'06_Target KPI'!$E$4:$P$4,0))*DAY(C122)/DAY(EOMONTH(C122,0)),INDEX('06_Target KPI'!$E$5:$P$100,MATCH(F122,'06_Target KPI'!$B$5:$B$100,0),MATCH(A122,'06_Target KPI'!$E$4:$P$4,0)))),0)</f>
        <v>0</v>
      </c>
      <c r="I122" s="24"/>
      <c r="J122" s="27">
        <f>IFERROR(MIN(IF(VLOOKUP(F122,'05_Master KPI'!$B$5:$G$100,5,FALSE)="Lower",H122/I122,I122/H122),1),0)</f>
        <v>0</v>
      </c>
      <c r="K122" s="26">
        <f>IFERROR(VLOOKUP(F122,'05_Master KPI'!$B$5:$G$100,4,FALSE),0)</f>
        <v>0</v>
      </c>
      <c r="L122" s="28">
        <f t="shared" si="1"/>
        <v>0</v>
      </c>
      <c r="M122" s="26" t="str">
        <f>IF(D122="","",IF(J122&gt;='13_Setting'!$H$7,"Tercapai",IF(J122&gt;='13_Setting'!$H$6,"On Track","Tertinggal")))</f>
        <v/>
      </c>
      <c r="N122" s="24"/>
    </row>
    <row r="123" spans="1:14">
      <c r="A123" s="24"/>
      <c r="B123" s="24"/>
      <c r="C123" s="25"/>
      <c r="D123" s="24"/>
      <c r="E123" s="26" t="str">
        <f>IFERROR(VLOOKUP(D123,'04_Master Karyawan'!$A$5:$F$50,2,FALSE),"")</f>
        <v/>
      </c>
      <c r="F123" s="24"/>
      <c r="G123" s="26" t="str">
        <f>IFERROR(VLOOKUP(F123,'05_Master KPI'!$B$5:$G$100,2,FALSE)&amp;" ("&amp;VLOOKUP(F123,'05_Master KPI'!$B$5:$G$100,3,FALSE)&amp;")","")</f>
        <v/>
      </c>
      <c r="H123" s="26">
        <f>IFERROR(IF(B123&lt;&gt;'06_Target KPI'!$B$3,0,IF(VLOOKUP(F123,'05_Master KPI'!$B$5:$G$100,6,FALSE)="Kumulatif",INDEX('06_Target KPI'!$E$5:$P$100,MATCH(F123,'06_Target KPI'!$B$5:$B$100,0),MATCH(A123,'06_Target KPI'!$E$4:$P$4,0))*DAY(C123)/DAY(EOMONTH(C123,0)),INDEX('06_Target KPI'!$E$5:$P$100,MATCH(F123,'06_Target KPI'!$B$5:$B$100,0),MATCH(A123,'06_Target KPI'!$E$4:$P$4,0)))),0)</f>
        <v>0</v>
      </c>
      <c r="I123" s="24"/>
      <c r="J123" s="27">
        <f>IFERROR(MIN(IF(VLOOKUP(F123,'05_Master KPI'!$B$5:$G$100,5,FALSE)="Lower",H123/I123,I123/H123),1),0)</f>
        <v>0</v>
      </c>
      <c r="K123" s="26">
        <f>IFERROR(VLOOKUP(F123,'05_Master KPI'!$B$5:$G$100,4,FALSE),0)</f>
        <v>0</v>
      </c>
      <c r="L123" s="28">
        <f t="shared" si="1"/>
        <v>0</v>
      </c>
      <c r="M123" s="26" t="str">
        <f>IF(D123="","",IF(J123&gt;='13_Setting'!$H$7,"Tercapai",IF(J123&gt;='13_Setting'!$H$6,"On Track","Tertinggal")))</f>
        <v/>
      </c>
      <c r="N123" s="24"/>
    </row>
    <row r="124" spans="1:14">
      <c r="A124" s="24"/>
      <c r="B124" s="24"/>
      <c r="C124" s="25"/>
      <c r="D124" s="24"/>
      <c r="E124" s="26" t="str">
        <f>IFERROR(VLOOKUP(D124,'04_Master Karyawan'!$A$5:$F$50,2,FALSE),"")</f>
        <v/>
      </c>
      <c r="F124" s="24"/>
      <c r="G124" s="26" t="str">
        <f>IFERROR(VLOOKUP(F124,'05_Master KPI'!$B$5:$G$100,2,FALSE)&amp;" ("&amp;VLOOKUP(F124,'05_Master KPI'!$B$5:$G$100,3,FALSE)&amp;")","")</f>
        <v/>
      </c>
      <c r="H124" s="26">
        <f>IFERROR(IF(B124&lt;&gt;'06_Target KPI'!$B$3,0,IF(VLOOKUP(F124,'05_Master KPI'!$B$5:$G$100,6,FALSE)="Kumulatif",INDEX('06_Target KPI'!$E$5:$P$100,MATCH(F124,'06_Target KPI'!$B$5:$B$100,0),MATCH(A124,'06_Target KPI'!$E$4:$P$4,0))*DAY(C124)/DAY(EOMONTH(C124,0)),INDEX('06_Target KPI'!$E$5:$P$100,MATCH(F124,'06_Target KPI'!$B$5:$B$100,0),MATCH(A124,'06_Target KPI'!$E$4:$P$4,0)))),0)</f>
        <v>0</v>
      </c>
      <c r="I124" s="24"/>
      <c r="J124" s="27">
        <f>IFERROR(MIN(IF(VLOOKUP(F124,'05_Master KPI'!$B$5:$G$100,5,FALSE)="Lower",H124/I124,I124/H124),1),0)</f>
        <v>0</v>
      </c>
      <c r="K124" s="26">
        <f>IFERROR(VLOOKUP(F124,'05_Master KPI'!$B$5:$G$100,4,FALSE),0)</f>
        <v>0</v>
      </c>
      <c r="L124" s="28">
        <f t="shared" si="1"/>
        <v>0</v>
      </c>
      <c r="M124" s="26" t="str">
        <f>IF(D124="","",IF(J124&gt;='13_Setting'!$H$7,"Tercapai",IF(J124&gt;='13_Setting'!$H$6,"On Track","Tertinggal")))</f>
        <v/>
      </c>
      <c r="N124" s="24"/>
    </row>
    <row r="125" spans="1:14">
      <c r="A125" s="24"/>
      <c r="B125" s="24"/>
      <c r="C125" s="25"/>
      <c r="D125" s="24"/>
      <c r="E125" s="26" t="str">
        <f>IFERROR(VLOOKUP(D125,'04_Master Karyawan'!$A$5:$F$50,2,FALSE),"")</f>
        <v/>
      </c>
      <c r="F125" s="24"/>
      <c r="G125" s="26" t="str">
        <f>IFERROR(VLOOKUP(F125,'05_Master KPI'!$B$5:$G$100,2,FALSE)&amp;" ("&amp;VLOOKUP(F125,'05_Master KPI'!$B$5:$G$100,3,FALSE)&amp;")","")</f>
        <v/>
      </c>
      <c r="H125" s="26">
        <f>IFERROR(IF(B125&lt;&gt;'06_Target KPI'!$B$3,0,IF(VLOOKUP(F125,'05_Master KPI'!$B$5:$G$100,6,FALSE)="Kumulatif",INDEX('06_Target KPI'!$E$5:$P$100,MATCH(F125,'06_Target KPI'!$B$5:$B$100,0),MATCH(A125,'06_Target KPI'!$E$4:$P$4,0))*DAY(C125)/DAY(EOMONTH(C125,0)),INDEX('06_Target KPI'!$E$5:$P$100,MATCH(F125,'06_Target KPI'!$B$5:$B$100,0),MATCH(A125,'06_Target KPI'!$E$4:$P$4,0)))),0)</f>
        <v>0</v>
      </c>
      <c r="I125" s="24"/>
      <c r="J125" s="27">
        <f>IFERROR(MIN(IF(VLOOKUP(F125,'05_Master KPI'!$B$5:$G$100,5,FALSE)="Lower",H125/I125,I125/H125),1),0)</f>
        <v>0</v>
      </c>
      <c r="K125" s="26">
        <f>IFERROR(VLOOKUP(F125,'05_Master KPI'!$B$5:$G$100,4,FALSE),0)</f>
        <v>0</v>
      </c>
      <c r="L125" s="28">
        <f t="shared" si="1"/>
        <v>0</v>
      </c>
      <c r="M125" s="26" t="str">
        <f>IF(D125="","",IF(J125&gt;='13_Setting'!$H$7,"Tercapai",IF(J125&gt;='13_Setting'!$H$6,"On Track","Tertinggal")))</f>
        <v/>
      </c>
      <c r="N125" s="24"/>
    </row>
    <row r="126" spans="1:14">
      <c r="A126" s="24"/>
      <c r="B126" s="24"/>
      <c r="C126" s="25"/>
      <c r="D126" s="24"/>
      <c r="E126" s="26" t="str">
        <f>IFERROR(VLOOKUP(D126,'04_Master Karyawan'!$A$5:$F$50,2,FALSE),"")</f>
        <v/>
      </c>
      <c r="F126" s="24"/>
      <c r="G126" s="26" t="str">
        <f>IFERROR(VLOOKUP(F126,'05_Master KPI'!$B$5:$G$100,2,FALSE)&amp;" ("&amp;VLOOKUP(F126,'05_Master KPI'!$B$5:$G$100,3,FALSE)&amp;")","")</f>
        <v/>
      </c>
      <c r="H126" s="26">
        <f>IFERROR(IF(B126&lt;&gt;'06_Target KPI'!$B$3,0,IF(VLOOKUP(F126,'05_Master KPI'!$B$5:$G$100,6,FALSE)="Kumulatif",INDEX('06_Target KPI'!$E$5:$P$100,MATCH(F126,'06_Target KPI'!$B$5:$B$100,0),MATCH(A126,'06_Target KPI'!$E$4:$P$4,0))*DAY(C126)/DAY(EOMONTH(C126,0)),INDEX('06_Target KPI'!$E$5:$P$100,MATCH(F126,'06_Target KPI'!$B$5:$B$100,0),MATCH(A126,'06_Target KPI'!$E$4:$P$4,0)))),0)</f>
        <v>0</v>
      </c>
      <c r="I126" s="24"/>
      <c r="J126" s="27">
        <f>IFERROR(MIN(IF(VLOOKUP(F126,'05_Master KPI'!$B$5:$G$100,5,FALSE)="Lower",H126/I126,I126/H126),1),0)</f>
        <v>0</v>
      </c>
      <c r="K126" s="26">
        <f>IFERROR(VLOOKUP(F126,'05_Master KPI'!$B$5:$G$100,4,FALSE),0)</f>
        <v>0</v>
      </c>
      <c r="L126" s="28">
        <f t="shared" si="1"/>
        <v>0</v>
      </c>
      <c r="M126" s="26" t="str">
        <f>IF(D126="","",IF(J126&gt;='13_Setting'!$H$7,"Tercapai",IF(J126&gt;='13_Setting'!$H$6,"On Track","Tertinggal")))</f>
        <v/>
      </c>
      <c r="N126" s="24"/>
    </row>
    <row r="127" spans="1:14">
      <c r="A127" s="24"/>
      <c r="B127" s="24"/>
      <c r="C127" s="25"/>
      <c r="D127" s="24"/>
      <c r="E127" s="26" t="str">
        <f>IFERROR(VLOOKUP(D127,'04_Master Karyawan'!$A$5:$F$50,2,FALSE),"")</f>
        <v/>
      </c>
      <c r="F127" s="24"/>
      <c r="G127" s="26" t="str">
        <f>IFERROR(VLOOKUP(F127,'05_Master KPI'!$B$5:$G$100,2,FALSE)&amp;" ("&amp;VLOOKUP(F127,'05_Master KPI'!$B$5:$G$100,3,FALSE)&amp;")","")</f>
        <v/>
      </c>
      <c r="H127" s="26">
        <f>IFERROR(IF(B127&lt;&gt;'06_Target KPI'!$B$3,0,IF(VLOOKUP(F127,'05_Master KPI'!$B$5:$G$100,6,FALSE)="Kumulatif",INDEX('06_Target KPI'!$E$5:$P$100,MATCH(F127,'06_Target KPI'!$B$5:$B$100,0),MATCH(A127,'06_Target KPI'!$E$4:$P$4,0))*DAY(C127)/DAY(EOMONTH(C127,0)),INDEX('06_Target KPI'!$E$5:$P$100,MATCH(F127,'06_Target KPI'!$B$5:$B$100,0),MATCH(A127,'06_Target KPI'!$E$4:$P$4,0)))),0)</f>
        <v>0</v>
      </c>
      <c r="I127" s="24"/>
      <c r="J127" s="27">
        <f>IFERROR(MIN(IF(VLOOKUP(F127,'05_Master KPI'!$B$5:$G$100,5,FALSE)="Lower",H127/I127,I127/H127),1),0)</f>
        <v>0</v>
      </c>
      <c r="K127" s="26">
        <f>IFERROR(VLOOKUP(F127,'05_Master KPI'!$B$5:$G$100,4,FALSE),0)</f>
        <v>0</v>
      </c>
      <c r="L127" s="28">
        <f t="shared" si="1"/>
        <v>0</v>
      </c>
      <c r="M127" s="26" t="str">
        <f>IF(D127="","",IF(J127&gt;='13_Setting'!$H$7,"Tercapai",IF(J127&gt;='13_Setting'!$H$6,"On Track","Tertinggal")))</f>
        <v/>
      </c>
      <c r="N127" s="24"/>
    </row>
    <row r="128" spans="1:14">
      <c r="A128" s="24"/>
      <c r="B128" s="24"/>
      <c r="C128" s="25"/>
      <c r="D128" s="24"/>
      <c r="E128" s="26" t="str">
        <f>IFERROR(VLOOKUP(D128,'04_Master Karyawan'!$A$5:$F$50,2,FALSE),"")</f>
        <v/>
      </c>
      <c r="F128" s="24"/>
      <c r="G128" s="26" t="str">
        <f>IFERROR(VLOOKUP(F128,'05_Master KPI'!$B$5:$G$100,2,FALSE)&amp;" ("&amp;VLOOKUP(F128,'05_Master KPI'!$B$5:$G$100,3,FALSE)&amp;")","")</f>
        <v/>
      </c>
      <c r="H128" s="26">
        <f>IFERROR(IF(B128&lt;&gt;'06_Target KPI'!$B$3,0,IF(VLOOKUP(F128,'05_Master KPI'!$B$5:$G$100,6,FALSE)="Kumulatif",INDEX('06_Target KPI'!$E$5:$P$100,MATCH(F128,'06_Target KPI'!$B$5:$B$100,0),MATCH(A128,'06_Target KPI'!$E$4:$P$4,0))*DAY(C128)/DAY(EOMONTH(C128,0)),INDEX('06_Target KPI'!$E$5:$P$100,MATCH(F128,'06_Target KPI'!$B$5:$B$100,0),MATCH(A128,'06_Target KPI'!$E$4:$P$4,0)))),0)</f>
        <v>0</v>
      </c>
      <c r="I128" s="24"/>
      <c r="J128" s="27">
        <f>IFERROR(MIN(IF(VLOOKUP(F128,'05_Master KPI'!$B$5:$G$100,5,FALSE)="Lower",H128/I128,I128/H128),1),0)</f>
        <v>0</v>
      </c>
      <c r="K128" s="26">
        <f>IFERROR(VLOOKUP(F128,'05_Master KPI'!$B$5:$G$100,4,FALSE),0)</f>
        <v>0</v>
      </c>
      <c r="L128" s="28">
        <f t="shared" si="1"/>
        <v>0</v>
      </c>
      <c r="M128" s="26" t="str">
        <f>IF(D128="","",IF(J128&gt;='13_Setting'!$H$7,"Tercapai",IF(J128&gt;='13_Setting'!$H$6,"On Track","Tertinggal")))</f>
        <v/>
      </c>
      <c r="N128" s="24"/>
    </row>
    <row r="129" spans="1:14">
      <c r="A129" s="24"/>
      <c r="B129" s="24"/>
      <c r="C129" s="25"/>
      <c r="D129" s="24"/>
      <c r="E129" s="26" t="str">
        <f>IFERROR(VLOOKUP(D129,'04_Master Karyawan'!$A$5:$F$50,2,FALSE),"")</f>
        <v/>
      </c>
      <c r="F129" s="24"/>
      <c r="G129" s="26" t="str">
        <f>IFERROR(VLOOKUP(F129,'05_Master KPI'!$B$5:$G$100,2,FALSE)&amp;" ("&amp;VLOOKUP(F129,'05_Master KPI'!$B$5:$G$100,3,FALSE)&amp;")","")</f>
        <v/>
      </c>
      <c r="H129" s="26">
        <f>IFERROR(IF(B129&lt;&gt;'06_Target KPI'!$B$3,0,IF(VLOOKUP(F129,'05_Master KPI'!$B$5:$G$100,6,FALSE)="Kumulatif",INDEX('06_Target KPI'!$E$5:$P$100,MATCH(F129,'06_Target KPI'!$B$5:$B$100,0),MATCH(A129,'06_Target KPI'!$E$4:$P$4,0))*DAY(C129)/DAY(EOMONTH(C129,0)),INDEX('06_Target KPI'!$E$5:$P$100,MATCH(F129,'06_Target KPI'!$B$5:$B$100,0),MATCH(A129,'06_Target KPI'!$E$4:$P$4,0)))),0)</f>
        <v>0</v>
      </c>
      <c r="I129" s="24"/>
      <c r="J129" s="27">
        <f>IFERROR(MIN(IF(VLOOKUP(F129,'05_Master KPI'!$B$5:$G$100,5,FALSE)="Lower",H129/I129,I129/H129),1),0)</f>
        <v>0</v>
      </c>
      <c r="K129" s="26">
        <f>IFERROR(VLOOKUP(F129,'05_Master KPI'!$B$5:$G$100,4,FALSE),0)</f>
        <v>0</v>
      </c>
      <c r="L129" s="28">
        <f t="shared" si="1"/>
        <v>0</v>
      </c>
      <c r="M129" s="26" t="str">
        <f>IF(D129="","",IF(J129&gt;='13_Setting'!$H$7,"Tercapai",IF(J129&gt;='13_Setting'!$H$6,"On Track","Tertinggal")))</f>
        <v/>
      </c>
      <c r="N129" s="24"/>
    </row>
    <row r="130" spans="1:14">
      <c r="A130" s="24"/>
      <c r="B130" s="24"/>
      <c r="C130" s="25"/>
      <c r="D130" s="24"/>
      <c r="E130" s="26" t="str">
        <f>IFERROR(VLOOKUP(D130,'04_Master Karyawan'!$A$5:$F$50,2,FALSE),"")</f>
        <v/>
      </c>
      <c r="F130" s="24"/>
      <c r="G130" s="26" t="str">
        <f>IFERROR(VLOOKUP(F130,'05_Master KPI'!$B$5:$G$100,2,FALSE)&amp;" ("&amp;VLOOKUP(F130,'05_Master KPI'!$B$5:$G$100,3,FALSE)&amp;")","")</f>
        <v/>
      </c>
      <c r="H130" s="26">
        <f>IFERROR(IF(B130&lt;&gt;'06_Target KPI'!$B$3,0,IF(VLOOKUP(F130,'05_Master KPI'!$B$5:$G$100,6,FALSE)="Kumulatif",INDEX('06_Target KPI'!$E$5:$P$100,MATCH(F130,'06_Target KPI'!$B$5:$B$100,0),MATCH(A130,'06_Target KPI'!$E$4:$P$4,0))*DAY(C130)/DAY(EOMONTH(C130,0)),INDEX('06_Target KPI'!$E$5:$P$100,MATCH(F130,'06_Target KPI'!$B$5:$B$100,0),MATCH(A130,'06_Target KPI'!$E$4:$P$4,0)))),0)</f>
        <v>0</v>
      </c>
      <c r="I130" s="24"/>
      <c r="J130" s="27">
        <f>IFERROR(MIN(IF(VLOOKUP(F130,'05_Master KPI'!$B$5:$G$100,5,FALSE)="Lower",H130/I130,I130/H130),1),0)</f>
        <v>0</v>
      </c>
      <c r="K130" s="26">
        <f>IFERROR(VLOOKUP(F130,'05_Master KPI'!$B$5:$G$100,4,FALSE),0)</f>
        <v>0</v>
      </c>
      <c r="L130" s="28">
        <f t="shared" si="1"/>
        <v>0</v>
      </c>
      <c r="M130" s="26" t="str">
        <f>IF(D130="","",IF(J130&gt;='13_Setting'!$H$7,"Tercapai",IF(J130&gt;='13_Setting'!$H$6,"On Track","Tertinggal")))</f>
        <v/>
      </c>
      <c r="N130" s="24"/>
    </row>
    <row r="131" spans="1:14">
      <c r="A131" s="24"/>
      <c r="B131" s="24"/>
      <c r="C131" s="25"/>
      <c r="D131" s="24"/>
      <c r="E131" s="26" t="str">
        <f>IFERROR(VLOOKUP(D131,'04_Master Karyawan'!$A$5:$F$50,2,FALSE),"")</f>
        <v/>
      </c>
      <c r="F131" s="24"/>
      <c r="G131" s="26" t="str">
        <f>IFERROR(VLOOKUP(F131,'05_Master KPI'!$B$5:$G$100,2,FALSE)&amp;" ("&amp;VLOOKUP(F131,'05_Master KPI'!$B$5:$G$100,3,FALSE)&amp;")","")</f>
        <v/>
      </c>
      <c r="H131" s="26">
        <f>IFERROR(IF(B131&lt;&gt;'06_Target KPI'!$B$3,0,IF(VLOOKUP(F131,'05_Master KPI'!$B$5:$G$100,6,FALSE)="Kumulatif",INDEX('06_Target KPI'!$E$5:$P$100,MATCH(F131,'06_Target KPI'!$B$5:$B$100,0),MATCH(A131,'06_Target KPI'!$E$4:$P$4,0))*DAY(C131)/DAY(EOMONTH(C131,0)),INDEX('06_Target KPI'!$E$5:$P$100,MATCH(F131,'06_Target KPI'!$B$5:$B$100,0),MATCH(A131,'06_Target KPI'!$E$4:$P$4,0)))),0)</f>
        <v>0</v>
      </c>
      <c r="I131" s="24"/>
      <c r="J131" s="27">
        <f>IFERROR(MIN(IF(VLOOKUP(F131,'05_Master KPI'!$B$5:$G$100,5,FALSE)="Lower",H131/I131,I131/H131),1),0)</f>
        <v>0</v>
      </c>
      <c r="K131" s="26">
        <f>IFERROR(VLOOKUP(F131,'05_Master KPI'!$B$5:$G$100,4,FALSE),0)</f>
        <v>0</v>
      </c>
      <c r="L131" s="28">
        <f t="shared" si="1"/>
        <v>0</v>
      </c>
      <c r="M131" s="26" t="str">
        <f>IF(D131="","",IF(J131&gt;='13_Setting'!$H$7,"Tercapai",IF(J131&gt;='13_Setting'!$H$6,"On Track","Tertinggal")))</f>
        <v/>
      </c>
      <c r="N131" s="24"/>
    </row>
    <row r="132" spans="1:14">
      <c r="A132" s="24"/>
      <c r="B132" s="24"/>
      <c r="C132" s="25"/>
      <c r="D132" s="24"/>
      <c r="E132" s="26" t="str">
        <f>IFERROR(VLOOKUP(D132,'04_Master Karyawan'!$A$5:$F$50,2,FALSE),"")</f>
        <v/>
      </c>
      <c r="F132" s="24"/>
      <c r="G132" s="26" t="str">
        <f>IFERROR(VLOOKUP(F132,'05_Master KPI'!$B$5:$G$100,2,FALSE)&amp;" ("&amp;VLOOKUP(F132,'05_Master KPI'!$B$5:$G$100,3,FALSE)&amp;")","")</f>
        <v/>
      </c>
      <c r="H132" s="26">
        <f>IFERROR(IF(B132&lt;&gt;'06_Target KPI'!$B$3,0,IF(VLOOKUP(F132,'05_Master KPI'!$B$5:$G$100,6,FALSE)="Kumulatif",INDEX('06_Target KPI'!$E$5:$P$100,MATCH(F132,'06_Target KPI'!$B$5:$B$100,0),MATCH(A132,'06_Target KPI'!$E$4:$P$4,0))*DAY(C132)/DAY(EOMONTH(C132,0)),INDEX('06_Target KPI'!$E$5:$P$100,MATCH(F132,'06_Target KPI'!$B$5:$B$100,0),MATCH(A132,'06_Target KPI'!$E$4:$P$4,0)))),0)</f>
        <v>0</v>
      </c>
      <c r="I132" s="24"/>
      <c r="J132" s="27">
        <f>IFERROR(MIN(IF(VLOOKUP(F132,'05_Master KPI'!$B$5:$G$100,5,FALSE)="Lower",H132/I132,I132/H132),1),0)</f>
        <v>0</v>
      </c>
      <c r="K132" s="26">
        <f>IFERROR(VLOOKUP(F132,'05_Master KPI'!$B$5:$G$100,4,FALSE),0)</f>
        <v>0</v>
      </c>
      <c r="L132" s="28">
        <f t="shared" si="1"/>
        <v>0</v>
      </c>
      <c r="M132" s="26" t="str">
        <f>IF(D132="","",IF(J132&gt;='13_Setting'!$H$7,"Tercapai",IF(J132&gt;='13_Setting'!$H$6,"On Track","Tertinggal")))</f>
        <v/>
      </c>
      <c r="N132" s="24"/>
    </row>
    <row r="133" spans="1:14">
      <c r="A133" s="24"/>
      <c r="B133" s="24"/>
      <c r="C133" s="25"/>
      <c r="D133" s="24"/>
      <c r="E133" s="26" t="str">
        <f>IFERROR(VLOOKUP(D133,'04_Master Karyawan'!$A$5:$F$50,2,FALSE),"")</f>
        <v/>
      </c>
      <c r="F133" s="24"/>
      <c r="G133" s="26" t="str">
        <f>IFERROR(VLOOKUP(F133,'05_Master KPI'!$B$5:$G$100,2,FALSE)&amp;" ("&amp;VLOOKUP(F133,'05_Master KPI'!$B$5:$G$100,3,FALSE)&amp;")","")</f>
        <v/>
      </c>
      <c r="H133" s="26">
        <f>IFERROR(IF(B133&lt;&gt;'06_Target KPI'!$B$3,0,IF(VLOOKUP(F133,'05_Master KPI'!$B$5:$G$100,6,FALSE)="Kumulatif",INDEX('06_Target KPI'!$E$5:$P$100,MATCH(F133,'06_Target KPI'!$B$5:$B$100,0),MATCH(A133,'06_Target KPI'!$E$4:$P$4,0))*DAY(C133)/DAY(EOMONTH(C133,0)),INDEX('06_Target KPI'!$E$5:$P$100,MATCH(F133,'06_Target KPI'!$B$5:$B$100,0),MATCH(A133,'06_Target KPI'!$E$4:$P$4,0)))),0)</f>
        <v>0</v>
      </c>
      <c r="I133" s="24"/>
      <c r="J133" s="27">
        <f>IFERROR(MIN(IF(VLOOKUP(F133,'05_Master KPI'!$B$5:$G$100,5,FALSE)="Lower",H133/I133,I133/H133),1),0)</f>
        <v>0</v>
      </c>
      <c r="K133" s="26">
        <f>IFERROR(VLOOKUP(F133,'05_Master KPI'!$B$5:$G$100,4,FALSE),0)</f>
        <v>0</v>
      </c>
      <c r="L133" s="28">
        <f t="shared" ref="L133:L196" si="2">J133*K133</f>
        <v>0</v>
      </c>
      <c r="M133" s="26" t="str">
        <f>IF(D133="","",IF(J133&gt;='13_Setting'!$H$7,"Tercapai",IF(J133&gt;='13_Setting'!$H$6,"On Track","Tertinggal")))</f>
        <v/>
      </c>
      <c r="N133" s="24"/>
    </row>
    <row r="134" spans="1:14">
      <c r="A134" s="24"/>
      <c r="B134" s="24"/>
      <c r="C134" s="25"/>
      <c r="D134" s="24"/>
      <c r="E134" s="26" t="str">
        <f>IFERROR(VLOOKUP(D134,'04_Master Karyawan'!$A$5:$F$50,2,FALSE),"")</f>
        <v/>
      </c>
      <c r="F134" s="24"/>
      <c r="G134" s="26" t="str">
        <f>IFERROR(VLOOKUP(F134,'05_Master KPI'!$B$5:$G$100,2,FALSE)&amp;" ("&amp;VLOOKUP(F134,'05_Master KPI'!$B$5:$G$100,3,FALSE)&amp;")","")</f>
        <v/>
      </c>
      <c r="H134" s="26">
        <f>IFERROR(IF(B134&lt;&gt;'06_Target KPI'!$B$3,0,IF(VLOOKUP(F134,'05_Master KPI'!$B$5:$G$100,6,FALSE)="Kumulatif",INDEX('06_Target KPI'!$E$5:$P$100,MATCH(F134,'06_Target KPI'!$B$5:$B$100,0),MATCH(A134,'06_Target KPI'!$E$4:$P$4,0))*DAY(C134)/DAY(EOMONTH(C134,0)),INDEX('06_Target KPI'!$E$5:$P$100,MATCH(F134,'06_Target KPI'!$B$5:$B$100,0),MATCH(A134,'06_Target KPI'!$E$4:$P$4,0)))),0)</f>
        <v>0</v>
      </c>
      <c r="I134" s="24"/>
      <c r="J134" s="27">
        <f>IFERROR(MIN(IF(VLOOKUP(F134,'05_Master KPI'!$B$5:$G$100,5,FALSE)="Lower",H134/I134,I134/H134),1),0)</f>
        <v>0</v>
      </c>
      <c r="K134" s="26">
        <f>IFERROR(VLOOKUP(F134,'05_Master KPI'!$B$5:$G$100,4,FALSE),0)</f>
        <v>0</v>
      </c>
      <c r="L134" s="28">
        <f t="shared" si="2"/>
        <v>0</v>
      </c>
      <c r="M134" s="26" t="str">
        <f>IF(D134="","",IF(J134&gt;='13_Setting'!$H$7,"Tercapai",IF(J134&gt;='13_Setting'!$H$6,"On Track","Tertinggal")))</f>
        <v/>
      </c>
      <c r="N134" s="24"/>
    </row>
    <row r="135" spans="1:14">
      <c r="A135" s="24"/>
      <c r="B135" s="24"/>
      <c r="C135" s="25"/>
      <c r="D135" s="24"/>
      <c r="E135" s="26" t="str">
        <f>IFERROR(VLOOKUP(D135,'04_Master Karyawan'!$A$5:$F$50,2,FALSE),"")</f>
        <v/>
      </c>
      <c r="F135" s="24"/>
      <c r="G135" s="26" t="str">
        <f>IFERROR(VLOOKUP(F135,'05_Master KPI'!$B$5:$G$100,2,FALSE)&amp;" ("&amp;VLOOKUP(F135,'05_Master KPI'!$B$5:$G$100,3,FALSE)&amp;")","")</f>
        <v/>
      </c>
      <c r="H135" s="26">
        <f>IFERROR(IF(B135&lt;&gt;'06_Target KPI'!$B$3,0,IF(VLOOKUP(F135,'05_Master KPI'!$B$5:$G$100,6,FALSE)="Kumulatif",INDEX('06_Target KPI'!$E$5:$P$100,MATCH(F135,'06_Target KPI'!$B$5:$B$100,0),MATCH(A135,'06_Target KPI'!$E$4:$P$4,0))*DAY(C135)/DAY(EOMONTH(C135,0)),INDEX('06_Target KPI'!$E$5:$P$100,MATCH(F135,'06_Target KPI'!$B$5:$B$100,0),MATCH(A135,'06_Target KPI'!$E$4:$P$4,0)))),0)</f>
        <v>0</v>
      </c>
      <c r="I135" s="24"/>
      <c r="J135" s="27">
        <f>IFERROR(MIN(IF(VLOOKUP(F135,'05_Master KPI'!$B$5:$G$100,5,FALSE)="Lower",H135/I135,I135/H135),1),0)</f>
        <v>0</v>
      </c>
      <c r="K135" s="26">
        <f>IFERROR(VLOOKUP(F135,'05_Master KPI'!$B$5:$G$100,4,FALSE),0)</f>
        <v>0</v>
      </c>
      <c r="L135" s="28">
        <f t="shared" si="2"/>
        <v>0</v>
      </c>
      <c r="M135" s="26" t="str">
        <f>IF(D135="","",IF(J135&gt;='13_Setting'!$H$7,"Tercapai",IF(J135&gt;='13_Setting'!$H$6,"On Track","Tertinggal")))</f>
        <v/>
      </c>
      <c r="N135" s="24"/>
    </row>
    <row r="136" spans="1:14">
      <c r="A136" s="24"/>
      <c r="B136" s="24"/>
      <c r="C136" s="25"/>
      <c r="D136" s="24"/>
      <c r="E136" s="26" t="str">
        <f>IFERROR(VLOOKUP(D136,'04_Master Karyawan'!$A$5:$F$50,2,FALSE),"")</f>
        <v/>
      </c>
      <c r="F136" s="24"/>
      <c r="G136" s="26" t="str">
        <f>IFERROR(VLOOKUP(F136,'05_Master KPI'!$B$5:$G$100,2,FALSE)&amp;" ("&amp;VLOOKUP(F136,'05_Master KPI'!$B$5:$G$100,3,FALSE)&amp;")","")</f>
        <v/>
      </c>
      <c r="H136" s="26">
        <f>IFERROR(IF(B136&lt;&gt;'06_Target KPI'!$B$3,0,IF(VLOOKUP(F136,'05_Master KPI'!$B$5:$G$100,6,FALSE)="Kumulatif",INDEX('06_Target KPI'!$E$5:$P$100,MATCH(F136,'06_Target KPI'!$B$5:$B$100,0),MATCH(A136,'06_Target KPI'!$E$4:$P$4,0))*DAY(C136)/DAY(EOMONTH(C136,0)),INDEX('06_Target KPI'!$E$5:$P$100,MATCH(F136,'06_Target KPI'!$B$5:$B$100,0),MATCH(A136,'06_Target KPI'!$E$4:$P$4,0)))),0)</f>
        <v>0</v>
      </c>
      <c r="I136" s="24"/>
      <c r="J136" s="27">
        <f>IFERROR(MIN(IF(VLOOKUP(F136,'05_Master KPI'!$B$5:$G$100,5,FALSE)="Lower",H136/I136,I136/H136),1),0)</f>
        <v>0</v>
      </c>
      <c r="K136" s="26">
        <f>IFERROR(VLOOKUP(F136,'05_Master KPI'!$B$5:$G$100,4,FALSE),0)</f>
        <v>0</v>
      </c>
      <c r="L136" s="28">
        <f t="shared" si="2"/>
        <v>0</v>
      </c>
      <c r="M136" s="26" t="str">
        <f>IF(D136="","",IF(J136&gt;='13_Setting'!$H$7,"Tercapai",IF(J136&gt;='13_Setting'!$H$6,"On Track","Tertinggal")))</f>
        <v/>
      </c>
      <c r="N136" s="24"/>
    </row>
    <row r="137" spans="1:14">
      <c r="A137" s="24"/>
      <c r="B137" s="24"/>
      <c r="C137" s="25"/>
      <c r="D137" s="24"/>
      <c r="E137" s="26" t="str">
        <f>IFERROR(VLOOKUP(D137,'04_Master Karyawan'!$A$5:$F$50,2,FALSE),"")</f>
        <v/>
      </c>
      <c r="F137" s="24"/>
      <c r="G137" s="26" t="str">
        <f>IFERROR(VLOOKUP(F137,'05_Master KPI'!$B$5:$G$100,2,FALSE)&amp;" ("&amp;VLOOKUP(F137,'05_Master KPI'!$B$5:$G$100,3,FALSE)&amp;")","")</f>
        <v/>
      </c>
      <c r="H137" s="26">
        <f>IFERROR(IF(B137&lt;&gt;'06_Target KPI'!$B$3,0,IF(VLOOKUP(F137,'05_Master KPI'!$B$5:$G$100,6,FALSE)="Kumulatif",INDEX('06_Target KPI'!$E$5:$P$100,MATCH(F137,'06_Target KPI'!$B$5:$B$100,0),MATCH(A137,'06_Target KPI'!$E$4:$P$4,0))*DAY(C137)/DAY(EOMONTH(C137,0)),INDEX('06_Target KPI'!$E$5:$P$100,MATCH(F137,'06_Target KPI'!$B$5:$B$100,0),MATCH(A137,'06_Target KPI'!$E$4:$P$4,0)))),0)</f>
        <v>0</v>
      </c>
      <c r="I137" s="24"/>
      <c r="J137" s="27">
        <f>IFERROR(MIN(IF(VLOOKUP(F137,'05_Master KPI'!$B$5:$G$100,5,FALSE)="Lower",H137/I137,I137/H137),1),0)</f>
        <v>0</v>
      </c>
      <c r="K137" s="26">
        <f>IFERROR(VLOOKUP(F137,'05_Master KPI'!$B$5:$G$100,4,FALSE),0)</f>
        <v>0</v>
      </c>
      <c r="L137" s="28">
        <f t="shared" si="2"/>
        <v>0</v>
      </c>
      <c r="M137" s="26" t="str">
        <f>IF(D137="","",IF(J137&gt;='13_Setting'!$H$7,"Tercapai",IF(J137&gt;='13_Setting'!$H$6,"On Track","Tertinggal")))</f>
        <v/>
      </c>
      <c r="N137" s="24"/>
    </row>
    <row r="138" spans="1:14">
      <c r="A138" s="24"/>
      <c r="B138" s="24"/>
      <c r="C138" s="25"/>
      <c r="D138" s="24"/>
      <c r="E138" s="26" t="str">
        <f>IFERROR(VLOOKUP(D138,'04_Master Karyawan'!$A$5:$F$50,2,FALSE),"")</f>
        <v/>
      </c>
      <c r="F138" s="24"/>
      <c r="G138" s="26" t="str">
        <f>IFERROR(VLOOKUP(F138,'05_Master KPI'!$B$5:$G$100,2,FALSE)&amp;" ("&amp;VLOOKUP(F138,'05_Master KPI'!$B$5:$G$100,3,FALSE)&amp;")","")</f>
        <v/>
      </c>
      <c r="H138" s="26">
        <f>IFERROR(IF(B138&lt;&gt;'06_Target KPI'!$B$3,0,IF(VLOOKUP(F138,'05_Master KPI'!$B$5:$G$100,6,FALSE)="Kumulatif",INDEX('06_Target KPI'!$E$5:$P$100,MATCH(F138,'06_Target KPI'!$B$5:$B$100,0),MATCH(A138,'06_Target KPI'!$E$4:$P$4,0))*DAY(C138)/DAY(EOMONTH(C138,0)),INDEX('06_Target KPI'!$E$5:$P$100,MATCH(F138,'06_Target KPI'!$B$5:$B$100,0),MATCH(A138,'06_Target KPI'!$E$4:$P$4,0)))),0)</f>
        <v>0</v>
      </c>
      <c r="I138" s="24"/>
      <c r="J138" s="27">
        <f>IFERROR(MIN(IF(VLOOKUP(F138,'05_Master KPI'!$B$5:$G$100,5,FALSE)="Lower",H138/I138,I138/H138),1),0)</f>
        <v>0</v>
      </c>
      <c r="K138" s="26">
        <f>IFERROR(VLOOKUP(F138,'05_Master KPI'!$B$5:$G$100,4,FALSE),0)</f>
        <v>0</v>
      </c>
      <c r="L138" s="28">
        <f t="shared" si="2"/>
        <v>0</v>
      </c>
      <c r="M138" s="26" t="str">
        <f>IF(D138="","",IF(J138&gt;='13_Setting'!$H$7,"Tercapai",IF(J138&gt;='13_Setting'!$H$6,"On Track","Tertinggal")))</f>
        <v/>
      </c>
      <c r="N138" s="24"/>
    </row>
    <row r="139" spans="1:14">
      <c r="A139" s="24"/>
      <c r="B139" s="24"/>
      <c r="C139" s="25"/>
      <c r="D139" s="24"/>
      <c r="E139" s="26" t="str">
        <f>IFERROR(VLOOKUP(D139,'04_Master Karyawan'!$A$5:$F$50,2,FALSE),"")</f>
        <v/>
      </c>
      <c r="F139" s="24"/>
      <c r="G139" s="26" t="str">
        <f>IFERROR(VLOOKUP(F139,'05_Master KPI'!$B$5:$G$100,2,FALSE)&amp;" ("&amp;VLOOKUP(F139,'05_Master KPI'!$B$5:$G$100,3,FALSE)&amp;")","")</f>
        <v/>
      </c>
      <c r="H139" s="26">
        <f>IFERROR(IF(B139&lt;&gt;'06_Target KPI'!$B$3,0,IF(VLOOKUP(F139,'05_Master KPI'!$B$5:$G$100,6,FALSE)="Kumulatif",INDEX('06_Target KPI'!$E$5:$P$100,MATCH(F139,'06_Target KPI'!$B$5:$B$100,0),MATCH(A139,'06_Target KPI'!$E$4:$P$4,0))*DAY(C139)/DAY(EOMONTH(C139,0)),INDEX('06_Target KPI'!$E$5:$P$100,MATCH(F139,'06_Target KPI'!$B$5:$B$100,0),MATCH(A139,'06_Target KPI'!$E$4:$P$4,0)))),0)</f>
        <v>0</v>
      </c>
      <c r="I139" s="24"/>
      <c r="J139" s="27">
        <f>IFERROR(MIN(IF(VLOOKUP(F139,'05_Master KPI'!$B$5:$G$100,5,FALSE)="Lower",H139/I139,I139/H139),1),0)</f>
        <v>0</v>
      </c>
      <c r="K139" s="26">
        <f>IFERROR(VLOOKUP(F139,'05_Master KPI'!$B$5:$G$100,4,FALSE),0)</f>
        <v>0</v>
      </c>
      <c r="L139" s="28">
        <f t="shared" si="2"/>
        <v>0</v>
      </c>
      <c r="M139" s="26" t="str">
        <f>IF(D139="","",IF(J139&gt;='13_Setting'!$H$7,"Tercapai",IF(J139&gt;='13_Setting'!$H$6,"On Track","Tertinggal")))</f>
        <v/>
      </c>
      <c r="N139" s="24"/>
    </row>
    <row r="140" spans="1:14">
      <c r="A140" s="24"/>
      <c r="B140" s="24"/>
      <c r="C140" s="25"/>
      <c r="D140" s="24"/>
      <c r="E140" s="26" t="str">
        <f>IFERROR(VLOOKUP(D140,'04_Master Karyawan'!$A$5:$F$50,2,FALSE),"")</f>
        <v/>
      </c>
      <c r="F140" s="24"/>
      <c r="G140" s="26" t="str">
        <f>IFERROR(VLOOKUP(F140,'05_Master KPI'!$B$5:$G$100,2,FALSE)&amp;" ("&amp;VLOOKUP(F140,'05_Master KPI'!$B$5:$G$100,3,FALSE)&amp;")","")</f>
        <v/>
      </c>
      <c r="H140" s="26">
        <f>IFERROR(IF(B140&lt;&gt;'06_Target KPI'!$B$3,0,IF(VLOOKUP(F140,'05_Master KPI'!$B$5:$G$100,6,FALSE)="Kumulatif",INDEX('06_Target KPI'!$E$5:$P$100,MATCH(F140,'06_Target KPI'!$B$5:$B$100,0),MATCH(A140,'06_Target KPI'!$E$4:$P$4,0))*DAY(C140)/DAY(EOMONTH(C140,0)),INDEX('06_Target KPI'!$E$5:$P$100,MATCH(F140,'06_Target KPI'!$B$5:$B$100,0),MATCH(A140,'06_Target KPI'!$E$4:$P$4,0)))),0)</f>
        <v>0</v>
      </c>
      <c r="I140" s="24"/>
      <c r="J140" s="27">
        <f>IFERROR(MIN(IF(VLOOKUP(F140,'05_Master KPI'!$B$5:$G$100,5,FALSE)="Lower",H140/I140,I140/H140),1),0)</f>
        <v>0</v>
      </c>
      <c r="K140" s="26">
        <f>IFERROR(VLOOKUP(F140,'05_Master KPI'!$B$5:$G$100,4,FALSE),0)</f>
        <v>0</v>
      </c>
      <c r="L140" s="28">
        <f t="shared" si="2"/>
        <v>0</v>
      </c>
      <c r="M140" s="26" t="str">
        <f>IF(D140="","",IF(J140&gt;='13_Setting'!$H$7,"Tercapai",IF(J140&gt;='13_Setting'!$H$6,"On Track","Tertinggal")))</f>
        <v/>
      </c>
      <c r="N140" s="24"/>
    </row>
    <row r="141" spans="1:14">
      <c r="A141" s="24"/>
      <c r="B141" s="24"/>
      <c r="C141" s="25"/>
      <c r="D141" s="24"/>
      <c r="E141" s="26" t="str">
        <f>IFERROR(VLOOKUP(D141,'04_Master Karyawan'!$A$5:$F$50,2,FALSE),"")</f>
        <v/>
      </c>
      <c r="F141" s="24"/>
      <c r="G141" s="26" t="str">
        <f>IFERROR(VLOOKUP(F141,'05_Master KPI'!$B$5:$G$100,2,FALSE)&amp;" ("&amp;VLOOKUP(F141,'05_Master KPI'!$B$5:$G$100,3,FALSE)&amp;")","")</f>
        <v/>
      </c>
      <c r="H141" s="26">
        <f>IFERROR(IF(B141&lt;&gt;'06_Target KPI'!$B$3,0,IF(VLOOKUP(F141,'05_Master KPI'!$B$5:$G$100,6,FALSE)="Kumulatif",INDEX('06_Target KPI'!$E$5:$P$100,MATCH(F141,'06_Target KPI'!$B$5:$B$100,0),MATCH(A141,'06_Target KPI'!$E$4:$P$4,0))*DAY(C141)/DAY(EOMONTH(C141,0)),INDEX('06_Target KPI'!$E$5:$P$100,MATCH(F141,'06_Target KPI'!$B$5:$B$100,0),MATCH(A141,'06_Target KPI'!$E$4:$P$4,0)))),0)</f>
        <v>0</v>
      </c>
      <c r="I141" s="24"/>
      <c r="J141" s="27">
        <f>IFERROR(MIN(IF(VLOOKUP(F141,'05_Master KPI'!$B$5:$G$100,5,FALSE)="Lower",H141/I141,I141/H141),1),0)</f>
        <v>0</v>
      </c>
      <c r="K141" s="26">
        <f>IFERROR(VLOOKUP(F141,'05_Master KPI'!$B$5:$G$100,4,FALSE),0)</f>
        <v>0</v>
      </c>
      <c r="L141" s="28">
        <f t="shared" si="2"/>
        <v>0</v>
      </c>
      <c r="M141" s="26" t="str">
        <f>IF(D141="","",IF(J141&gt;='13_Setting'!$H$7,"Tercapai",IF(J141&gt;='13_Setting'!$H$6,"On Track","Tertinggal")))</f>
        <v/>
      </c>
      <c r="N141" s="24"/>
    </row>
    <row r="142" spans="1:14">
      <c r="A142" s="24"/>
      <c r="B142" s="24"/>
      <c r="C142" s="25"/>
      <c r="D142" s="24"/>
      <c r="E142" s="26" t="str">
        <f>IFERROR(VLOOKUP(D142,'04_Master Karyawan'!$A$5:$F$50,2,FALSE),"")</f>
        <v/>
      </c>
      <c r="F142" s="24"/>
      <c r="G142" s="26" t="str">
        <f>IFERROR(VLOOKUP(F142,'05_Master KPI'!$B$5:$G$100,2,FALSE)&amp;" ("&amp;VLOOKUP(F142,'05_Master KPI'!$B$5:$G$100,3,FALSE)&amp;")","")</f>
        <v/>
      </c>
      <c r="H142" s="26">
        <f>IFERROR(IF(B142&lt;&gt;'06_Target KPI'!$B$3,0,IF(VLOOKUP(F142,'05_Master KPI'!$B$5:$G$100,6,FALSE)="Kumulatif",INDEX('06_Target KPI'!$E$5:$P$100,MATCH(F142,'06_Target KPI'!$B$5:$B$100,0),MATCH(A142,'06_Target KPI'!$E$4:$P$4,0))*DAY(C142)/DAY(EOMONTH(C142,0)),INDEX('06_Target KPI'!$E$5:$P$100,MATCH(F142,'06_Target KPI'!$B$5:$B$100,0),MATCH(A142,'06_Target KPI'!$E$4:$P$4,0)))),0)</f>
        <v>0</v>
      </c>
      <c r="I142" s="24"/>
      <c r="J142" s="27">
        <f>IFERROR(MIN(IF(VLOOKUP(F142,'05_Master KPI'!$B$5:$G$100,5,FALSE)="Lower",H142/I142,I142/H142),1),0)</f>
        <v>0</v>
      </c>
      <c r="K142" s="26">
        <f>IFERROR(VLOOKUP(F142,'05_Master KPI'!$B$5:$G$100,4,FALSE),0)</f>
        <v>0</v>
      </c>
      <c r="L142" s="28">
        <f t="shared" si="2"/>
        <v>0</v>
      </c>
      <c r="M142" s="26" t="str">
        <f>IF(D142="","",IF(J142&gt;='13_Setting'!$H$7,"Tercapai",IF(J142&gt;='13_Setting'!$H$6,"On Track","Tertinggal")))</f>
        <v/>
      </c>
      <c r="N142" s="24"/>
    </row>
    <row r="143" spans="1:14">
      <c r="A143" s="24"/>
      <c r="B143" s="24"/>
      <c r="C143" s="25"/>
      <c r="D143" s="24"/>
      <c r="E143" s="26" t="str">
        <f>IFERROR(VLOOKUP(D143,'04_Master Karyawan'!$A$5:$F$50,2,FALSE),"")</f>
        <v/>
      </c>
      <c r="F143" s="24"/>
      <c r="G143" s="26" t="str">
        <f>IFERROR(VLOOKUP(F143,'05_Master KPI'!$B$5:$G$100,2,FALSE)&amp;" ("&amp;VLOOKUP(F143,'05_Master KPI'!$B$5:$G$100,3,FALSE)&amp;")","")</f>
        <v/>
      </c>
      <c r="H143" s="26">
        <f>IFERROR(IF(B143&lt;&gt;'06_Target KPI'!$B$3,0,IF(VLOOKUP(F143,'05_Master KPI'!$B$5:$G$100,6,FALSE)="Kumulatif",INDEX('06_Target KPI'!$E$5:$P$100,MATCH(F143,'06_Target KPI'!$B$5:$B$100,0),MATCH(A143,'06_Target KPI'!$E$4:$P$4,0))*DAY(C143)/DAY(EOMONTH(C143,0)),INDEX('06_Target KPI'!$E$5:$P$100,MATCH(F143,'06_Target KPI'!$B$5:$B$100,0),MATCH(A143,'06_Target KPI'!$E$4:$P$4,0)))),0)</f>
        <v>0</v>
      </c>
      <c r="I143" s="24"/>
      <c r="J143" s="27">
        <f>IFERROR(MIN(IF(VLOOKUP(F143,'05_Master KPI'!$B$5:$G$100,5,FALSE)="Lower",H143/I143,I143/H143),1),0)</f>
        <v>0</v>
      </c>
      <c r="K143" s="26">
        <f>IFERROR(VLOOKUP(F143,'05_Master KPI'!$B$5:$G$100,4,FALSE),0)</f>
        <v>0</v>
      </c>
      <c r="L143" s="28">
        <f t="shared" si="2"/>
        <v>0</v>
      </c>
      <c r="M143" s="26" t="str">
        <f>IF(D143="","",IF(J143&gt;='13_Setting'!$H$7,"Tercapai",IF(J143&gt;='13_Setting'!$H$6,"On Track","Tertinggal")))</f>
        <v/>
      </c>
      <c r="N143" s="24"/>
    </row>
    <row r="144" spans="1:14">
      <c r="A144" s="24"/>
      <c r="B144" s="24"/>
      <c r="C144" s="25"/>
      <c r="D144" s="24"/>
      <c r="E144" s="26" t="str">
        <f>IFERROR(VLOOKUP(D144,'04_Master Karyawan'!$A$5:$F$50,2,FALSE),"")</f>
        <v/>
      </c>
      <c r="F144" s="24"/>
      <c r="G144" s="26" t="str">
        <f>IFERROR(VLOOKUP(F144,'05_Master KPI'!$B$5:$G$100,2,FALSE)&amp;" ("&amp;VLOOKUP(F144,'05_Master KPI'!$B$5:$G$100,3,FALSE)&amp;")","")</f>
        <v/>
      </c>
      <c r="H144" s="26">
        <f>IFERROR(IF(B144&lt;&gt;'06_Target KPI'!$B$3,0,IF(VLOOKUP(F144,'05_Master KPI'!$B$5:$G$100,6,FALSE)="Kumulatif",INDEX('06_Target KPI'!$E$5:$P$100,MATCH(F144,'06_Target KPI'!$B$5:$B$100,0),MATCH(A144,'06_Target KPI'!$E$4:$P$4,0))*DAY(C144)/DAY(EOMONTH(C144,0)),INDEX('06_Target KPI'!$E$5:$P$100,MATCH(F144,'06_Target KPI'!$B$5:$B$100,0),MATCH(A144,'06_Target KPI'!$E$4:$P$4,0)))),0)</f>
        <v>0</v>
      </c>
      <c r="I144" s="24"/>
      <c r="J144" s="27">
        <f>IFERROR(MIN(IF(VLOOKUP(F144,'05_Master KPI'!$B$5:$G$100,5,FALSE)="Lower",H144/I144,I144/H144),1),0)</f>
        <v>0</v>
      </c>
      <c r="K144" s="26">
        <f>IFERROR(VLOOKUP(F144,'05_Master KPI'!$B$5:$G$100,4,FALSE),0)</f>
        <v>0</v>
      </c>
      <c r="L144" s="28">
        <f t="shared" si="2"/>
        <v>0</v>
      </c>
      <c r="M144" s="26" t="str">
        <f>IF(D144="","",IF(J144&gt;='13_Setting'!$H$7,"Tercapai",IF(J144&gt;='13_Setting'!$H$6,"On Track","Tertinggal")))</f>
        <v/>
      </c>
      <c r="N144" s="24"/>
    </row>
    <row r="145" spans="1:14">
      <c r="A145" s="24"/>
      <c r="B145" s="24"/>
      <c r="C145" s="25"/>
      <c r="D145" s="24"/>
      <c r="E145" s="26" t="str">
        <f>IFERROR(VLOOKUP(D145,'04_Master Karyawan'!$A$5:$F$50,2,FALSE),"")</f>
        <v/>
      </c>
      <c r="F145" s="24"/>
      <c r="G145" s="26" t="str">
        <f>IFERROR(VLOOKUP(F145,'05_Master KPI'!$B$5:$G$100,2,FALSE)&amp;" ("&amp;VLOOKUP(F145,'05_Master KPI'!$B$5:$G$100,3,FALSE)&amp;")","")</f>
        <v/>
      </c>
      <c r="H145" s="26">
        <f>IFERROR(IF(B145&lt;&gt;'06_Target KPI'!$B$3,0,IF(VLOOKUP(F145,'05_Master KPI'!$B$5:$G$100,6,FALSE)="Kumulatif",INDEX('06_Target KPI'!$E$5:$P$100,MATCH(F145,'06_Target KPI'!$B$5:$B$100,0),MATCH(A145,'06_Target KPI'!$E$4:$P$4,0))*DAY(C145)/DAY(EOMONTH(C145,0)),INDEX('06_Target KPI'!$E$5:$P$100,MATCH(F145,'06_Target KPI'!$B$5:$B$100,0),MATCH(A145,'06_Target KPI'!$E$4:$P$4,0)))),0)</f>
        <v>0</v>
      </c>
      <c r="I145" s="24"/>
      <c r="J145" s="27">
        <f>IFERROR(MIN(IF(VLOOKUP(F145,'05_Master KPI'!$B$5:$G$100,5,FALSE)="Lower",H145/I145,I145/H145),1),0)</f>
        <v>0</v>
      </c>
      <c r="K145" s="26">
        <f>IFERROR(VLOOKUP(F145,'05_Master KPI'!$B$5:$G$100,4,FALSE),0)</f>
        <v>0</v>
      </c>
      <c r="L145" s="28">
        <f t="shared" si="2"/>
        <v>0</v>
      </c>
      <c r="M145" s="26" t="str">
        <f>IF(D145="","",IF(J145&gt;='13_Setting'!$H$7,"Tercapai",IF(J145&gt;='13_Setting'!$H$6,"On Track","Tertinggal")))</f>
        <v/>
      </c>
      <c r="N145" s="24"/>
    </row>
    <row r="146" spans="1:14">
      <c r="A146" s="24"/>
      <c r="B146" s="24"/>
      <c r="C146" s="25"/>
      <c r="D146" s="24"/>
      <c r="E146" s="26" t="str">
        <f>IFERROR(VLOOKUP(D146,'04_Master Karyawan'!$A$5:$F$50,2,FALSE),"")</f>
        <v/>
      </c>
      <c r="F146" s="24"/>
      <c r="G146" s="26" t="str">
        <f>IFERROR(VLOOKUP(F146,'05_Master KPI'!$B$5:$G$100,2,FALSE)&amp;" ("&amp;VLOOKUP(F146,'05_Master KPI'!$B$5:$G$100,3,FALSE)&amp;")","")</f>
        <v/>
      </c>
      <c r="H146" s="26">
        <f>IFERROR(IF(B146&lt;&gt;'06_Target KPI'!$B$3,0,IF(VLOOKUP(F146,'05_Master KPI'!$B$5:$G$100,6,FALSE)="Kumulatif",INDEX('06_Target KPI'!$E$5:$P$100,MATCH(F146,'06_Target KPI'!$B$5:$B$100,0),MATCH(A146,'06_Target KPI'!$E$4:$P$4,0))*DAY(C146)/DAY(EOMONTH(C146,0)),INDEX('06_Target KPI'!$E$5:$P$100,MATCH(F146,'06_Target KPI'!$B$5:$B$100,0),MATCH(A146,'06_Target KPI'!$E$4:$P$4,0)))),0)</f>
        <v>0</v>
      </c>
      <c r="I146" s="24"/>
      <c r="J146" s="27">
        <f>IFERROR(MIN(IF(VLOOKUP(F146,'05_Master KPI'!$B$5:$G$100,5,FALSE)="Lower",H146/I146,I146/H146),1),0)</f>
        <v>0</v>
      </c>
      <c r="K146" s="26">
        <f>IFERROR(VLOOKUP(F146,'05_Master KPI'!$B$5:$G$100,4,FALSE),0)</f>
        <v>0</v>
      </c>
      <c r="L146" s="28">
        <f t="shared" si="2"/>
        <v>0</v>
      </c>
      <c r="M146" s="26" t="str">
        <f>IF(D146="","",IF(J146&gt;='13_Setting'!$H$7,"Tercapai",IF(J146&gt;='13_Setting'!$H$6,"On Track","Tertinggal")))</f>
        <v/>
      </c>
      <c r="N146" s="24"/>
    </row>
    <row r="147" spans="1:14">
      <c r="A147" s="24"/>
      <c r="B147" s="24"/>
      <c r="C147" s="25"/>
      <c r="D147" s="24"/>
      <c r="E147" s="26" t="str">
        <f>IFERROR(VLOOKUP(D147,'04_Master Karyawan'!$A$5:$F$50,2,FALSE),"")</f>
        <v/>
      </c>
      <c r="F147" s="24"/>
      <c r="G147" s="26" t="str">
        <f>IFERROR(VLOOKUP(F147,'05_Master KPI'!$B$5:$G$100,2,FALSE)&amp;" ("&amp;VLOOKUP(F147,'05_Master KPI'!$B$5:$G$100,3,FALSE)&amp;")","")</f>
        <v/>
      </c>
      <c r="H147" s="26">
        <f>IFERROR(IF(B147&lt;&gt;'06_Target KPI'!$B$3,0,IF(VLOOKUP(F147,'05_Master KPI'!$B$5:$G$100,6,FALSE)="Kumulatif",INDEX('06_Target KPI'!$E$5:$P$100,MATCH(F147,'06_Target KPI'!$B$5:$B$100,0),MATCH(A147,'06_Target KPI'!$E$4:$P$4,0))*DAY(C147)/DAY(EOMONTH(C147,0)),INDEX('06_Target KPI'!$E$5:$P$100,MATCH(F147,'06_Target KPI'!$B$5:$B$100,0),MATCH(A147,'06_Target KPI'!$E$4:$P$4,0)))),0)</f>
        <v>0</v>
      </c>
      <c r="I147" s="24"/>
      <c r="J147" s="27">
        <f>IFERROR(MIN(IF(VLOOKUP(F147,'05_Master KPI'!$B$5:$G$100,5,FALSE)="Lower",H147/I147,I147/H147),1),0)</f>
        <v>0</v>
      </c>
      <c r="K147" s="26">
        <f>IFERROR(VLOOKUP(F147,'05_Master KPI'!$B$5:$G$100,4,FALSE),0)</f>
        <v>0</v>
      </c>
      <c r="L147" s="28">
        <f t="shared" si="2"/>
        <v>0</v>
      </c>
      <c r="M147" s="26" t="str">
        <f>IF(D147="","",IF(J147&gt;='13_Setting'!$H$7,"Tercapai",IF(J147&gt;='13_Setting'!$H$6,"On Track","Tertinggal")))</f>
        <v/>
      </c>
      <c r="N147" s="24"/>
    </row>
    <row r="148" spans="1:14">
      <c r="A148" s="24"/>
      <c r="B148" s="24"/>
      <c r="C148" s="25"/>
      <c r="D148" s="24"/>
      <c r="E148" s="26" t="str">
        <f>IFERROR(VLOOKUP(D148,'04_Master Karyawan'!$A$5:$F$50,2,FALSE),"")</f>
        <v/>
      </c>
      <c r="F148" s="24"/>
      <c r="G148" s="26" t="str">
        <f>IFERROR(VLOOKUP(F148,'05_Master KPI'!$B$5:$G$100,2,FALSE)&amp;" ("&amp;VLOOKUP(F148,'05_Master KPI'!$B$5:$G$100,3,FALSE)&amp;")","")</f>
        <v/>
      </c>
      <c r="H148" s="26">
        <f>IFERROR(IF(B148&lt;&gt;'06_Target KPI'!$B$3,0,IF(VLOOKUP(F148,'05_Master KPI'!$B$5:$G$100,6,FALSE)="Kumulatif",INDEX('06_Target KPI'!$E$5:$P$100,MATCH(F148,'06_Target KPI'!$B$5:$B$100,0),MATCH(A148,'06_Target KPI'!$E$4:$P$4,0))*DAY(C148)/DAY(EOMONTH(C148,0)),INDEX('06_Target KPI'!$E$5:$P$100,MATCH(F148,'06_Target KPI'!$B$5:$B$100,0),MATCH(A148,'06_Target KPI'!$E$4:$P$4,0)))),0)</f>
        <v>0</v>
      </c>
      <c r="I148" s="24"/>
      <c r="J148" s="27">
        <f>IFERROR(MIN(IF(VLOOKUP(F148,'05_Master KPI'!$B$5:$G$100,5,FALSE)="Lower",H148/I148,I148/H148),1),0)</f>
        <v>0</v>
      </c>
      <c r="K148" s="26">
        <f>IFERROR(VLOOKUP(F148,'05_Master KPI'!$B$5:$G$100,4,FALSE),0)</f>
        <v>0</v>
      </c>
      <c r="L148" s="28">
        <f t="shared" si="2"/>
        <v>0</v>
      </c>
      <c r="M148" s="26" t="str">
        <f>IF(D148="","",IF(J148&gt;='13_Setting'!$H$7,"Tercapai",IF(J148&gt;='13_Setting'!$H$6,"On Track","Tertinggal")))</f>
        <v/>
      </c>
      <c r="N148" s="24"/>
    </row>
    <row r="149" spans="1:14">
      <c r="A149" s="24"/>
      <c r="B149" s="24"/>
      <c r="C149" s="25"/>
      <c r="D149" s="24"/>
      <c r="E149" s="26" t="str">
        <f>IFERROR(VLOOKUP(D149,'04_Master Karyawan'!$A$5:$F$50,2,FALSE),"")</f>
        <v/>
      </c>
      <c r="F149" s="24"/>
      <c r="G149" s="26" t="str">
        <f>IFERROR(VLOOKUP(F149,'05_Master KPI'!$B$5:$G$100,2,FALSE)&amp;" ("&amp;VLOOKUP(F149,'05_Master KPI'!$B$5:$G$100,3,FALSE)&amp;")","")</f>
        <v/>
      </c>
      <c r="H149" s="26">
        <f>IFERROR(IF(B149&lt;&gt;'06_Target KPI'!$B$3,0,IF(VLOOKUP(F149,'05_Master KPI'!$B$5:$G$100,6,FALSE)="Kumulatif",INDEX('06_Target KPI'!$E$5:$P$100,MATCH(F149,'06_Target KPI'!$B$5:$B$100,0),MATCH(A149,'06_Target KPI'!$E$4:$P$4,0))*DAY(C149)/DAY(EOMONTH(C149,0)),INDEX('06_Target KPI'!$E$5:$P$100,MATCH(F149,'06_Target KPI'!$B$5:$B$100,0),MATCH(A149,'06_Target KPI'!$E$4:$P$4,0)))),0)</f>
        <v>0</v>
      </c>
      <c r="I149" s="24"/>
      <c r="J149" s="27">
        <f>IFERROR(MIN(IF(VLOOKUP(F149,'05_Master KPI'!$B$5:$G$100,5,FALSE)="Lower",H149/I149,I149/H149),1),0)</f>
        <v>0</v>
      </c>
      <c r="K149" s="26">
        <f>IFERROR(VLOOKUP(F149,'05_Master KPI'!$B$5:$G$100,4,FALSE),0)</f>
        <v>0</v>
      </c>
      <c r="L149" s="28">
        <f t="shared" si="2"/>
        <v>0</v>
      </c>
      <c r="M149" s="26" t="str">
        <f>IF(D149="","",IF(J149&gt;='13_Setting'!$H$7,"Tercapai",IF(J149&gt;='13_Setting'!$H$6,"On Track","Tertinggal")))</f>
        <v/>
      </c>
      <c r="N149" s="24"/>
    </row>
    <row r="150" spans="1:14">
      <c r="A150" s="24"/>
      <c r="B150" s="24"/>
      <c r="C150" s="25"/>
      <c r="D150" s="24"/>
      <c r="E150" s="26" t="str">
        <f>IFERROR(VLOOKUP(D150,'04_Master Karyawan'!$A$5:$F$50,2,FALSE),"")</f>
        <v/>
      </c>
      <c r="F150" s="24"/>
      <c r="G150" s="26" t="str">
        <f>IFERROR(VLOOKUP(F150,'05_Master KPI'!$B$5:$G$100,2,FALSE)&amp;" ("&amp;VLOOKUP(F150,'05_Master KPI'!$B$5:$G$100,3,FALSE)&amp;")","")</f>
        <v/>
      </c>
      <c r="H150" s="26">
        <f>IFERROR(IF(B150&lt;&gt;'06_Target KPI'!$B$3,0,IF(VLOOKUP(F150,'05_Master KPI'!$B$5:$G$100,6,FALSE)="Kumulatif",INDEX('06_Target KPI'!$E$5:$P$100,MATCH(F150,'06_Target KPI'!$B$5:$B$100,0),MATCH(A150,'06_Target KPI'!$E$4:$P$4,0))*DAY(C150)/DAY(EOMONTH(C150,0)),INDEX('06_Target KPI'!$E$5:$P$100,MATCH(F150,'06_Target KPI'!$B$5:$B$100,0),MATCH(A150,'06_Target KPI'!$E$4:$P$4,0)))),0)</f>
        <v>0</v>
      </c>
      <c r="I150" s="24"/>
      <c r="J150" s="27">
        <f>IFERROR(MIN(IF(VLOOKUP(F150,'05_Master KPI'!$B$5:$G$100,5,FALSE)="Lower",H150/I150,I150/H150),1),0)</f>
        <v>0</v>
      </c>
      <c r="K150" s="26">
        <f>IFERROR(VLOOKUP(F150,'05_Master KPI'!$B$5:$G$100,4,FALSE),0)</f>
        <v>0</v>
      </c>
      <c r="L150" s="28">
        <f t="shared" si="2"/>
        <v>0</v>
      </c>
      <c r="M150" s="26" t="str">
        <f>IF(D150="","",IF(J150&gt;='13_Setting'!$H$7,"Tercapai",IF(J150&gt;='13_Setting'!$H$6,"On Track","Tertinggal")))</f>
        <v/>
      </c>
      <c r="N150" s="24"/>
    </row>
    <row r="151" spans="1:14">
      <c r="A151" s="24"/>
      <c r="B151" s="24"/>
      <c r="C151" s="25"/>
      <c r="D151" s="24"/>
      <c r="E151" s="26" t="str">
        <f>IFERROR(VLOOKUP(D151,'04_Master Karyawan'!$A$5:$F$50,2,FALSE),"")</f>
        <v/>
      </c>
      <c r="F151" s="24"/>
      <c r="G151" s="26" t="str">
        <f>IFERROR(VLOOKUP(F151,'05_Master KPI'!$B$5:$G$100,2,FALSE)&amp;" ("&amp;VLOOKUP(F151,'05_Master KPI'!$B$5:$G$100,3,FALSE)&amp;")","")</f>
        <v/>
      </c>
      <c r="H151" s="26">
        <f>IFERROR(IF(B151&lt;&gt;'06_Target KPI'!$B$3,0,IF(VLOOKUP(F151,'05_Master KPI'!$B$5:$G$100,6,FALSE)="Kumulatif",INDEX('06_Target KPI'!$E$5:$P$100,MATCH(F151,'06_Target KPI'!$B$5:$B$100,0),MATCH(A151,'06_Target KPI'!$E$4:$P$4,0))*DAY(C151)/DAY(EOMONTH(C151,0)),INDEX('06_Target KPI'!$E$5:$P$100,MATCH(F151,'06_Target KPI'!$B$5:$B$100,0),MATCH(A151,'06_Target KPI'!$E$4:$P$4,0)))),0)</f>
        <v>0</v>
      </c>
      <c r="I151" s="24"/>
      <c r="J151" s="27">
        <f>IFERROR(MIN(IF(VLOOKUP(F151,'05_Master KPI'!$B$5:$G$100,5,FALSE)="Lower",H151/I151,I151/H151),1),0)</f>
        <v>0</v>
      </c>
      <c r="K151" s="26">
        <f>IFERROR(VLOOKUP(F151,'05_Master KPI'!$B$5:$G$100,4,FALSE),0)</f>
        <v>0</v>
      </c>
      <c r="L151" s="28">
        <f t="shared" si="2"/>
        <v>0</v>
      </c>
      <c r="M151" s="26" t="str">
        <f>IF(D151="","",IF(J151&gt;='13_Setting'!$H$7,"Tercapai",IF(J151&gt;='13_Setting'!$H$6,"On Track","Tertinggal")))</f>
        <v/>
      </c>
      <c r="N151" s="24"/>
    </row>
    <row r="152" spans="1:14">
      <c r="A152" s="24"/>
      <c r="B152" s="24"/>
      <c r="C152" s="25"/>
      <c r="D152" s="24"/>
      <c r="E152" s="26" t="str">
        <f>IFERROR(VLOOKUP(D152,'04_Master Karyawan'!$A$5:$F$50,2,FALSE),"")</f>
        <v/>
      </c>
      <c r="F152" s="24"/>
      <c r="G152" s="26" t="str">
        <f>IFERROR(VLOOKUP(F152,'05_Master KPI'!$B$5:$G$100,2,FALSE)&amp;" ("&amp;VLOOKUP(F152,'05_Master KPI'!$B$5:$G$100,3,FALSE)&amp;")","")</f>
        <v/>
      </c>
      <c r="H152" s="26">
        <f>IFERROR(IF(B152&lt;&gt;'06_Target KPI'!$B$3,0,IF(VLOOKUP(F152,'05_Master KPI'!$B$5:$G$100,6,FALSE)="Kumulatif",INDEX('06_Target KPI'!$E$5:$P$100,MATCH(F152,'06_Target KPI'!$B$5:$B$100,0),MATCH(A152,'06_Target KPI'!$E$4:$P$4,0))*DAY(C152)/DAY(EOMONTH(C152,0)),INDEX('06_Target KPI'!$E$5:$P$100,MATCH(F152,'06_Target KPI'!$B$5:$B$100,0),MATCH(A152,'06_Target KPI'!$E$4:$P$4,0)))),0)</f>
        <v>0</v>
      </c>
      <c r="I152" s="24"/>
      <c r="J152" s="27">
        <f>IFERROR(MIN(IF(VLOOKUP(F152,'05_Master KPI'!$B$5:$G$100,5,FALSE)="Lower",H152/I152,I152/H152),1),0)</f>
        <v>0</v>
      </c>
      <c r="K152" s="26">
        <f>IFERROR(VLOOKUP(F152,'05_Master KPI'!$B$5:$G$100,4,FALSE),0)</f>
        <v>0</v>
      </c>
      <c r="L152" s="28">
        <f t="shared" si="2"/>
        <v>0</v>
      </c>
      <c r="M152" s="26" t="str">
        <f>IF(D152="","",IF(J152&gt;='13_Setting'!$H$7,"Tercapai",IF(J152&gt;='13_Setting'!$H$6,"On Track","Tertinggal")))</f>
        <v/>
      </c>
      <c r="N152" s="24"/>
    </row>
    <row r="153" spans="1:14">
      <c r="A153" s="24"/>
      <c r="B153" s="24"/>
      <c r="C153" s="25"/>
      <c r="D153" s="24"/>
      <c r="E153" s="26" t="str">
        <f>IFERROR(VLOOKUP(D153,'04_Master Karyawan'!$A$5:$F$50,2,FALSE),"")</f>
        <v/>
      </c>
      <c r="F153" s="24"/>
      <c r="G153" s="26" t="str">
        <f>IFERROR(VLOOKUP(F153,'05_Master KPI'!$B$5:$G$100,2,FALSE)&amp;" ("&amp;VLOOKUP(F153,'05_Master KPI'!$B$5:$G$100,3,FALSE)&amp;")","")</f>
        <v/>
      </c>
      <c r="H153" s="26">
        <f>IFERROR(IF(B153&lt;&gt;'06_Target KPI'!$B$3,0,IF(VLOOKUP(F153,'05_Master KPI'!$B$5:$G$100,6,FALSE)="Kumulatif",INDEX('06_Target KPI'!$E$5:$P$100,MATCH(F153,'06_Target KPI'!$B$5:$B$100,0),MATCH(A153,'06_Target KPI'!$E$4:$P$4,0))*DAY(C153)/DAY(EOMONTH(C153,0)),INDEX('06_Target KPI'!$E$5:$P$100,MATCH(F153,'06_Target KPI'!$B$5:$B$100,0),MATCH(A153,'06_Target KPI'!$E$4:$P$4,0)))),0)</f>
        <v>0</v>
      </c>
      <c r="I153" s="24"/>
      <c r="J153" s="27">
        <f>IFERROR(MIN(IF(VLOOKUP(F153,'05_Master KPI'!$B$5:$G$100,5,FALSE)="Lower",H153/I153,I153/H153),1),0)</f>
        <v>0</v>
      </c>
      <c r="K153" s="26">
        <f>IFERROR(VLOOKUP(F153,'05_Master KPI'!$B$5:$G$100,4,FALSE),0)</f>
        <v>0</v>
      </c>
      <c r="L153" s="28">
        <f t="shared" si="2"/>
        <v>0</v>
      </c>
      <c r="M153" s="26" t="str">
        <f>IF(D153="","",IF(J153&gt;='13_Setting'!$H$7,"Tercapai",IF(J153&gt;='13_Setting'!$H$6,"On Track","Tertinggal")))</f>
        <v/>
      </c>
      <c r="N153" s="24"/>
    </row>
    <row r="154" spans="1:14">
      <c r="A154" s="24"/>
      <c r="B154" s="24"/>
      <c r="C154" s="25"/>
      <c r="D154" s="24"/>
      <c r="E154" s="26" t="str">
        <f>IFERROR(VLOOKUP(D154,'04_Master Karyawan'!$A$5:$F$50,2,FALSE),"")</f>
        <v/>
      </c>
      <c r="F154" s="24"/>
      <c r="G154" s="26" t="str">
        <f>IFERROR(VLOOKUP(F154,'05_Master KPI'!$B$5:$G$100,2,FALSE)&amp;" ("&amp;VLOOKUP(F154,'05_Master KPI'!$B$5:$G$100,3,FALSE)&amp;")","")</f>
        <v/>
      </c>
      <c r="H154" s="26">
        <f>IFERROR(IF(B154&lt;&gt;'06_Target KPI'!$B$3,0,IF(VLOOKUP(F154,'05_Master KPI'!$B$5:$G$100,6,FALSE)="Kumulatif",INDEX('06_Target KPI'!$E$5:$P$100,MATCH(F154,'06_Target KPI'!$B$5:$B$100,0),MATCH(A154,'06_Target KPI'!$E$4:$P$4,0))*DAY(C154)/DAY(EOMONTH(C154,0)),INDEX('06_Target KPI'!$E$5:$P$100,MATCH(F154,'06_Target KPI'!$B$5:$B$100,0),MATCH(A154,'06_Target KPI'!$E$4:$P$4,0)))),0)</f>
        <v>0</v>
      </c>
      <c r="I154" s="24"/>
      <c r="J154" s="27">
        <f>IFERROR(MIN(IF(VLOOKUP(F154,'05_Master KPI'!$B$5:$G$100,5,FALSE)="Lower",H154/I154,I154/H154),1),0)</f>
        <v>0</v>
      </c>
      <c r="K154" s="26">
        <f>IFERROR(VLOOKUP(F154,'05_Master KPI'!$B$5:$G$100,4,FALSE),0)</f>
        <v>0</v>
      </c>
      <c r="L154" s="28">
        <f t="shared" si="2"/>
        <v>0</v>
      </c>
      <c r="M154" s="26" t="str">
        <f>IF(D154="","",IF(J154&gt;='13_Setting'!$H$7,"Tercapai",IF(J154&gt;='13_Setting'!$H$6,"On Track","Tertinggal")))</f>
        <v/>
      </c>
      <c r="N154" s="24"/>
    </row>
    <row r="155" spans="1:14">
      <c r="A155" s="24"/>
      <c r="B155" s="24"/>
      <c r="C155" s="25"/>
      <c r="D155" s="24"/>
      <c r="E155" s="26" t="str">
        <f>IFERROR(VLOOKUP(D155,'04_Master Karyawan'!$A$5:$F$50,2,FALSE),"")</f>
        <v/>
      </c>
      <c r="F155" s="24"/>
      <c r="G155" s="26" t="str">
        <f>IFERROR(VLOOKUP(F155,'05_Master KPI'!$B$5:$G$100,2,FALSE)&amp;" ("&amp;VLOOKUP(F155,'05_Master KPI'!$B$5:$G$100,3,FALSE)&amp;")","")</f>
        <v/>
      </c>
      <c r="H155" s="26">
        <f>IFERROR(IF(B155&lt;&gt;'06_Target KPI'!$B$3,0,IF(VLOOKUP(F155,'05_Master KPI'!$B$5:$G$100,6,FALSE)="Kumulatif",INDEX('06_Target KPI'!$E$5:$P$100,MATCH(F155,'06_Target KPI'!$B$5:$B$100,0),MATCH(A155,'06_Target KPI'!$E$4:$P$4,0))*DAY(C155)/DAY(EOMONTH(C155,0)),INDEX('06_Target KPI'!$E$5:$P$100,MATCH(F155,'06_Target KPI'!$B$5:$B$100,0),MATCH(A155,'06_Target KPI'!$E$4:$P$4,0)))),0)</f>
        <v>0</v>
      </c>
      <c r="I155" s="24"/>
      <c r="J155" s="27">
        <f>IFERROR(MIN(IF(VLOOKUP(F155,'05_Master KPI'!$B$5:$G$100,5,FALSE)="Lower",H155/I155,I155/H155),1),0)</f>
        <v>0</v>
      </c>
      <c r="K155" s="26">
        <f>IFERROR(VLOOKUP(F155,'05_Master KPI'!$B$5:$G$100,4,FALSE),0)</f>
        <v>0</v>
      </c>
      <c r="L155" s="28">
        <f t="shared" si="2"/>
        <v>0</v>
      </c>
      <c r="M155" s="26" t="str">
        <f>IF(D155="","",IF(J155&gt;='13_Setting'!$H$7,"Tercapai",IF(J155&gt;='13_Setting'!$H$6,"On Track","Tertinggal")))</f>
        <v/>
      </c>
      <c r="N155" s="24"/>
    </row>
    <row r="156" spans="1:14">
      <c r="A156" s="24"/>
      <c r="B156" s="24"/>
      <c r="C156" s="25"/>
      <c r="D156" s="24"/>
      <c r="E156" s="26" t="str">
        <f>IFERROR(VLOOKUP(D156,'04_Master Karyawan'!$A$5:$F$50,2,FALSE),"")</f>
        <v/>
      </c>
      <c r="F156" s="24"/>
      <c r="G156" s="26" t="str">
        <f>IFERROR(VLOOKUP(F156,'05_Master KPI'!$B$5:$G$100,2,FALSE)&amp;" ("&amp;VLOOKUP(F156,'05_Master KPI'!$B$5:$G$100,3,FALSE)&amp;")","")</f>
        <v/>
      </c>
      <c r="H156" s="26">
        <f>IFERROR(IF(B156&lt;&gt;'06_Target KPI'!$B$3,0,IF(VLOOKUP(F156,'05_Master KPI'!$B$5:$G$100,6,FALSE)="Kumulatif",INDEX('06_Target KPI'!$E$5:$P$100,MATCH(F156,'06_Target KPI'!$B$5:$B$100,0),MATCH(A156,'06_Target KPI'!$E$4:$P$4,0))*DAY(C156)/DAY(EOMONTH(C156,0)),INDEX('06_Target KPI'!$E$5:$P$100,MATCH(F156,'06_Target KPI'!$B$5:$B$100,0),MATCH(A156,'06_Target KPI'!$E$4:$P$4,0)))),0)</f>
        <v>0</v>
      </c>
      <c r="I156" s="24"/>
      <c r="J156" s="27">
        <f>IFERROR(MIN(IF(VLOOKUP(F156,'05_Master KPI'!$B$5:$G$100,5,FALSE)="Lower",H156/I156,I156/H156),1),0)</f>
        <v>0</v>
      </c>
      <c r="K156" s="26">
        <f>IFERROR(VLOOKUP(F156,'05_Master KPI'!$B$5:$G$100,4,FALSE),0)</f>
        <v>0</v>
      </c>
      <c r="L156" s="28">
        <f t="shared" si="2"/>
        <v>0</v>
      </c>
      <c r="M156" s="26" t="str">
        <f>IF(D156="","",IF(J156&gt;='13_Setting'!$H$7,"Tercapai",IF(J156&gt;='13_Setting'!$H$6,"On Track","Tertinggal")))</f>
        <v/>
      </c>
      <c r="N156" s="24"/>
    </row>
    <row r="157" spans="1:14">
      <c r="A157" s="24"/>
      <c r="B157" s="24"/>
      <c r="C157" s="25"/>
      <c r="D157" s="24"/>
      <c r="E157" s="26" t="str">
        <f>IFERROR(VLOOKUP(D157,'04_Master Karyawan'!$A$5:$F$50,2,FALSE),"")</f>
        <v/>
      </c>
      <c r="F157" s="24"/>
      <c r="G157" s="26" t="str">
        <f>IFERROR(VLOOKUP(F157,'05_Master KPI'!$B$5:$G$100,2,FALSE)&amp;" ("&amp;VLOOKUP(F157,'05_Master KPI'!$B$5:$G$100,3,FALSE)&amp;")","")</f>
        <v/>
      </c>
      <c r="H157" s="26">
        <f>IFERROR(IF(B157&lt;&gt;'06_Target KPI'!$B$3,0,IF(VLOOKUP(F157,'05_Master KPI'!$B$5:$G$100,6,FALSE)="Kumulatif",INDEX('06_Target KPI'!$E$5:$P$100,MATCH(F157,'06_Target KPI'!$B$5:$B$100,0),MATCH(A157,'06_Target KPI'!$E$4:$P$4,0))*DAY(C157)/DAY(EOMONTH(C157,0)),INDEX('06_Target KPI'!$E$5:$P$100,MATCH(F157,'06_Target KPI'!$B$5:$B$100,0),MATCH(A157,'06_Target KPI'!$E$4:$P$4,0)))),0)</f>
        <v>0</v>
      </c>
      <c r="I157" s="24"/>
      <c r="J157" s="27">
        <f>IFERROR(MIN(IF(VLOOKUP(F157,'05_Master KPI'!$B$5:$G$100,5,FALSE)="Lower",H157/I157,I157/H157),1),0)</f>
        <v>0</v>
      </c>
      <c r="K157" s="26">
        <f>IFERROR(VLOOKUP(F157,'05_Master KPI'!$B$5:$G$100,4,FALSE),0)</f>
        <v>0</v>
      </c>
      <c r="L157" s="28">
        <f t="shared" si="2"/>
        <v>0</v>
      </c>
      <c r="M157" s="26" t="str">
        <f>IF(D157="","",IF(J157&gt;='13_Setting'!$H$7,"Tercapai",IF(J157&gt;='13_Setting'!$H$6,"On Track","Tertinggal")))</f>
        <v/>
      </c>
      <c r="N157" s="24"/>
    </row>
    <row r="158" spans="1:14">
      <c r="A158" s="24"/>
      <c r="B158" s="24"/>
      <c r="C158" s="25"/>
      <c r="D158" s="24"/>
      <c r="E158" s="26" t="str">
        <f>IFERROR(VLOOKUP(D158,'04_Master Karyawan'!$A$5:$F$50,2,FALSE),"")</f>
        <v/>
      </c>
      <c r="F158" s="24"/>
      <c r="G158" s="26" t="str">
        <f>IFERROR(VLOOKUP(F158,'05_Master KPI'!$B$5:$G$100,2,FALSE)&amp;" ("&amp;VLOOKUP(F158,'05_Master KPI'!$B$5:$G$100,3,FALSE)&amp;")","")</f>
        <v/>
      </c>
      <c r="H158" s="26">
        <f>IFERROR(IF(B158&lt;&gt;'06_Target KPI'!$B$3,0,IF(VLOOKUP(F158,'05_Master KPI'!$B$5:$G$100,6,FALSE)="Kumulatif",INDEX('06_Target KPI'!$E$5:$P$100,MATCH(F158,'06_Target KPI'!$B$5:$B$100,0),MATCH(A158,'06_Target KPI'!$E$4:$P$4,0))*DAY(C158)/DAY(EOMONTH(C158,0)),INDEX('06_Target KPI'!$E$5:$P$100,MATCH(F158,'06_Target KPI'!$B$5:$B$100,0),MATCH(A158,'06_Target KPI'!$E$4:$P$4,0)))),0)</f>
        <v>0</v>
      </c>
      <c r="I158" s="24"/>
      <c r="J158" s="27">
        <f>IFERROR(MIN(IF(VLOOKUP(F158,'05_Master KPI'!$B$5:$G$100,5,FALSE)="Lower",H158/I158,I158/H158),1),0)</f>
        <v>0</v>
      </c>
      <c r="K158" s="26">
        <f>IFERROR(VLOOKUP(F158,'05_Master KPI'!$B$5:$G$100,4,FALSE),0)</f>
        <v>0</v>
      </c>
      <c r="L158" s="28">
        <f t="shared" si="2"/>
        <v>0</v>
      </c>
      <c r="M158" s="26" t="str">
        <f>IF(D158="","",IF(J158&gt;='13_Setting'!$H$7,"Tercapai",IF(J158&gt;='13_Setting'!$H$6,"On Track","Tertinggal")))</f>
        <v/>
      </c>
      <c r="N158" s="24"/>
    </row>
    <row r="159" spans="1:14">
      <c r="A159" s="24"/>
      <c r="B159" s="24"/>
      <c r="C159" s="25"/>
      <c r="D159" s="24"/>
      <c r="E159" s="26" t="str">
        <f>IFERROR(VLOOKUP(D159,'04_Master Karyawan'!$A$5:$F$50,2,FALSE),"")</f>
        <v/>
      </c>
      <c r="F159" s="24"/>
      <c r="G159" s="26" t="str">
        <f>IFERROR(VLOOKUP(F159,'05_Master KPI'!$B$5:$G$100,2,FALSE)&amp;" ("&amp;VLOOKUP(F159,'05_Master KPI'!$B$5:$G$100,3,FALSE)&amp;")","")</f>
        <v/>
      </c>
      <c r="H159" s="26">
        <f>IFERROR(IF(B159&lt;&gt;'06_Target KPI'!$B$3,0,IF(VLOOKUP(F159,'05_Master KPI'!$B$5:$G$100,6,FALSE)="Kumulatif",INDEX('06_Target KPI'!$E$5:$P$100,MATCH(F159,'06_Target KPI'!$B$5:$B$100,0),MATCH(A159,'06_Target KPI'!$E$4:$P$4,0))*DAY(C159)/DAY(EOMONTH(C159,0)),INDEX('06_Target KPI'!$E$5:$P$100,MATCH(F159,'06_Target KPI'!$B$5:$B$100,0),MATCH(A159,'06_Target KPI'!$E$4:$P$4,0)))),0)</f>
        <v>0</v>
      </c>
      <c r="I159" s="24"/>
      <c r="J159" s="27">
        <f>IFERROR(MIN(IF(VLOOKUP(F159,'05_Master KPI'!$B$5:$G$100,5,FALSE)="Lower",H159/I159,I159/H159),1),0)</f>
        <v>0</v>
      </c>
      <c r="K159" s="26">
        <f>IFERROR(VLOOKUP(F159,'05_Master KPI'!$B$5:$G$100,4,FALSE),0)</f>
        <v>0</v>
      </c>
      <c r="L159" s="28">
        <f t="shared" si="2"/>
        <v>0</v>
      </c>
      <c r="M159" s="26" t="str">
        <f>IF(D159="","",IF(J159&gt;='13_Setting'!$H$7,"Tercapai",IF(J159&gt;='13_Setting'!$H$6,"On Track","Tertinggal")))</f>
        <v/>
      </c>
      <c r="N159" s="24"/>
    </row>
    <row r="160" spans="1:14">
      <c r="A160" s="24"/>
      <c r="B160" s="24"/>
      <c r="C160" s="25"/>
      <c r="D160" s="24"/>
      <c r="E160" s="26" t="str">
        <f>IFERROR(VLOOKUP(D160,'04_Master Karyawan'!$A$5:$F$50,2,FALSE),"")</f>
        <v/>
      </c>
      <c r="F160" s="24"/>
      <c r="G160" s="26" t="str">
        <f>IFERROR(VLOOKUP(F160,'05_Master KPI'!$B$5:$G$100,2,FALSE)&amp;" ("&amp;VLOOKUP(F160,'05_Master KPI'!$B$5:$G$100,3,FALSE)&amp;")","")</f>
        <v/>
      </c>
      <c r="H160" s="26">
        <f>IFERROR(IF(B160&lt;&gt;'06_Target KPI'!$B$3,0,IF(VLOOKUP(F160,'05_Master KPI'!$B$5:$G$100,6,FALSE)="Kumulatif",INDEX('06_Target KPI'!$E$5:$P$100,MATCH(F160,'06_Target KPI'!$B$5:$B$100,0),MATCH(A160,'06_Target KPI'!$E$4:$P$4,0))*DAY(C160)/DAY(EOMONTH(C160,0)),INDEX('06_Target KPI'!$E$5:$P$100,MATCH(F160,'06_Target KPI'!$B$5:$B$100,0),MATCH(A160,'06_Target KPI'!$E$4:$P$4,0)))),0)</f>
        <v>0</v>
      </c>
      <c r="I160" s="24"/>
      <c r="J160" s="27">
        <f>IFERROR(MIN(IF(VLOOKUP(F160,'05_Master KPI'!$B$5:$G$100,5,FALSE)="Lower",H160/I160,I160/H160),1),0)</f>
        <v>0</v>
      </c>
      <c r="K160" s="26">
        <f>IFERROR(VLOOKUP(F160,'05_Master KPI'!$B$5:$G$100,4,FALSE),0)</f>
        <v>0</v>
      </c>
      <c r="L160" s="28">
        <f t="shared" si="2"/>
        <v>0</v>
      </c>
      <c r="M160" s="26" t="str">
        <f>IF(D160="","",IF(J160&gt;='13_Setting'!$H$7,"Tercapai",IF(J160&gt;='13_Setting'!$H$6,"On Track","Tertinggal")))</f>
        <v/>
      </c>
      <c r="N160" s="24"/>
    </row>
    <row r="161" spans="1:14">
      <c r="A161" s="24"/>
      <c r="B161" s="24"/>
      <c r="C161" s="25"/>
      <c r="D161" s="24"/>
      <c r="E161" s="26" t="str">
        <f>IFERROR(VLOOKUP(D161,'04_Master Karyawan'!$A$5:$F$50,2,FALSE),"")</f>
        <v/>
      </c>
      <c r="F161" s="24"/>
      <c r="G161" s="26" t="str">
        <f>IFERROR(VLOOKUP(F161,'05_Master KPI'!$B$5:$G$100,2,FALSE)&amp;" ("&amp;VLOOKUP(F161,'05_Master KPI'!$B$5:$G$100,3,FALSE)&amp;")","")</f>
        <v/>
      </c>
      <c r="H161" s="26">
        <f>IFERROR(IF(B161&lt;&gt;'06_Target KPI'!$B$3,0,IF(VLOOKUP(F161,'05_Master KPI'!$B$5:$G$100,6,FALSE)="Kumulatif",INDEX('06_Target KPI'!$E$5:$P$100,MATCH(F161,'06_Target KPI'!$B$5:$B$100,0),MATCH(A161,'06_Target KPI'!$E$4:$P$4,0))*DAY(C161)/DAY(EOMONTH(C161,0)),INDEX('06_Target KPI'!$E$5:$P$100,MATCH(F161,'06_Target KPI'!$B$5:$B$100,0),MATCH(A161,'06_Target KPI'!$E$4:$P$4,0)))),0)</f>
        <v>0</v>
      </c>
      <c r="I161" s="24"/>
      <c r="J161" s="27">
        <f>IFERROR(MIN(IF(VLOOKUP(F161,'05_Master KPI'!$B$5:$G$100,5,FALSE)="Lower",H161/I161,I161/H161),1),0)</f>
        <v>0</v>
      </c>
      <c r="K161" s="26">
        <f>IFERROR(VLOOKUP(F161,'05_Master KPI'!$B$5:$G$100,4,FALSE),0)</f>
        <v>0</v>
      </c>
      <c r="L161" s="28">
        <f t="shared" si="2"/>
        <v>0</v>
      </c>
      <c r="M161" s="26" t="str">
        <f>IF(D161="","",IF(J161&gt;='13_Setting'!$H$7,"Tercapai",IF(J161&gt;='13_Setting'!$H$6,"On Track","Tertinggal")))</f>
        <v/>
      </c>
      <c r="N161" s="24"/>
    </row>
    <row r="162" spans="1:14">
      <c r="A162" s="24"/>
      <c r="B162" s="24"/>
      <c r="C162" s="25"/>
      <c r="D162" s="24"/>
      <c r="E162" s="26" t="str">
        <f>IFERROR(VLOOKUP(D162,'04_Master Karyawan'!$A$5:$F$50,2,FALSE),"")</f>
        <v/>
      </c>
      <c r="F162" s="24"/>
      <c r="G162" s="26" t="str">
        <f>IFERROR(VLOOKUP(F162,'05_Master KPI'!$B$5:$G$100,2,FALSE)&amp;" ("&amp;VLOOKUP(F162,'05_Master KPI'!$B$5:$G$100,3,FALSE)&amp;")","")</f>
        <v/>
      </c>
      <c r="H162" s="26">
        <f>IFERROR(IF(B162&lt;&gt;'06_Target KPI'!$B$3,0,IF(VLOOKUP(F162,'05_Master KPI'!$B$5:$G$100,6,FALSE)="Kumulatif",INDEX('06_Target KPI'!$E$5:$P$100,MATCH(F162,'06_Target KPI'!$B$5:$B$100,0),MATCH(A162,'06_Target KPI'!$E$4:$P$4,0))*DAY(C162)/DAY(EOMONTH(C162,0)),INDEX('06_Target KPI'!$E$5:$P$100,MATCH(F162,'06_Target KPI'!$B$5:$B$100,0),MATCH(A162,'06_Target KPI'!$E$4:$P$4,0)))),0)</f>
        <v>0</v>
      </c>
      <c r="I162" s="24"/>
      <c r="J162" s="27">
        <f>IFERROR(MIN(IF(VLOOKUP(F162,'05_Master KPI'!$B$5:$G$100,5,FALSE)="Lower",H162/I162,I162/H162),1),0)</f>
        <v>0</v>
      </c>
      <c r="K162" s="26">
        <f>IFERROR(VLOOKUP(F162,'05_Master KPI'!$B$5:$G$100,4,FALSE),0)</f>
        <v>0</v>
      </c>
      <c r="L162" s="28">
        <f t="shared" si="2"/>
        <v>0</v>
      </c>
      <c r="M162" s="26" t="str">
        <f>IF(D162="","",IF(J162&gt;='13_Setting'!$H$7,"Tercapai",IF(J162&gt;='13_Setting'!$H$6,"On Track","Tertinggal")))</f>
        <v/>
      </c>
      <c r="N162" s="24"/>
    </row>
    <row r="163" spans="1:14">
      <c r="A163" s="24"/>
      <c r="B163" s="24"/>
      <c r="C163" s="25"/>
      <c r="D163" s="24"/>
      <c r="E163" s="26" t="str">
        <f>IFERROR(VLOOKUP(D163,'04_Master Karyawan'!$A$5:$F$50,2,FALSE),"")</f>
        <v/>
      </c>
      <c r="F163" s="24"/>
      <c r="G163" s="26" t="str">
        <f>IFERROR(VLOOKUP(F163,'05_Master KPI'!$B$5:$G$100,2,FALSE)&amp;" ("&amp;VLOOKUP(F163,'05_Master KPI'!$B$5:$G$100,3,FALSE)&amp;")","")</f>
        <v/>
      </c>
      <c r="H163" s="26">
        <f>IFERROR(IF(B163&lt;&gt;'06_Target KPI'!$B$3,0,IF(VLOOKUP(F163,'05_Master KPI'!$B$5:$G$100,6,FALSE)="Kumulatif",INDEX('06_Target KPI'!$E$5:$P$100,MATCH(F163,'06_Target KPI'!$B$5:$B$100,0),MATCH(A163,'06_Target KPI'!$E$4:$P$4,0))*DAY(C163)/DAY(EOMONTH(C163,0)),INDEX('06_Target KPI'!$E$5:$P$100,MATCH(F163,'06_Target KPI'!$B$5:$B$100,0),MATCH(A163,'06_Target KPI'!$E$4:$P$4,0)))),0)</f>
        <v>0</v>
      </c>
      <c r="I163" s="24"/>
      <c r="J163" s="27">
        <f>IFERROR(MIN(IF(VLOOKUP(F163,'05_Master KPI'!$B$5:$G$100,5,FALSE)="Lower",H163/I163,I163/H163),1),0)</f>
        <v>0</v>
      </c>
      <c r="K163" s="26">
        <f>IFERROR(VLOOKUP(F163,'05_Master KPI'!$B$5:$G$100,4,FALSE),0)</f>
        <v>0</v>
      </c>
      <c r="L163" s="28">
        <f t="shared" si="2"/>
        <v>0</v>
      </c>
      <c r="M163" s="26" t="str">
        <f>IF(D163="","",IF(J163&gt;='13_Setting'!$H$7,"Tercapai",IF(J163&gt;='13_Setting'!$H$6,"On Track","Tertinggal")))</f>
        <v/>
      </c>
      <c r="N163" s="24"/>
    </row>
    <row r="164" spans="1:14">
      <c r="A164" s="24"/>
      <c r="B164" s="24"/>
      <c r="C164" s="25"/>
      <c r="D164" s="24"/>
      <c r="E164" s="26" t="str">
        <f>IFERROR(VLOOKUP(D164,'04_Master Karyawan'!$A$5:$F$50,2,FALSE),"")</f>
        <v/>
      </c>
      <c r="F164" s="24"/>
      <c r="G164" s="26" t="str">
        <f>IFERROR(VLOOKUP(F164,'05_Master KPI'!$B$5:$G$100,2,FALSE)&amp;" ("&amp;VLOOKUP(F164,'05_Master KPI'!$B$5:$G$100,3,FALSE)&amp;")","")</f>
        <v/>
      </c>
      <c r="H164" s="26">
        <f>IFERROR(IF(B164&lt;&gt;'06_Target KPI'!$B$3,0,IF(VLOOKUP(F164,'05_Master KPI'!$B$5:$G$100,6,FALSE)="Kumulatif",INDEX('06_Target KPI'!$E$5:$P$100,MATCH(F164,'06_Target KPI'!$B$5:$B$100,0),MATCH(A164,'06_Target KPI'!$E$4:$P$4,0))*DAY(C164)/DAY(EOMONTH(C164,0)),INDEX('06_Target KPI'!$E$5:$P$100,MATCH(F164,'06_Target KPI'!$B$5:$B$100,0),MATCH(A164,'06_Target KPI'!$E$4:$P$4,0)))),0)</f>
        <v>0</v>
      </c>
      <c r="I164" s="24"/>
      <c r="J164" s="27">
        <f>IFERROR(MIN(IF(VLOOKUP(F164,'05_Master KPI'!$B$5:$G$100,5,FALSE)="Lower",H164/I164,I164/H164),1),0)</f>
        <v>0</v>
      </c>
      <c r="K164" s="26">
        <f>IFERROR(VLOOKUP(F164,'05_Master KPI'!$B$5:$G$100,4,FALSE),0)</f>
        <v>0</v>
      </c>
      <c r="L164" s="28">
        <f t="shared" si="2"/>
        <v>0</v>
      </c>
      <c r="M164" s="26" t="str">
        <f>IF(D164="","",IF(J164&gt;='13_Setting'!$H$7,"Tercapai",IF(J164&gt;='13_Setting'!$H$6,"On Track","Tertinggal")))</f>
        <v/>
      </c>
      <c r="N164" s="24"/>
    </row>
    <row r="165" spans="1:14">
      <c r="A165" s="24"/>
      <c r="B165" s="24"/>
      <c r="C165" s="25"/>
      <c r="D165" s="24"/>
      <c r="E165" s="26" t="str">
        <f>IFERROR(VLOOKUP(D165,'04_Master Karyawan'!$A$5:$F$50,2,FALSE),"")</f>
        <v/>
      </c>
      <c r="F165" s="24"/>
      <c r="G165" s="26" t="str">
        <f>IFERROR(VLOOKUP(F165,'05_Master KPI'!$B$5:$G$100,2,FALSE)&amp;" ("&amp;VLOOKUP(F165,'05_Master KPI'!$B$5:$G$100,3,FALSE)&amp;")","")</f>
        <v/>
      </c>
      <c r="H165" s="26">
        <f>IFERROR(IF(B165&lt;&gt;'06_Target KPI'!$B$3,0,IF(VLOOKUP(F165,'05_Master KPI'!$B$5:$G$100,6,FALSE)="Kumulatif",INDEX('06_Target KPI'!$E$5:$P$100,MATCH(F165,'06_Target KPI'!$B$5:$B$100,0),MATCH(A165,'06_Target KPI'!$E$4:$P$4,0))*DAY(C165)/DAY(EOMONTH(C165,0)),INDEX('06_Target KPI'!$E$5:$P$100,MATCH(F165,'06_Target KPI'!$B$5:$B$100,0),MATCH(A165,'06_Target KPI'!$E$4:$P$4,0)))),0)</f>
        <v>0</v>
      </c>
      <c r="I165" s="24"/>
      <c r="J165" s="27">
        <f>IFERROR(MIN(IF(VLOOKUP(F165,'05_Master KPI'!$B$5:$G$100,5,FALSE)="Lower",H165/I165,I165/H165),1),0)</f>
        <v>0</v>
      </c>
      <c r="K165" s="26">
        <f>IFERROR(VLOOKUP(F165,'05_Master KPI'!$B$5:$G$100,4,FALSE),0)</f>
        <v>0</v>
      </c>
      <c r="L165" s="28">
        <f t="shared" si="2"/>
        <v>0</v>
      </c>
      <c r="M165" s="26" t="str">
        <f>IF(D165="","",IF(J165&gt;='13_Setting'!$H$7,"Tercapai",IF(J165&gt;='13_Setting'!$H$6,"On Track","Tertinggal")))</f>
        <v/>
      </c>
      <c r="N165" s="24"/>
    </row>
    <row r="166" spans="1:14">
      <c r="A166" s="24"/>
      <c r="B166" s="24"/>
      <c r="C166" s="25"/>
      <c r="D166" s="24"/>
      <c r="E166" s="26" t="str">
        <f>IFERROR(VLOOKUP(D166,'04_Master Karyawan'!$A$5:$F$50,2,FALSE),"")</f>
        <v/>
      </c>
      <c r="F166" s="24"/>
      <c r="G166" s="26" t="str">
        <f>IFERROR(VLOOKUP(F166,'05_Master KPI'!$B$5:$G$100,2,FALSE)&amp;" ("&amp;VLOOKUP(F166,'05_Master KPI'!$B$5:$G$100,3,FALSE)&amp;")","")</f>
        <v/>
      </c>
      <c r="H166" s="26">
        <f>IFERROR(IF(B166&lt;&gt;'06_Target KPI'!$B$3,0,IF(VLOOKUP(F166,'05_Master KPI'!$B$5:$G$100,6,FALSE)="Kumulatif",INDEX('06_Target KPI'!$E$5:$P$100,MATCH(F166,'06_Target KPI'!$B$5:$B$100,0),MATCH(A166,'06_Target KPI'!$E$4:$P$4,0))*DAY(C166)/DAY(EOMONTH(C166,0)),INDEX('06_Target KPI'!$E$5:$P$100,MATCH(F166,'06_Target KPI'!$B$5:$B$100,0),MATCH(A166,'06_Target KPI'!$E$4:$P$4,0)))),0)</f>
        <v>0</v>
      </c>
      <c r="I166" s="24"/>
      <c r="J166" s="27">
        <f>IFERROR(MIN(IF(VLOOKUP(F166,'05_Master KPI'!$B$5:$G$100,5,FALSE)="Lower",H166/I166,I166/H166),1),0)</f>
        <v>0</v>
      </c>
      <c r="K166" s="26">
        <f>IFERROR(VLOOKUP(F166,'05_Master KPI'!$B$5:$G$100,4,FALSE),0)</f>
        <v>0</v>
      </c>
      <c r="L166" s="28">
        <f t="shared" si="2"/>
        <v>0</v>
      </c>
      <c r="M166" s="26" t="str">
        <f>IF(D166="","",IF(J166&gt;='13_Setting'!$H$7,"Tercapai",IF(J166&gt;='13_Setting'!$H$6,"On Track","Tertinggal")))</f>
        <v/>
      </c>
      <c r="N166" s="24"/>
    </row>
    <row r="167" spans="1:14">
      <c r="A167" s="24"/>
      <c r="B167" s="24"/>
      <c r="C167" s="25"/>
      <c r="D167" s="24"/>
      <c r="E167" s="26" t="str">
        <f>IFERROR(VLOOKUP(D167,'04_Master Karyawan'!$A$5:$F$50,2,FALSE),"")</f>
        <v/>
      </c>
      <c r="F167" s="24"/>
      <c r="G167" s="26" t="str">
        <f>IFERROR(VLOOKUP(F167,'05_Master KPI'!$B$5:$G$100,2,FALSE)&amp;" ("&amp;VLOOKUP(F167,'05_Master KPI'!$B$5:$G$100,3,FALSE)&amp;")","")</f>
        <v/>
      </c>
      <c r="H167" s="26">
        <f>IFERROR(IF(B167&lt;&gt;'06_Target KPI'!$B$3,0,IF(VLOOKUP(F167,'05_Master KPI'!$B$5:$G$100,6,FALSE)="Kumulatif",INDEX('06_Target KPI'!$E$5:$P$100,MATCH(F167,'06_Target KPI'!$B$5:$B$100,0),MATCH(A167,'06_Target KPI'!$E$4:$P$4,0))*DAY(C167)/DAY(EOMONTH(C167,0)),INDEX('06_Target KPI'!$E$5:$P$100,MATCH(F167,'06_Target KPI'!$B$5:$B$100,0),MATCH(A167,'06_Target KPI'!$E$4:$P$4,0)))),0)</f>
        <v>0</v>
      </c>
      <c r="I167" s="24"/>
      <c r="J167" s="27">
        <f>IFERROR(MIN(IF(VLOOKUP(F167,'05_Master KPI'!$B$5:$G$100,5,FALSE)="Lower",H167/I167,I167/H167),1),0)</f>
        <v>0</v>
      </c>
      <c r="K167" s="26">
        <f>IFERROR(VLOOKUP(F167,'05_Master KPI'!$B$5:$G$100,4,FALSE),0)</f>
        <v>0</v>
      </c>
      <c r="L167" s="28">
        <f t="shared" si="2"/>
        <v>0</v>
      </c>
      <c r="M167" s="26" t="str">
        <f>IF(D167="","",IF(J167&gt;='13_Setting'!$H$7,"Tercapai",IF(J167&gt;='13_Setting'!$H$6,"On Track","Tertinggal")))</f>
        <v/>
      </c>
      <c r="N167" s="24"/>
    </row>
    <row r="168" spans="1:14">
      <c r="A168" s="24"/>
      <c r="B168" s="24"/>
      <c r="C168" s="25"/>
      <c r="D168" s="24"/>
      <c r="E168" s="26" t="str">
        <f>IFERROR(VLOOKUP(D168,'04_Master Karyawan'!$A$5:$F$50,2,FALSE),"")</f>
        <v/>
      </c>
      <c r="F168" s="24"/>
      <c r="G168" s="26" t="str">
        <f>IFERROR(VLOOKUP(F168,'05_Master KPI'!$B$5:$G$100,2,FALSE)&amp;" ("&amp;VLOOKUP(F168,'05_Master KPI'!$B$5:$G$100,3,FALSE)&amp;")","")</f>
        <v/>
      </c>
      <c r="H168" s="26">
        <f>IFERROR(IF(B168&lt;&gt;'06_Target KPI'!$B$3,0,IF(VLOOKUP(F168,'05_Master KPI'!$B$5:$G$100,6,FALSE)="Kumulatif",INDEX('06_Target KPI'!$E$5:$P$100,MATCH(F168,'06_Target KPI'!$B$5:$B$100,0),MATCH(A168,'06_Target KPI'!$E$4:$P$4,0))*DAY(C168)/DAY(EOMONTH(C168,0)),INDEX('06_Target KPI'!$E$5:$P$100,MATCH(F168,'06_Target KPI'!$B$5:$B$100,0),MATCH(A168,'06_Target KPI'!$E$4:$P$4,0)))),0)</f>
        <v>0</v>
      </c>
      <c r="I168" s="24"/>
      <c r="J168" s="27">
        <f>IFERROR(MIN(IF(VLOOKUP(F168,'05_Master KPI'!$B$5:$G$100,5,FALSE)="Lower",H168/I168,I168/H168),1),0)</f>
        <v>0</v>
      </c>
      <c r="K168" s="26">
        <f>IFERROR(VLOOKUP(F168,'05_Master KPI'!$B$5:$G$100,4,FALSE),0)</f>
        <v>0</v>
      </c>
      <c r="L168" s="28">
        <f t="shared" si="2"/>
        <v>0</v>
      </c>
      <c r="M168" s="26" t="str">
        <f>IF(D168="","",IF(J168&gt;='13_Setting'!$H$7,"Tercapai",IF(J168&gt;='13_Setting'!$H$6,"On Track","Tertinggal")))</f>
        <v/>
      </c>
      <c r="N168" s="24"/>
    </row>
    <row r="169" spans="1:14">
      <c r="A169" s="24"/>
      <c r="B169" s="24"/>
      <c r="C169" s="25"/>
      <c r="D169" s="24"/>
      <c r="E169" s="26" t="str">
        <f>IFERROR(VLOOKUP(D169,'04_Master Karyawan'!$A$5:$F$50,2,FALSE),"")</f>
        <v/>
      </c>
      <c r="F169" s="24"/>
      <c r="G169" s="26" t="str">
        <f>IFERROR(VLOOKUP(F169,'05_Master KPI'!$B$5:$G$100,2,FALSE)&amp;" ("&amp;VLOOKUP(F169,'05_Master KPI'!$B$5:$G$100,3,FALSE)&amp;")","")</f>
        <v/>
      </c>
      <c r="H169" s="26">
        <f>IFERROR(IF(B169&lt;&gt;'06_Target KPI'!$B$3,0,IF(VLOOKUP(F169,'05_Master KPI'!$B$5:$G$100,6,FALSE)="Kumulatif",INDEX('06_Target KPI'!$E$5:$P$100,MATCH(F169,'06_Target KPI'!$B$5:$B$100,0),MATCH(A169,'06_Target KPI'!$E$4:$P$4,0))*DAY(C169)/DAY(EOMONTH(C169,0)),INDEX('06_Target KPI'!$E$5:$P$100,MATCH(F169,'06_Target KPI'!$B$5:$B$100,0),MATCH(A169,'06_Target KPI'!$E$4:$P$4,0)))),0)</f>
        <v>0</v>
      </c>
      <c r="I169" s="24"/>
      <c r="J169" s="27">
        <f>IFERROR(MIN(IF(VLOOKUP(F169,'05_Master KPI'!$B$5:$G$100,5,FALSE)="Lower",H169/I169,I169/H169),1),0)</f>
        <v>0</v>
      </c>
      <c r="K169" s="26">
        <f>IFERROR(VLOOKUP(F169,'05_Master KPI'!$B$5:$G$100,4,FALSE),0)</f>
        <v>0</v>
      </c>
      <c r="L169" s="28">
        <f t="shared" si="2"/>
        <v>0</v>
      </c>
      <c r="M169" s="26" t="str">
        <f>IF(D169="","",IF(J169&gt;='13_Setting'!$H$7,"Tercapai",IF(J169&gt;='13_Setting'!$H$6,"On Track","Tertinggal")))</f>
        <v/>
      </c>
      <c r="N169" s="24"/>
    </row>
    <row r="170" spans="1:14">
      <c r="A170" s="24"/>
      <c r="B170" s="24"/>
      <c r="C170" s="25"/>
      <c r="D170" s="24"/>
      <c r="E170" s="26" t="str">
        <f>IFERROR(VLOOKUP(D170,'04_Master Karyawan'!$A$5:$F$50,2,FALSE),"")</f>
        <v/>
      </c>
      <c r="F170" s="24"/>
      <c r="G170" s="26" t="str">
        <f>IFERROR(VLOOKUP(F170,'05_Master KPI'!$B$5:$G$100,2,FALSE)&amp;" ("&amp;VLOOKUP(F170,'05_Master KPI'!$B$5:$G$100,3,FALSE)&amp;")","")</f>
        <v/>
      </c>
      <c r="H170" s="26">
        <f>IFERROR(IF(B170&lt;&gt;'06_Target KPI'!$B$3,0,IF(VLOOKUP(F170,'05_Master KPI'!$B$5:$G$100,6,FALSE)="Kumulatif",INDEX('06_Target KPI'!$E$5:$P$100,MATCH(F170,'06_Target KPI'!$B$5:$B$100,0),MATCH(A170,'06_Target KPI'!$E$4:$P$4,0))*DAY(C170)/DAY(EOMONTH(C170,0)),INDEX('06_Target KPI'!$E$5:$P$100,MATCH(F170,'06_Target KPI'!$B$5:$B$100,0),MATCH(A170,'06_Target KPI'!$E$4:$P$4,0)))),0)</f>
        <v>0</v>
      </c>
      <c r="I170" s="24"/>
      <c r="J170" s="27">
        <f>IFERROR(MIN(IF(VLOOKUP(F170,'05_Master KPI'!$B$5:$G$100,5,FALSE)="Lower",H170/I170,I170/H170),1),0)</f>
        <v>0</v>
      </c>
      <c r="K170" s="26">
        <f>IFERROR(VLOOKUP(F170,'05_Master KPI'!$B$5:$G$100,4,FALSE),0)</f>
        <v>0</v>
      </c>
      <c r="L170" s="28">
        <f t="shared" si="2"/>
        <v>0</v>
      </c>
      <c r="M170" s="26" t="str">
        <f>IF(D170="","",IF(J170&gt;='13_Setting'!$H$7,"Tercapai",IF(J170&gt;='13_Setting'!$H$6,"On Track","Tertinggal")))</f>
        <v/>
      </c>
      <c r="N170" s="24"/>
    </row>
    <row r="171" spans="1:14">
      <c r="A171" s="24"/>
      <c r="B171" s="24"/>
      <c r="C171" s="25"/>
      <c r="D171" s="24"/>
      <c r="E171" s="26" t="str">
        <f>IFERROR(VLOOKUP(D171,'04_Master Karyawan'!$A$5:$F$50,2,FALSE),"")</f>
        <v/>
      </c>
      <c r="F171" s="24"/>
      <c r="G171" s="26" t="str">
        <f>IFERROR(VLOOKUP(F171,'05_Master KPI'!$B$5:$G$100,2,FALSE)&amp;" ("&amp;VLOOKUP(F171,'05_Master KPI'!$B$5:$G$100,3,FALSE)&amp;")","")</f>
        <v/>
      </c>
      <c r="H171" s="26">
        <f>IFERROR(IF(B171&lt;&gt;'06_Target KPI'!$B$3,0,IF(VLOOKUP(F171,'05_Master KPI'!$B$5:$G$100,6,FALSE)="Kumulatif",INDEX('06_Target KPI'!$E$5:$P$100,MATCH(F171,'06_Target KPI'!$B$5:$B$100,0),MATCH(A171,'06_Target KPI'!$E$4:$P$4,0))*DAY(C171)/DAY(EOMONTH(C171,0)),INDEX('06_Target KPI'!$E$5:$P$100,MATCH(F171,'06_Target KPI'!$B$5:$B$100,0),MATCH(A171,'06_Target KPI'!$E$4:$P$4,0)))),0)</f>
        <v>0</v>
      </c>
      <c r="I171" s="24"/>
      <c r="J171" s="27">
        <f>IFERROR(MIN(IF(VLOOKUP(F171,'05_Master KPI'!$B$5:$G$100,5,FALSE)="Lower",H171/I171,I171/H171),1),0)</f>
        <v>0</v>
      </c>
      <c r="K171" s="26">
        <f>IFERROR(VLOOKUP(F171,'05_Master KPI'!$B$5:$G$100,4,FALSE),0)</f>
        <v>0</v>
      </c>
      <c r="L171" s="28">
        <f t="shared" si="2"/>
        <v>0</v>
      </c>
      <c r="M171" s="26" t="str">
        <f>IF(D171="","",IF(J171&gt;='13_Setting'!$H$7,"Tercapai",IF(J171&gt;='13_Setting'!$H$6,"On Track","Tertinggal")))</f>
        <v/>
      </c>
      <c r="N171" s="24"/>
    </row>
    <row r="172" spans="1:14">
      <c r="A172" s="24"/>
      <c r="B172" s="24"/>
      <c r="C172" s="25"/>
      <c r="D172" s="24"/>
      <c r="E172" s="26" t="str">
        <f>IFERROR(VLOOKUP(D172,'04_Master Karyawan'!$A$5:$F$50,2,FALSE),"")</f>
        <v/>
      </c>
      <c r="F172" s="24"/>
      <c r="G172" s="26" t="str">
        <f>IFERROR(VLOOKUP(F172,'05_Master KPI'!$B$5:$G$100,2,FALSE)&amp;" ("&amp;VLOOKUP(F172,'05_Master KPI'!$B$5:$G$100,3,FALSE)&amp;")","")</f>
        <v/>
      </c>
      <c r="H172" s="26">
        <f>IFERROR(IF(B172&lt;&gt;'06_Target KPI'!$B$3,0,IF(VLOOKUP(F172,'05_Master KPI'!$B$5:$G$100,6,FALSE)="Kumulatif",INDEX('06_Target KPI'!$E$5:$P$100,MATCH(F172,'06_Target KPI'!$B$5:$B$100,0),MATCH(A172,'06_Target KPI'!$E$4:$P$4,0))*DAY(C172)/DAY(EOMONTH(C172,0)),INDEX('06_Target KPI'!$E$5:$P$100,MATCH(F172,'06_Target KPI'!$B$5:$B$100,0),MATCH(A172,'06_Target KPI'!$E$4:$P$4,0)))),0)</f>
        <v>0</v>
      </c>
      <c r="I172" s="24"/>
      <c r="J172" s="27">
        <f>IFERROR(MIN(IF(VLOOKUP(F172,'05_Master KPI'!$B$5:$G$100,5,FALSE)="Lower",H172/I172,I172/H172),1),0)</f>
        <v>0</v>
      </c>
      <c r="K172" s="26">
        <f>IFERROR(VLOOKUP(F172,'05_Master KPI'!$B$5:$G$100,4,FALSE),0)</f>
        <v>0</v>
      </c>
      <c r="L172" s="28">
        <f t="shared" si="2"/>
        <v>0</v>
      </c>
      <c r="M172" s="26" t="str">
        <f>IF(D172="","",IF(J172&gt;='13_Setting'!$H$7,"Tercapai",IF(J172&gt;='13_Setting'!$H$6,"On Track","Tertinggal")))</f>
        <v/>
      </c>
      <c r="N172" s="24"/>
    </row>
    <row r="173" spans="1:14">
      <c r="A173" s="24"/>
      <c r="B173" s="24"/>
      <c r="C173" s="25"/>
      <c r="D173" s="24"/>
      <c r="E173" s="26" t="str">
        <f>IFERROR(VLOOKUP(D173,'04_Master Karyawan'!$A$5:$F$50,2,FALSE),"")</f>
        <v/>
      </c>
      <c r="F173" s="24"/>
      <c r="G173" s="26" t="str">
        <f>IFERROR(VLOOKUP(F173,'05_Master KPI'!$B$5:$G$100,2,FALSE)&amp;" ("&amp;VLOOKUP(F173,'05_Master KPI'!$B$5:$G$100,3,FALSE)&amp;")","")</f>
        <v/>
      </c>
      <c r="H173" s="26">
        <f>IFERROR(IF(B173&lt;&gt;'06_Target KPI'!$B$3,0,IF(VLOOKUP(F173,'05_Master KPI'!$B$5:$G$100,6,FALSE)="Kumulatif",INDEX('06_Target KPI'!$E$5:$P$100,MATCH(F173,'06_Target KPI'!$B$5:$B$100,0),MATCH(A173,'06_Target KPI'!$E$4:$P$4,0))*DAY(C173)/DAY(EOMONTH(C173,0)),INDEX('06_Target KPI'!$E$5:$P$100,MATCH(F173,'06_Target KPI'!$B$5:$B$100,0),MATCH(A173,'06_Target KPI'!$E$4:$P$4,0)))),0)</f>
        <v>0</v>
      </c>
      <c r="I173" s="24"/>
      <c r="J173" s="27">
        <f>IFERROR(MIN(IF(VLOOKUP(F173,'05_Master KPI'!$B$5:$G$100,5,FALSE)="Lower",H173/I173,I173/H173),1),0)</f>
        <v>0</v>
      </c>
      <c r="K173" s="26">
        <f>IFERROR(VLOOKUP(F173,'05_Master KPI'!$B$5:$G$100,4,FALSE),0)</f>
        <v>0</v>
      </c>
      <c r="L173" s="28">
        <f t="shared" si="2"/>
        <v>0</v>
      </c>
      <c r="M173" s="26" t="str">
        <f>IF(D173="","",IF(J173&gt;='13_Setting'!$H$7,"Tercapai",IF(J173&gt;='13_Setting'!$H$6,"On Track","Tertinggal")))</f>
        <v/>
      </c>
      <c r="N173" s="24"/>
    </row>
    <row r="174" spans="1:14">
      <c r="A174" s="24"/>
      <c r="B174" s="24"/>
      <c r="C174" s="25"/>
      <c r="D174" s="24"/>
      <c r="E174" s="26" t="str">
        <f>IFERROR(VLOOKUP(D174,'04_Master Karyawan'!$A$5:$F$50,2,FALSE),"")</f>
        <v/>
      </c>
      <c r="F174" s="24"/>
      <c r="G174" s="26" t="str">
        <f>IFERROR(VLOOKUP(F174,'05_Master KPI'!$B$5:$G$100,2,FALSE)&amp;" ("&amp;VLOOKUP(F174,'05_Master KPI'!$B$5:$G$100,3,FALSE)&amp;")","")</f>
        <v/>
      </c>
      <c r="H174" s="26">
        <f>IFERROR(IF(B174&lt;&gt;'06_Target KPI'!$B$3,0,IF(VLOOKUP(F174,'05_Master KPI'!$B$5:$G$100,6,FALSE)="Kumulatif",INDEX('06_Target KPI'!$E$5:$P$100,MATCH(F174,'06_Target KPI'!$B$5:$B$100,0),MATCH(A174,'06_Target KPI'!$E$4:$P$4,0))*DAY(C174)/DAY(EOMONTH(C174,0)),INDEX('06_Target KPI'!$E$5:$P$100,MATCH(F174,'06_Target KPI'!$B$5:$B$100,0),MATCH(A174,'06_Target KPI'!$E$4:$P$4,0)))),0)</f>
        <v>0</v>
      </c>
      <c r="I174" s="24"/>
      <c r="J174" s="27">
        <f>IFERROR(MIN(IF(VLOOKUP(F174,'05_Master KPI'!$B$5:$G$100,5,FALSE)="Lower",H174/I174,I174/H174),1),0)</f>
        <v>0</v>
      </c>
      <c r="K174" s="26">
        <f>IFERROR(VLOOKUP(F174,'05_Master KPI'!$B$5:$G$100,4,FALSE),0)</f>
        <v>0</v>
      </c>
      <c r="L174" s="28">
        <f t="shared" si="2"/>
        <v>0</v>
      </c>
      <c r="M174" s="26" t="str">
        <f>IF(D174="","",IF(J174&gt;='13_Setting'!$H$7,"Tercapai",IF(J174&gt;='13_Setting'!$H$6,"On Track","Tertinggal")))</f>
        <v/>
      </c>
      <c r="N174" s="24"/>
    </row>
    <row r="175" spans="1:14">
      <c r="A175" s="24"/>
      <c r="B175" s="24"/>
      <c r="C175" s="25"/>
      <c r="D175" s="24"/>
      <c r="E175" s="26" t="str">
        <f>IFERROR(VLOOKUP(D175,'04_Master Karyawan'!$A$5:$F$50,2,FALSE),"")</f>
        <v/>
      </c>
      <c r="F175" s="24"/>
      <c r="G175" s="26" t="str">
        <f>IFERROR(VLOOKUP(F175,'05_Master KPI'!$B$5:$G$100,2,FALSE)&amp;" ("&amp;VLOOKUP(F175,'05_Master KPI'!$B$5:$G$100,3,FALSE)&amp;")","")</f>
        <v/>
      </c>
      <c r="H175" s="26">
        <f>IFERROR(IF(B175&lt;&gt;'06_Target KPI'!$B$3,0,IF(VLOOKUP(F175,'05_Master KPI'!$B$5:$G$100,6,FALSE)="Kumulatif",INDEX('06_Target KPI'!$E$5:$P$100,MATCH(F175,'06_Target KPI'!$B$5:$B$100,0),MATCH(A175,'06_Target KPI'!$E$4:$P$4,0))*DAY(C175)/DAY(EOMONTH(C175,0)),INDEX('06_Target KPI'!$E$5:$P$100,MATCH(F175,'06_Target KPI'!$B$5:$B$100,0),MATCH(A175,'06_Target KPI'!$E$4:$P$4,0)))),0)</f>
        <v>0</v>
      </c>
      <c r="I175" s="24"/>
      <c r="J175" s="27">
        <f>IFERROR(MIN(IF(VLOOKUP(F175,'05_Master KPI'!$B$5:$G$100,5,FALSE)="Lower",H175/I175,I175/H175),1),0)</f>
        <v>0</v>
      </c>
      <c r="K175" s="26">
        <f>IFERROR(VLOOKUP(F175,'05_Master KPI'!$B$5:$G$100,4,FALSE),0)</f>
        <v>0</v>
      </c>
      <c r="L175" s="28">
        <f t="shared" si="2"/>
        <v>0</v>
      </c>
      <c r="M175" s="26" t="str">
        <f>IF(D175="","",IF(J175&gt;='13_Setting'!$H$7,"Tercapai",IF(J175&gt;='13_Setting'!$H$6,"On Track","Tertinggal")))</f>
        <v/>
      </c>
      <c r="N175" s="24"/>
    </row>
    <row r="176" spans="1:14">
      <c r="A176" s="24"/>
      <c r="B176" s="24"/>
      <c r="C176" s="25"/>
      <c r="D176" s="24"/>
      <c r="E176" s="26" t="str">
        <f>IFERROR(VLOOKUP(D176,'04_Master Karyawan'!$A$5:$F$50,2,FALSE),"")</f>
        <v/>
      </c>
      <c r="F176" s="24"/>
      <c r="G176" s="26" t="str">
        <f>IFERROR(VLOOKUP(F176,'05_Master KPI'!$B$5:$G$100,2,FALSE)&amp;" ("&amp;VLOOKUP(F176,'05_Master KPI'!$B$5:$G$100,3,FALSE)&amp;")","")</f>
        <v/>
      </c>
      <c r="H176" s="26">
        <f>IFERROR(IF(B176&lt;&gt;'06_Target KPI'!$B$3,0,IF(VLOOKUP(F176,'05_Master KPI'!$B$5:$G$100,6,FALSE)="Kumulatif",INDEX('06_Target KPI'!$E$5:$P$100,MATCH(F176,'06_Target KPI'!$B$5:$B$100,0),MATCH(A176,'06_Target KPI'!$E$4:$P$4,0))*DAY(C176)/DAY(EOMONTH(C176,0)),INDEX('06_Target KPI'!$E$5:$P$100,MATCH(F176,'06_Target KPI'!$B$5:$B$100,0),MATCH(A176,'06_Target KPI'!$E$4:$P$4,0)))),0)</f>
        <v>0</v>
      </c>
      <c r="I176" s="24"/>
      <c r="J176" s="27">
        <f>IFERROR(MIN(IF(VLOOKUP(F176,'05_Master KPI'!$B$5:$G$100,5,FALSE)="Lower",H176/I176,I176/H176),1),0)</f>
        <v>0</v>
      </c>
      <c r="K176" s="26">
        <f>IFERROR(VLOOKUP(F176,'05_Master KPI'!$B$5:$G$100,4,FALSE),0)</f>
        <v>0</v>
      </c>
      <c r="L176" s="28">
        <f t="shared" si="2"/>
        <v>0</v>
      </c>
      <c r="M176" s="26" t="str">
        <f>IF(D176="","",IF(J176&gt;='13_Setting'!$H$7,"Tercapai",IF(J176&gt;='13_Setting'!$H$6,"On Track","Tertinggal")))</f>
        <v/>
      </c>
      <c r="N176" s="24"/>
    </row>
    <row r="177" spans="1:14">
      <c r="A177" s="24"/>
      <c r="B177" s="24"/>
      <c r="C177" s="25"/>
      <c r="D177" s="24"/>
      <c r="E177" s="26" t="str">
        <f>IFERROR(VLOOKUP(D177,'04_Master Karyawan'!$A$5:$F$50,2,FALSE),"")</f>
        <v/>
      </c>
      <c r="F177" s="24"/>
      <c r="G177" s="26" t="str">
        <f>IFERROR(VLOOKUP(F177,'05_Master KPI'!$B$5:$G$100,2,FALSE)&amp;" ("&amp;VLOOKUP(F177,'05_Master KPI'!$B$5:$G$100,3,FALSE)&amp;")","")</f>
        <v/>
      </c>
      <c r="H177" s="26">
        <f>IFERROR(IF(B177&lt;&gt;'06_Target KPI'!$B$3,0,IF(VLOOKUP(F177,'05_Master KPI'!$B$5:$G$100,6,FALSE)="Kumulatif",INDEX('06_Target KPI'!$E$5:$P$100,MATCH(F177,'06_Target KPI'!$B$5:$B$100,0),MATCH(A177,'06_Target KPI'!$E$4:$P$4,0))*DAY(C177)/DAY(EOMONTH(C177,0)),INDEX('06_Target KPI'!$E$5:$P$100,MATCH(F177,'06_Target KPI'!$B$5:$B$100,0),MATCH(A177,'06_Target KPI'!$E$4:$P$4,0)))),0)</f>
        <v>0</v>
      </c>
      <c r="I177" s="24"/>
      <c r="J177" s="27">
        <f>IFERROR(MIN(IF(VLOOKUP(F177,'05_Master KPI'!$B$5:$G$100,5,FALSE)="Lower",H177/I177,I177/H177),1),0)</f>
        <v>0</v>
      </c>
      <c r="K177" s="26">
        <f>IFERROR(VLOOKUP(F177,'05_Master KPI'!$B$5:$G$100,4,FALSE),0)</f>
        <v>0</v>
      </c>
      <c r="L177" s="28">
        <f t="shared" si="2"/>
        <v>0</v>
      </c>
      <c r="M177" s="26" t="str">
        <f>IF(D177="","",IF(J177&gt;='13_Setting'!$H$7,"Tercapai",IF(J177&gt;='13_Setting'!$H$6,"On Track","Tertinggal")))</f>
        <v/>
      </c>
      <c r="N177" s="24"/>
    </row>
    <row r="178" spans="1:14">
      <c r="A178" s="24"/>
      <c r="B178" s="24"/>
      <c r="C178" s="25"/>
      <c r="D178" s="24"/>
      <c r="E178" s="26" t="str">
        <f>IFERROR(VLOOKUP(D178,'04_Master Karyawan'!$A$5:$F$50,2,FALSE),"")</f>
        <v/>
      </c>
      <c r="F178" s="24"/>
      <c r="G178" s="26" t="str">
        <f>IFERROR(VLOOKUP(F178,'05_Master KPI'!$B$5:$G$100,2,FALSE)&amp;" ("&amp;VLOOKUP(F178,'05_Master KPI'!$B$5:$G$100,3,FALSE)&amp;")","")</f>
        <v/>
      </c>
      <c r="H178" s="26">
        <f>IFERROR(IF(B178&lt;&gt;'06_Target KPI'!$B$3,0,IF(VLOOKUP(F178,'05_Master KPI'!$B$5:$G$100,6,FALSE)="Kumulatif",INDEX('06_Target KPI'!$E$5:$P$100,MATCH(F178,'06_Target KPI'!$B$5:$B$100,0),MATCH(A178,'06_Target KPI'!$E$4:$P$4,0))*DAY(C178)/DAY(EOMONTH(C178,0)),INDEX('06_Target KPI'!$E$5:$P$100,MATCH(F178,'06_Target KPI'!$B$5:$B$100,0),MATCH(A178,'06_Target KPI'!$E$4:$P$4,0)))),0)</f>
        <v>0</v>
      </c>
      <c r="I178" s="24"/>
      <c r="J178" s="27">
        <f>IFERROR(MIN(IF(VLOOKUP(F178,'05_Master KPI'!$B$5:$G$100,5,FALSE)="Lower",H178/I178,I178/H178),1),0)</f>
        <v>0</v>
      </c>
      <c r="K178" s="26">
        <f>IFERROR(VLOOKUP(F178,'05_Master KPI'!$B$5:$G$100,4,FALSE),0)</f>
        <v>0</v>
      </c>
      <c r="L178" s="28">
        <f t="shared" si="2"/>
        <v>0</v>
      </c>
      <c r="M178" s="26" t="str">
        <f>IF(D178="","",IF(J178&gt;='13_Setting'!$H$7,"Tercapai",IF(J178&gt;='13_Setting'!$H$6,"On Track","Tertinggal")))</f>
        <v/>
      </c>
      <c r="N178" s="24"/>
    </row>
    <row r="179" spans="1:14">
      <c r="A179" s="24"/>
      <c r="B179" s="24"/>
      <c r="C179" s="25"/>
      <c r="D179" s="24"/>
      <c r="E179" s="26" t="str">
        <f>IFERROR(VLOOKUP(D179,'04_Master Karyawan'!$A$5:$F$50,2,FALSE),"")</f>
        <v/>
      </c>
      <c r="F179" s="24"/>
      <c r="G179" s="26" t="str">
        <f>IFERROR(VLOOKUP(F179,'05_Master KPI'!$B$5:$G$100,2,FALSE)&amp;" ("&amp;VLOOKUP(F179,'05_Master KPI'!$B$5:$G$100,3,FALSE)&amp;")","")</f>
        <v/>
      </c>
      <c r="H179" s="26">
        <f>IFERROR(IF(B179&lt;&gt;'06_Target KPI'!$B$3,0,IF(VLOOKUP(F179,'05_Master KPI'!$B$5:$G$100,6,FALSE)="Kumulatif",INDEX('06_Target KPI'!$E$5:$P$100,MATCH(F179,'06_Target KPI'!$B$5:$B$100,0),MATCH(A179,'06_Target KPI'!$E$4:$P$4,0))*DAY(C179)/DAY(EOMONTH(C179,0)),INDEX('06_Target KPI'!$E$5:$P$100,MATCH(F179,'06_Target KPI'!$B$5:$B$100,0),MATCH(A179,'06_Target KPI'!$E$4:$P$4,0)))),0)</f>
        <v>0</v>
      </c>
      <c r="I179" s="24"/>
      <c r="J179" s="27">
        <f>IFERROR(MIN(IF(VLOOKUP(F179,'05_Master KPI'!$B$5:$G$100,5,FALSE)="Lower",H179/I179,I179/H179),1),0)</f>
        <v>0</v>
      </c>
      <c r="K179" s="26">
        <f>IFERROR(VLOOKUP(F179,'05_Master KPI'!$B$5:$G$100,4,FALSE),0)</f>
        <v>0</v>
      </c>
      <c r="L179" s="28">
        <f t="shared" si="2"/>
        <v>0</v>
      </c>
      <c r="M179" s="26" t="str">
        <f>IF(D179="","",IF(J179&gt;='13_Setting'!$H$7,"Tercapai",IF(J179&gt;='13_Setting'!$H$6,"On Track","Tertinggal")))</f>
        <v/>
      </c>
      <c r="N179" s="24"/>
    </row>
    <row r="180" spans="1:14">
      <c r="A180" s="24"/>
      <c r="B180" s="24"/>
      <c r="C180" s="25"/>
      <c r="D180" s="24"/>
      <c r="E180" s="26" t="str">
        <f>IFERROR(VLOOKUP(D180,'04_Master Karyawan'!$A$5:$F$50,2,FALSE),"")</f>
        <v/>
      </c>
      <c r="F180" s="24"/>
      <c r="G180" s="26" t="str">
        <f>IFERROR(VLOOKUP(F180,'05_Master KPI'!$B$5:$G$100,2,FALSE)&amp;" ("&amp;VLOOKUP(F180,'05_Master KPI'!$B$5:$G$100,3,FALSE)&amp;")","")</f>
        <v/>
      </c>
      <c r="H180" s="26">
        <f>IFERROR(IF(B180&lt;&gt;'06_Target KPI'!$B$3,0,IF(VLOOKUP(F180,'05_Master KPI'!$B$5:$G$100,6,FALSE)="Kumulatif",INDEX('06_Target KPI'!$E$5:$P$100,MATCH(F180,'06_Target KPI'!$B$5:$B$100,0),MATCH(A180,'06_Target KPI'!$E$4:$P$4,0))*DAY(C180)/DAY(EOMONTH(C180,0)),INDEX('06_Target KPI'!$E$5:$P$100,MATCH(F180,'06_Target KPI'!$B$5:$B$100,0),MATCH(A180,'06_Target KPI'!$E$4:$P$4,0)))),0)</f>
        <v>0</v>
      </c>
      <c r="I180" s="24"/>
      <c r="J180" s="27">
        <f>IFERROR(MIN(IF(VLOOKUP(F180,'05_Master KPI'!$B$5:$G$100,5,FALSE)="Lower",H180/I180,I180/H180),1),0)</f>
        <v>0</v>
      </c>
      <c r="K180" s="26">
        <f>IFERROR(VLOOKUP(F180,'05_Master KPI'!$B$5:$G$100,4,FALSE),0)</f>
        <v>0</v>
      </c>
      <c r="L180" s="28">
        <f t="shared" si="2"/>
        <v>0</v>
      </c>
      <c r="M180" s="26" t="str">
        <f>IF(D180="","",IF(J180&gt;='13_Setting'!$H$7,"Tercapai",IF(J180&gt;='13_Setting'!$H$6,"On Track","Tertinggal")))</f>
        <v/>
      </c>
      <c r="N180" s="24"/>
    </row>
    <row r="181" spans="1:14">
      <c r="A181" s="24"/>
      <c r="B181" s="24"/>
      <c r="C181" s="25"/>
      <c r="D181" s="24"/>
      <c r="E181" s="26" t="str">
        <f>IFERROR(VLOOKUP(D181,'04_Master Karyawan'!$A$5:$F$50,2,FALSE),"")</f>
        <v/>
      </c>
      <c r="F181" s="24"/>
      <c r="G181" s="26" t="str">
        <f>IFERROR(VLOOKUP(F181,'05_Master KPI'!$B$5:$G$100,2,FALSE)&amp;" ("&amp;VLOOKUP(F181,'05_Master KPI'!$B$5:$G$100,3,FALSE)&amp;")","")</f>
        <v/>
      </c>
      <c r="H181" s="26">
        <f>IFERROR(IF(B181&lt;&gt;'06_Target KPI'!$B$3,0,IF(VLOOKUP(F181,'05_Master KPI'!$B$5:$G$100,6,FALSE)="Kumulatif",INDEX('06_Target KPI'!$E$5:$P$100,MATCH(F181,'06_Target KPI'!$B$5:$B$100,0),MATCH(A181,'06_Target KPI'!$E$4:$P$4,0))*DAY(C181)/DAY(EOMONTH(C181,0)),INDEX('06_Target KPI'!$E$5:$P$100,MATCH(F181,'06_Target KPI'!$B$5:$B$100,0),MATCH(A181,'06_Target KPI'!$E$4:$P$4,0)))),0)</f>
        <v>0</v>
      </c>
      <c r="I181" s="24"/>
      <c r="J181" s="27">
        <f>IFERROR(MIN(IF(VLOOKUP(F181,'05_Master KPI'!$B$5:$G$100,5,FALSE)="Lower",H181/I181,I181/H181),1),0)</f>
        <v>0</v>
      </c>
      <c r="K181" s="26">
        <f>IFERROR(VLOOKUP(F181,'05_Master KPI'!$B$5:$G$100,4,FALSE),0)</f>
        <v>0</v>
      </c>
      <c r="L181" s="28">
        <f t="shared" si="2"/>
        <v>0</v>
      </c>
      <c r="M181" s="26" t="str">
        <f>IF(D181="","",IF(J181&gt;='13_Setting'!$H$7,"Tercapai",IF(J181&gt;='13_Setting'!$H$6,"On Track","Tertinggal")))</f>
        <v/>
      </c>
      <c r="N181" s="24"/>
    </row>
    <row r="182" spans="1:14">
      <c r="A182" s="24"/>
      <c r="B182" s="24"/>
      <c r="C182" s="25"/>
      <c r="D182" s="24"/>
      <c r="E182" s="26" t="str">
        <f>IFERROR(VLOOKUP(D182,'04_Master Karyawan'!$A$5:$F$50,2,FALSE),"")</f>
        <v/>
      </c>
      <c r="F182" s="24"/>
      <c r="G182" s="26" t="str">
        <f>IFERROR(VLOOKUP(F182,'05_Master KPI'!$B$5:$G$100,2,FALSE)&amp;" ("&amp;VLOOKUP(F182,'05_Master KPI'!$B$5:$G$100,3,FALSE)&amp;")","")</f>
        <v/>
      </c>
      <c r="H182" s="26">
        <f>IFERROR(IF(B182&lt;&gt;'06_Target KPI'!$B$3,0,IF(VLOOKUP(F182,'05_Master KPI'!$B$5:$G$100,6,FALSE)="Kumulatif",INDEX('06_Target KPI'!$E$5:$P$100,MATCH(F182,'06_Target KPI'!$B$5:$B$100,0),MATCH(A182,'06_Target KPI'!$E$4:$P$4,0))*DAY(C182)/DAY(EOMONTH(C182,0)),INDEX('06_Target KPI'!$E$5:$P$100,MATCH(F182,'06_Target KPI'!$B$5:$B$100,0),MATCH(A182,'06_Target KPI'!$E$4:$P$4,0)))),0)</f>
        <v>0</v>
      </c>
      <c r="I182" s="24"/>
      <c r="J182" s="27">
        <f>IFERROR(MIN(IF(VLOOKUP(F182,'05_Master KPI'!$B$5:$G$100,5,FALSE)="Lower",H182/I182,I182/H182),1),0)</f>
        <v>0</v>
      </c>
      <c r="K182" s="26">
        <f>IFERROR(VLOOKUP(F182,'05_Master KPI'!$B$5:$G$100,4,FALSE),0)</f>
        <v>0</v>
      </c>
      <c r="L182" s="28">
        <f t="shared" si="2"/>
        <v>0</v>
      </c>
      <c r="M182" s="26" t="str">
        <f>IF(D182="","",IF(J182&gt;='13_Setting'!$H$7,"Tercapai",IF(J182&gt;='13_Setting'!$H$6,"On Track","Tertinggal")))</f>
        <v/>
      </c>
      <c r="N182" s="24"/>
    </row>
    <row r="183" spans="1:14">
      <c r="A183" s="24"/>
      <c r="B183" s="24"/>
      <c r="C183" s="25"/>
      <c r="D183" s="24"/>
      <c r="E183" s="26" t="str">
        <f>IFERROR(VLOOKUP(D183,'04_Master Karyawan'!$A$5:$F$50,2,FALSE),"")</f>
        <v/>
      </c>
      <c r="F183" s="24"/>
      <c r="G183" s="26" t="str">
        <f>IFERROR(VLOOKUP(F183,'05_Master KPI'!$B$5:$G$100,2,FALSE)&amp;" ("&amp;VLOOKUP(F183,'05_Master KPI'!$B$5:$G$100,3,FALSE)&amp;")","")</f>
        <v/>
      </c>
      <c r="H183" s="26">
        <f>IFERROR(IF(B183&lt;&gt;'06_Target KPI'!$B$3,0,IF(VLOOKUP(F183,'05_Master KPI'!$B$5:$G$100,6,FALSE)="Kumulatif",INDEX('06_Target KPI'!$E$5:$P$100,MATCH(F183,'06_Target KPI'!$B$5:$B$100,0),MATCH(A183,'06_Target KPI'!$E$4:$P$4,0))*DAY(C183)/DAY(EOMONTH(C183,0)),INDEX('06_Target KPI'!$E$5:$P$100,MATCH(F183,'06_Target KPI'!$B$5:$B$100,0),MATCH(A183,'06_Target KPI'!$E$4:$P$4,0)))),0)</f>
        <v>0</v>
      </c>
      <c r="I183" s="24"/>
      <c r="J183" s="27">
        <f>IFERROR(MIN(IF(VLOOKUP(F183,'05_Master KPI'!$B$5:$G$100,5,FALSE)="Lower",H183/I183,I183/H183),1),0)</f>
        <v>0</v>
      </c>
      <c r="K183" s="26">
        <f>IFERROR(VLOOKUP(F183,'05_Master KPI'!$B$5:$G$100,4,FALSE),0)</f>
        <v>0</v>
      </c>
      <c r="L183" s="28">
        <f t="shared" si="2"/>
        <v>0</v>
      </c>
      <c r="M183" s="26" t="str">
        <f>IF(D183="","",IF(J183&gt;='13_Setting'!$H$7,"Tercapai",IF(J183&gt;='13_Setting'!$H$6,"On Track","Tertinggal")))</f>
        <v/>
      </c>
      <c r="N183" s="24"/>
    </row>
    <row r="184" spans="1:14">
      <c r="A184" s="24"/>
      <c r="B184" s="24"/>
      <c r="C184" s="25"/>
      <c r="D184" s="24"/>
      <c r="E184" s="26" t="str">
        <f>IFERROR(VLOOKUP(D184,'04_Master Karyawan'!$A$5:$F$50,2,FALSE),"")</f>
        <v/>
      </c>
      <c r="F184" s="24"/>
      <c r="G184" s="26" t="str">
        <f>IFERROR(VLOOKUP(F184,'05_Master KPI'!$B$5:$G$100,2,FALSE)&amp;" ("&amp;VLOOKUP(F184,'05_Master KPI'!$B$5:$G$100,3,FALSE)&amp;")","")</f>
        <v/>
      </c>
      <c r="H184" s="26">
        <f>IFERROR(IF(B184&lt;&gt;'06_Target KPI'!$B$3,0,IF(VLOOKUP(F184,'05_Master KPI'!$B$5:$G$100,6,FALSE)="Kumulatif",INDEX('06_Target KPI'!$E$5:$P$100,MATCH(F184,'06_Target KPI'!$B$5:$B$100,0),MATCH(A184,'06_Target KPI'!$E$4:$P$4,0))*DAY(C184)/DAY(EOMONTH(C184,0)),INDEX('06_Target KPI'!$E$5:$P$100,MATCH(F184,'06_Target KPI'!$B$5:$B$100,0),MATCH(A184,'06_Target KPI'!$E$4:$P$4,0)))),0)</f>
        <v>0</v>
      </c>
      <c r="I184" s="24"/>
      <c r="J184" s="27">
        <f>IFERROR(MIN(IF(VLOOKUP(F184,'05_Master KPI'!$B$5:$G$100,5,FALSE)="Lower",H184/I184,I184/H184),1),0)</f>
        <v>0</v>
      </c>
      <c r="K184" s="26">
        <f>IFERROR(VLOOKUP(F184,'05_Master KPI'!$B$5:$G$100,4,FALSE),0)</f>
        <v>0</v>
      </c>
      <c r="L184" s="28">
        <f t="shared" si="2"/>
        <v>0</v>
      </c>
      <c r="M184" s="26" t="str">
        <f>IF(D184="","",IF(J184&gt;='13_Setting'!$H$7,"Tercapai",IF(J184&gt;='13_Setting'!$H$6,"On Track","Tertinggal")))</f>
        <v/>
      </c>
      <c r="N184" s="24"/>
    </row>
    <row r="185" spans="1:14">
      <c r="A185" s="24"/>
      <c r="B185" s="24"/>
      <c r="C185" s="25"/>
      <c r="D185" s="24"/>
      <c r="E185" s="26" t="str">
        <f>IFERROR(VLOOKUP(D185,'04_Master Karyawan'!$A$5:$F$50,2,FALSE),"")</f>
        <v/>
      </c>
      <c r="F185" s="24"/>
      <c r="G185" s="26" t="str">
        <f>IFERROR(VLOOKUP(F185,'05_Master KPI'!$B$5:$G$100,2,FALSE)&amp;" ("&amp;VLOOKUP(F185,'05_Master KPI'!$B$5:$G$100,3,FALSE)&amp;")","")</f>
        <v/>
      </c>
      <c r="H185" s="26">
        <f>IFERROR(IF(B185&lt;&gt;'06_Target KPI'!$B$3,0,IF(VLOOKUP(F185,'05_Master KPI'!$B$5:$G$100,6,FALSE)="Kumulatif",INDEX('06_Target KPI'!$E$5:$P$100,MATCH(F185,'06_Target KPI'!$B$5:$B$100,0),MATCH(A185,'06_Target KPI'!$E$4:$P$4,0))*DAY(C185)/DAY(EOMONTH(C185,0)),INDEX('06_Target KPI'!$E$5:$P$100,MATCH(F185,'06_Target KPI'!$B$5:$B$100,0),MATCH(A185,'06_Target KPI'!$E$4:$P$4,0)))),0)</f>
        <v>0</v>
      </c>
      <c r="I185" s="24"/>
      <c r="J185" s="27">
        <f>IFERROR(MIN(IF(VLOOKUP(F185,'05_Master KPI'!$B$5:$G$100,5,FALSE)="Lower",H185/I185,I185/H185),1),0)</f>
        <v>0</v>
      </c>
      <c r="K185" s="26">
        <f>IFERROR(VLOOKUP(F185,'05_Master KPI'!$B$5:$G$100,4,FALSE),0)</f>
        <v>0</v>
      </c>
      <c r="L185" s="28">
        <f t="shared" si="2"/>
        <v>0</v>
      </c>
      <c r="M185" s="26" t="str">
        <f>IF(D185="","",IF(J185&gt;='13_Setting'!$H$7,"Tercapai",IF(J185&gt;='13_Setting'!$H$6,"On Track","Tertinggal")))</f>
        <v/>
      </c>
      <c r="N185" s="24"/>
    </row>
    <row r="186" spans="1:14">
      <c r="A186" s="24"/>
      <c r="B186" s="24"/>
      <c r="C186" s="25"/>
      <c r="D186" s="24"/>
      <c r="E186" s="26" t="str">
        <f>IFERROR(VLOOKUP(D186,'04_Master Karyawan'!$A$5:$F$50,2,FALSE),"")</f>
        <v/>
      </c>
      <c r="F186" s="24"/>
      <c r="G186" s="26" t="str">
        <f>IFERROR(VLOOKUP(F186,'05_Master KPI'!$B$5:$G$100,2,FALSE)&amp;" ("&amp;VLOOKUP(F186,'05_Master KPI'!$B$5:$G$100,3,FALSE)&amp;")","")</f>
        <v/>
      </c>
      <c r="H186" s="26">
        <f>IFERROR(IF(B186&lt;&gt;'06_Target KPI'!$B$3,0,IF(VLOOKUP(F186,'05_Master KPI'!$B$5:$G$100,6,FALSE)="Kumulatif",INDEX('06_Target KPI'!$E$5:$P$100,MATCH(F186,'06_Target KPI'!$B$5:$B$100,0),MATCH(A186,'06_Target KPI'!$E$4:$P$4,0))*DAY(C186)/DAY(EOMONTH(C186,0)),INDEX('06_Target KPI'!$E$5:$P$100,MATCH(F186,'06_Target KPI'!$B$5:$B$100,0),MATCH(A186,'06_Target KPI'!$E$4:$P$4,0)))),0)</f>
        <v>0</v>
      </c>
      <c r="I186" s="24"/>
      <c r="J186" s="27">
        <f>IFERROR(MIN(IF(VLOOKUP(F186,'05_Master KPI'!$B$5:$G$100,5,FALSE)="Lower",H186/I186,I186/H186),1),0)</f>
        <v>0</v>
      </c>
      <c r="K186" s="26">
        <f>IFERROR(VLOOKUP(F186,'05_Master KPI'!$B$5:$G$100,4,FALSE),0)</f>
        <v>0</v>
      </c>
      <c r="L186" s="28">
        <f t="shared" si="2"/>
        <v>0</v>
      </c>
      <c r="M186" s="26" t="str">
        <f>IF(D186="","",IF(J186&gt;='13_Setting'!$H$7,"Tercapai",IF(J186&gt;='13_Setting'!$H$6,"On Track","Tertinggal")))</f>
        <v/>
      </c>
      <c r="N186" s="24"/>
    </row>
    <row r="187" spans="1:14">
      <c r="A187" s="24"/>
      <c r="B187" s="24"/>
      <c r="C187" s="25"/>
      <c r="D187" s="24"/>
      <c r="E187" s="26" t="str">
        <f>IFERROR(VLOOKUP(D187,'04_Master Karyawan'!$A$5:$F$50,2,FALSE),"")</f>
        <v/>
      </c>
      <c r="F187" s="24"/>
      <c r="G187" s="26" t="str">
        <f>IFERROR(VLOOKUP(F187,'05_Master KPI'!$B$5:$G$100,2,FALSE)&amp;" ("&amp;VLOOKUP(F187,'05_Master KPI'!$B$5:$G$100,3,FALSE)&amp;")","")</f>
        <v/>
      </c>
      <c r="H187" s="26">
        <f>IFERROR(IF(B187&lt;&gt;'06_Target KPI'!$B$3,0,IF(VLOOKUP(F187,'05_Master KPI'!$B$5:$G$100,6,FALSE)="Kumulatif",INDEX('06_Target KPI'!$E$5:$P$100,MATCH(F187,'06_Target KPI'!$B$5:$B$100,0),MATCH(A187,'06_Target KPI'!$E$4:$P$4,0))*DAY(C187)/DAY(EOMONTH(C187,0)),INDEX('06_Target KPI'!$E$5:$P$100,MATCH(F187,'06_Target KPI'!$B$5:$B$100,0),MATCH(A187,'06_Target KPI'!$E$4:$P$4,0)))),0)</f>
        <v>0</v>
      </c>
      <c r="I187" s="24"/>
      <c r="J187" s="27">
        <f>IFERROR(MIN(IF(VLOOKUP(F187,'05_Master KPI'!$B$5:$G$100,5,FALSE)="Lower",H187/I187,I187/H187),1),0)</f>
        <v>0</v>
      </c>
      <c r="K187" s="26">
        <f>IFERROR(VLOOKUP(F187,'05_Master KPI'!$B$5:$G$100,4,FALSE),0)</f>
        <v>0</v>
      </c>
      <c r="L187" s="28">
        <f t="shared" si="2"/>
        <v>0</v>
      </c>
      <c r="M187" s="26" t="str">
        <f>IF(D187="","",IF(J187&gt;='13_Setting'!$H$7,"Tercapai",IF(J187&gt;='13_Setting'!$H$6,"On Track","Tertinggal")))</f>
        <v/>
      </c>
      <c r="N187" s="24"/>
    </row>
    <row r="188" spans="1:14">
      <c r="A188" s="24"/>
      <c r="B188" s="24"/>
      <c r="C188" s="25"/>
      <c r="D188" s="24"/>
      <c r="E188" s="26" t="str">
        <f>IFERROR(VLOOKUP(D188,'04_Master Karyawan'!$A$5:$F$50,2,FALSE),"")</f>
        <v/>
      </c>
      <c r="F188" s="24"/>
      <c r="G188" s="26" t="str">
        <f>IFERROR(VLOOKUP(F188,'05_Master KPI'!$B$5:$G$100,2,FALSE)&amp;" ("&amp;VLOOKUP(F188,'05_Master KPI'!$B$5:$G$100,3,FALSE)&amp;")","")</f>
        <v/>
      </c>
      <c r="H188" s="26">
        <f>IFERROR(IF(B188&lt;&gt;'06_Target KPI'!$B$3,0,IF(VLOOKUP(F188,'05_Master KPI'!$B$5:$G$100,6,FALSE)="Kumulatif",INDEX('06_Target KPI'!$E$5:$P$100,MATCH(F188,'06_Target KPI'!$B$5:$B$100,0),MATCH(A188,'06_Target KPI'!$E$4:$P$4,0))*DAY(C188)/DAY(EOMONTH(C188,0)),INDEX('06_Target KPI'!$E$5:$P$100,MATCH(F188,'06_Target KPI'!$B$5:$B$100,0),MATCH(A188,'06_Target KPI'!$E$4:$P$4,0)))),0)</f>
        <v>0</v>
      </c>
      <c r="I188" s="24"/>
      <c r="J188" s="27">
        <f>IFERROR(MIN(IF(VLOOKUP(F188,'05_Master KPI'!$B$5:$G$100,5,FALSE)="Lower",H188/I188,I188/H188),1),0)</f>
        <v>0</v>
      </c>
      <c r="K188" s="26">
        <f>IFERROR(VLOOKUP(F188,'05_Master KPI'!$B$5:$G$100,4,FALSE),0)</f>
        <v>0</v>
      </c>
      <c r="L188" s="28">
        <f t="shared" si="2"/>
        <v>0</v>
      </c>
      <c r="M188" s="26" t="str">
        <f>IF(D188="","",IF(J188&gt;='13_Setting'!$H$7,"Tercapai",IF(J188&gt;='13_Setting'!$H$6,"On Track","Tertinggal")))</f>
        <v/>
      </c>
      <c r="N188" s="24"/>
    </row>
    <row r="189" spans="1:14">
      <c r="A189" s="24"/>
      <c r="B189" s="24"/>
      <c r="C189" s="25"/>
      <c r="D189" s="24"/>
      <c r="E189" s="26" t="str">
        <f>IFERROR(VLOOKUP(D189,'04_Master Karyawan'!$A$5:$F$50,2,FALSE),"")</f>
        <v/>
      </c>
      <c r="F189" s="24"/>
      <c r="G189" s="26" t="str">
        <f>IFERROR(VLOOKUP(F189,'05_Master KPI'!$B$5:$G$100,2,FALSE)&amp;" ("&amp;VLOOKUP(F189,'05_Master KPI'!$B$5:$G$100,3,FALSE)&amp;")","")</f>
        <v/>
      </c>
      <c r="H189" s="26">
        <f>IFERROR(IF(B189&lt;&gt;'06_Target KPI'!$B$3,0,IF(VLOOKUP(F189,'05_Master KPI'!$B$5:$G$100,6,FALSE)="Kumulatif",INDEX('06_Target KPI'!$E$5:$P$100,MATCH(F189,'06_Target KPI'!$B$5:$B$100,0),MATCH(A189,'06_Target KPI'!$E$4:$P$4,0))*DAY(C189)/DAY(EOMONTH(C189,0)),INDEX('06_Target KPI'!$E$5:$P$100,MATCH(F189,'06_Target KPI'!$B$5:$B$100,0),MATCH(A189,'06_Target KPI'!$E$4:$P$4,0)))),0)</f>
        <v>0</v>
      </c>
      <c r="I189" s="24"/>
      <c r="J189" s="27">
        <f>IFERROR(MIN(IF(VLOOKUP(F189,'05_Master KPI'!$B$5:$G$100,5,FALSE)="Lower",H189/I189,I189/H189),1),0)</f>
        <v>0</v>
      </c>
      <c r="K189" s="26">
        <f>IFERROR(VLOOKUP(F189,'05_Master KPI'!$B$5:$G$100,4,FALSE),0)</f>
        <v>0</v>
      </c>
      <c r="L189" s="28">
        <f t="shared" si="2"/>
        <v>0</v>
      </c>
      <c r="M189" s="26" t="str">
        <f>IF(D189="","",IF(J189&gt;='13_Setting'!$H$7,"Tercapai",IF(J189&gt;='13_Setting'!$H$6,"On Track","Tertinggal")))</f>
        <v/>
      </c>
      <c r="N189" s="24"/>
    </row>
    <row r="190" spans="1:14">
      <c r="A190" s="24"/>
      <c r="B190" s="24"/>
      <c r="C190" s="25"/>
      <c r="D190" s="24"/>
      <c r="E190" s="26" t="str">
        <f>IFERROR(VLOOKUP(D190,'04_Master Karyawan'!$A$5:$F$50,2,FALSE),"")</f>
        <v/>
      </c>
      <c r="F190" s="24"/>
      <c r="G190" s="26" t="str">
        <f>IFERROR(VLOOKUP(F190,'05_Master KPI'!$B$5:$G$100,2,FALSE)&amp;" ("&amp;VLOOKUP(F190,'05_Master KPI'!$B$5:$G$100,3,FALSE)&amp;")","")</f>
        <v/>
      </c>
      <c r="H190" s="26">
        <f>IFERROR(IF(B190&lt;&gt;'06_Target KPI'!$B$3,0,IF(VLOOKUP(F190,'05_Master KPI'!$B$5:$G$100,6,FALSE)="Kumulatif",INDEX('06_Target KPI'!$E$5:$P$100,MATCH(F190,'06_Target KPI'!$B$5:$B$100,0),MATCH(A190,'06_Target KPI'!$E$4:$P$4,0))*DAY(C190)/DAY(EOMONTH(C190,0)),INDEX('06_Target KPI'!$E$5:$P$100,MATCH(F190,'06_Target KPI'!$B$5:$B$100,0),MATCH(A190,'06_Target KPI'!$E$4:$P$4,0)))),0)</f>
        <v>0</v>
      </c>
      <c r="I190" s="24"/>
      <c r="J190" s="27">
        <f>IFERROR(MIN(IF(VLOOKUP(F190,'05_Master KPI'!$B$5:$G$100,5,FALSE)="Lower",H190/I190,I190/H190),1),0)</f>
        <v>0</v>
      </c>
      <c r="K190" s="26">
        <f>IFERROR(VLOOKUP(F190,'05_Master KPI'!$B$5:$G$100,4,FALSE),0)</f>
        <v>0</v>
      </c>
      <c r="L190" s="28">
        <f t="shared" si="2"/>
        <v>0</v>
      </c>
      <c r="M190" s="26" t="str">
        <f>IF(D190="","",IF(J190&gt;='13_Setting'!$H$7,"Tercapai",IF(J190&gt;='13_Setting'!$H$6,"On Track","Tertinggal")))</f>
        <v/>
      </c>
      <c r="N190" s="24"/>
    </row>
    <row r="191" spans="1:14">
      <c r="A191" s="24"/>
      <c r="B191" s="24"/>
      <c r="C191" s="25"/>
      <c r="D191" s="24"/>
      <c r="E191" s="26" t="str">
        <f>IFERROR(VLOOKUP(D191,'04_Master Karyawan'!$A$5:$F$50,2,FALSE),"")</f>
        <v/>
      </c>
      <c r="F191" s="24"/>
      <c r="G191" s="26" t="str">
        <f>IFERROR(VLOOKUP(F191,'05_Master KPI'!$B$5:$G$100,2,FALSE)&amp;" ("&amp;VLOOKUP(F191,'05_Master KPI'!$B$5:$G$100,3,FALSE)&amp;")","")</f>
        <v/>
      </c>
      <c r="H191" s="26">
        <f>IFERROR(IF(B191&lt;&gt;'06_Target KPI'!$B$3,0,IF(VLOOKUP(F191,'05_Master KPI'!$B$5:$G$100,6,FALSE)="Kumulatif",INDEX('06_Target KPI'!$E$5:$P$100,MATCH(F191,'06_Target KPI'!$B$5:$B$100,0),MATCH(A191,'06_Target KPI'!$E$4:$P$4,0))*DAY(C191)/DAY(EOMONTH(C191,0)),INDEX('06_Target KPI'!$E$5:$P$100,MATCH(F191,'06_Target KPI'!$B$5:$B$100,0),MATCH(A191,'06_Target KPI'!$E$4:$P$4,0)))),0)</f>
        <v>0</v>
      </c>
      <c r="I191" s="24"/>
      <c r="J191" s="27">
        <f>IFERROR(MIN(IF(VLOOKUP(F191,'05_Master KPI'!$B$5:$G$100,5,FALSE)="Lower",H191/I191,I191/H191),1),0)</f>
        <v>0</v>
      </c>
      <c r="K191" s="26">
        <f>IFERROR(VLOOKUP(F191,'05_Master KPI'!$B$5:$G$100,4,FALSE),0)</f>
        <v>0</v>
      </c>
      <c r="L191" s="28">
        <f t="shared" si="2"/>
        <v>0</v>
      </c>
      <c r="M191" s="26" t="str">
        <f>IF(D191="","",IF(J191&gt;='13_Setting'!$H$7,"Tercapai",IF(J191&gt;='13_Setting'!$H$6,"On Track","Tertinggal")))</f>
        <v/>
      </c>
      <c r="N191" s="24"/>
    </row>
    <row r="192" spans="1:14">
      <c r="A192" s="24"/>
      <c r="B192" s="24"/>
      <c r="C192" s="25"/>
      <c r="D192" s="24"/>
      <c r="E192" s="26" t="str">
        <f>IFERROR(VLOOKUP(D192,'04_Master Karyawan'!$A$5:$F$50,2,FALSE),"")</f>
        <v/>
      </c>
      <c r="F192" s="24"/>
      <c r="G192" s="26" t="str">
        <f>IFERROR(VLOOKUP(F192,'05_Master KPI'!$B$5:$G$100,2,FALSE)&amp;" ("&amp;VLOOKUP(F192,'05_Master KPI'!$B$5:$G$100,3,FALSE)&amp;")","")</f>
        <v/>
      </c>
      <c r="H192" s="26">
        <f>IFERROR(IF(B192&lt;&gt;'06_Target KPI'!$B$3,0,IF(VLOOKUP(F192,'05_Master KPI'!$B$5:$G$100,6,FALSE)="Kumulatif",INDEX('06_Target KPI'!$E$5:$P$100,MATCH(F192,'06_Target KPI'!$B$5:$B$100,0),MATCH(A192,'06_Target KPI'!$E$4:$P$4,0))*DAY(C192)/DAY(EOMONTH(C192,0)),INDEX('06_Target KPI'!$E$5:$P$100,MATCH(F192,'06_Target KPI'!$B$5:$B$100,0),MATCH(A192,'06_Target KPI'!$E$4:$P$4,0)))),0)</f>
        <v>0</v>
      </c>
      <c r="I192" s="24"/>
      <c r="J192" s="27">
        <f>IFERROR(MIN(IF(VLOOKUP(F192,'05_Master KPI'!$B$5:$G$100,5,FALSE)="Lower",H192/I192,I192/H192),1),0)</f>
        <v>0</v>
      </c>
      <c r="K192" s="26">
        <f>IFERROR(VLOOKUP(F192,'05_Master KPI'!$B$5:$G$100,4,FALSE),0)</f>
        <v>0</v>
      </c>
      <c r="L192" s="28">
        <f t="shared" si="2"/>
        <v>0</v>
      </c>
      <c r="M192" s="26" t="str">
        <f>IF(D192="","",IF(J192&gt;='13_Setting'!$H$7,"Tercapai",IF(J192&gt;='13_Setting'!$H$6,"On Track","Tertinggal")))</f>
        <v/>
      </c>
      <c r="N192" s="24"/>
    </row>
    <row r="193" spans="1:14">
      <c r="A193" s="24"/>
      <c r="B193" s="24"/>
      <c r="C193" s="25"/>
      <c r="D193" s="24"/>
      <c r="E193" s="26" t="str">
        <f>IFERROR(VLOOKUP(D193,'04_Master Karyawan'!$A$5:$F$50,2,FALSE),"")</f>
        <v/>
      </c>
      <c r="F193" s="24"/>
      <c r="G193" s="26" t="str">
        <f>IFERROR(VLOOKUP(F193,'05_Master KPI'!$B$5:$G$100,2,FALSE)&amp;" ("&amp;VLOOKUP(F193,'05_Master KPI'!$B$5:$G$100,3,FALSE)&amp;")","")</f>
        <v/>
      </c>
      <c r="H193" s="26">
        <f>IFERROR(IF(B193&lt;&gt;'06_Target KPI'!$B$3,0,IF(VLOOKUP(F193,'05_Master KPI'!$B$5:$G$100,6,FALSE)="Kumulatif",INDEX('06_Target KPI'!$E$5:$P$100,MATCH(F193,'06_Target KPI'!$B$5:$B$100,0),MATCH(A193,'06_Target KPI'!$E$4:$P$4,0))*DAY(C193)/DAY(EOMONTH(C193,0)),INDEX('06_Target KPI'!$E$5:$P$100,MATCH(F193,'06_Target KPI'!$B$5:$B$100,0),MATCH(A193,'06_Target KPI'!$E$4:$P$4,0)))),0)</f>
        <v>0</v>
      </c>
      <c r="I193" s="24"/>
      <c r="J193" s="27">
        <f>IFERROR(MIN(IF(VLOOKUP(F193,'05_Master KPI'!$B$5:$G$100,5,FALSE)="Lower",H193/I193,I193/H193),1),0)</f>
        <v>0</v>
      </c>
      <c r="K193" s="26">
        <f>IFERROR(VLOOKUP(F193,'05_Master KPI'!$B$5:$G$100,4,FALSE),0)</f>
        <v>0</v>
      </c>
      <c r="L193" s="28">
        <f t="shared" si="2"/>
        <v>0</v>
      </c>
      <c r="M193" s="26" t="str">
        <f>IF(D193="","",IF(J193&gt;='13_Setting'!$H$7,"Tercapai",IF(J193&gt;='13_Setting'!$H$6,"On Track","Tertinggal")))</f>
        <v/>
      </c>
      <c r="N193" s="24"/>
    </row>
    <row r="194" spans="1:14">
      <c r="A194" s="24"/>
      <c r="B194" s="24"/>
      <c r="C194" s="25"/>
      <c r="D194" s="24"/>
      <c r="E194" s="26" t="str">
        <f>IFERROR(VLOOKUP(D194,'04_Master Karyawan'!$A$5:$F$50,2,FALSE),"")</f>
        <v/>
      </c>
      <c r="F194" s="24"/>
      <c r="G194" s="26" t="str">
        <f>IFERROR(VLOOKUP(F194,'05_Master KPI'!$B$5:$G$100,2,FALSE)&amp;" ("&amp;VLOOKUP(F194,'05_Master KPI'!$B$5:$G$100,3,FALSE)&amp;")","")</f>
        <v/>
      </c>
      <c r="H194" s="26">
        <f>IFERROR(IF(B194&lt;&gt;'06_Target KPI'!$B$3,0,IF(VLOOKUP(F194,'05_Master KPI'!$B$5:$G$100,6,FALSE)="Kumulatif",INDEX('06_Target KPI'!$E$5:$P$100,MATCH(F194,'06_Target KPI'!$B$5:$B$100,0),MATCH(A194,'06_Target KPI'!$E$4:$P$4,0))*DAY(C194)/DAY(EOMONTH(C194,0)),INDEX('06_Target KPI'!$E$5:$P$100,MATCH(F194,'06_Target KPI'!$B$5:$B$100,0),MATCH(A194,'06_Target KPI'!$E$4:$P$4,0)))),0)</f>
        <v>0</v>
      </c>
      <c r="I194" s="24"/>
      <c r="J194" s="27">
        <f>IFERROR(MIN(IF(VLOOKUP(F194,'05_Master KPI'!$B$5:$G$100,5,FALSE)="Lower",H194/I194,I194/H194),1),0)</f>
        <v>0</v>
      </c>
      <c r="K194" s="26">
        <f>IFERROR(VLOOKUP(F194,'05_Master KPI'!$B$5:$G$100,4,FALSE),0)</f>
        <v>0</v>
      </c>
      <c r="L194" s="28">
        <f t="shared" si="2"/>
        <v>0</v>
      </c>
      <c r="M194" s="26" t="str">
        <f>IF(D194="","",IF(J194&gt;='13_Setting'!$H$7,"Tercapai",IF(J194&gt;='13_Setting'!$H$6,"On Track","Tertinggal")))</f>
        <v/>
      </c>
      <c r="N194" s="24"/>
    </row>
    <row r="195" spans="1:14">
      <c r="A195" s="24"/>
      <c r="B195" s="24"/>
      <c r="C195" s="25"/>
      <c r="D195" s="24"/>
      <c r="E195" s="26" t="str">
        <f>IFERROR(VLOOKUP(D195,'04_Master Karyawan'!$A$5:$F$50,2,FALSE),"")</f>
        <v/>
      </c>
      <c r="F195" s="24"/>
      <c r="G195" s="26" t="str">
        <f>IFERROR(VLOOKUP(F195,'05_Master KPI'!$B$5:$G$100,2,FALSE)&amp;" ("&amp;VLOOKUP(F195,'05_Master KPI'!$B$5:$G$100,3,FALSE)&amp;")","")</f>
        <v/>
      </c>
      <c r="H195" s="26">
        <f>IFERROR(IF(B195&lt;&gt;'06_Target KPI'!$B$3,0,IF(VLOOKUP(F195,'05_Master KPI'!$B$5:$G$100,6,FALSE)="Kumulatif",INDEX('06_Target KPI'!$E$5:$P$100,MATCH(F195,'06_Target KPI'!$B$5:$B$100,0),MATCH(A195,'06_Target KPI'!$E$4:$P$4,0))*DAY(C195)/DAY(EOMONTH(C195,0)),INDEX('06_Target KPI'!$E$5:$P$100,MATCH(F195,'06_Target KPI'!$B$5:$B$100,0),MATCH(A195,'06_Target KPI'!$E$4:$P$4,0)))),0)</f>
        <v>0</v>
      </c>
      <c r="I195" s="24"/>
      <c r="J195" s="27">
        <f>IFERROR(MIN(IF(VLOOKUP(F195,'05_Master KPI'!$B$5:$G$100,5,FALSE)="Lower",H195/I195,I195/H195),1),0)</f>
        <v>0</v>
      </c>
      <c r="K195" s="26">
        <f>IFERROR(VLOOKUP(F195,'05_Master KPI'!$B$5:$G$100,4,FALSE),0)</f>
        <v>0</v>
      </c>
      <c r="L195" s="28">
        <f t="shared" si="2"/>
        <v>0</v>
      </c>
      <c r="M195" s="26" t="str">
        <f>IF(D195="","",IF(J195&gt;='13_Setting'!$H$7,"Tercapai",IF(J195&gt;='13_Setting'!$H$6,"On Track","Tertinggal")))</f>
        <v/>
      </c>
      <c r="N195" s="24"/>
    </row>
    <row r="196" spans="1:14">
      <c r="A196" s="24"/>
      <c r="B196" s="24"/>
      <c r="C196" s="25"/>
      <c r="D196" s="24"/>
      <c r="E196" s="26" t="str">
        <f>IFERROR(VLOOKUP(D196,'04_Master Karyawan'!$A$5:$F$50,2,FALSE),"")</f>
        <v/>
      </c>
      <c r="F196" s="24"/>
      <c r="G196" s="26" t="str">
        <f>IFERROR(VLOOKUP(F196,'05_Master KPI'!$B$5:$G$100,2,FALSE)&amp;" ("&amp;VLOOKUP(F196,'05_Master KPI'!$B$5:$G$100,3,FALSE)&amp;")","")</f>
        <v/>
      </c>
      <c r="H196" s="26">
        <f>IFERROR(IF(B196&lt;&gt;'06_Target KPI'!$B$3,0,IF(VLOOKUP(F196,'05_Master KPI'!$B$5:$G$100,6,FALSE)="Kumulatif",INDEX('06_Target KPI'!$E$5:$P$100,MATCH(F196,'06_Target KPI'!$B$5:$B$100,0),MATCH(A196,'06_Target KPI'!$E$4:$P$4,0))*DAY(C196)/DAY(EOMONTH(C196,0)),INDEX('06_Target KPI'!$E$5:$P$100,MATCH(F196,'06_Target KPI'!$B$5:$B$100,0),MATCH(A196,'06_Target KPI'!$E$4:$P$4,0)))),0)</f>
        <v>0</v>
      </c>
      <c r="I196" s="24"/>
      <c r="J196" s="27">
        <f>IFERROR(MIN(IF(VLOOKUP(F196,'05_Master KPI'!$B$5:$G$100,5,FALSE)="Lower",H196/I196,I196/H196),1),0)</f>
        <v>0</v>
      </c>
      <c r="K196" s="26">
        <f>IFERROR(VLOOKUP(F196,'05_Master KPI'!$B$5:$G$100,4,FALSE),0)</f>
        <v>0</v>
      </c>
      <c r="L196" s="28">
        <f t="shared" si="2"/>
        <v>0</v>
      </c>
      <c r="M196" s="26" t="str">
        <f>IF(D196="","",IF(J196&gt;='13_Setting'!$H$7,"Tercapai",IF(J196&gt;='13_Setting'!$H$6,"On Track","Tertinggal")))</f>
        <v/>
      </c>
      <c r="N196" s="24"/>
    </row>
    <row r="197" spans="1:14">
      <c r="A197" s="24"/>
      <c r="B197" s="24"/>
      <c r="C197" s="25"/>
      <c r="D197" s="24"/>
      <c r="E197" s="26" t="str">
        <f>IFERROR(VLOOKUP(D197,'04_Master Karyawan'!$A$5:$F$50,2,FALSE),"")</f>
        <v/>
      </c>
      <c r="F197" s="24"/>
      <c r="G197" s="26" t="str">
        <f>IFERROR(VLOOKUP(F197,'05_Master KPI'!$B$5:$G$100,2,FALSE)&amp;" ("&amp;VLOOKUP(F197,'05_Master KPI'!$B$5:$G$100,3,FALSE)&amp;")","")</f>
        <v/>
      </c>
      <c r="H197" s="26">
        <f>IFERROR(IF(B197&lt;&gt;'06_Target KPI'!$B$3,0,IF(VLOOKUP(F197,'05_Master KPI'!$B$5:$G$100,6,FALSE)="Kumulatif",INDEX('06_Target KPI'!$E$5:$P$100,MATCH(F197,'06_Target KPI'!$B$5:$B$100,0),MATCH(A197,'06_Target KPI'!$E$4:$P$4,0))*DAY(C197)/DAY(EOMONTH(C197,0)),INDEX('06_Target KPI'!$E$5:$P$100,MATCH(F197,'06_Target KPI'!$B$5:$B$100,0),MATCH(A197,'06_Target KPI'!$E$4:$P$4,0)))),0)</f>
        <v>0</v>
      </c>
      <c r="I197" s="24"/>
      <c r="J197" s="27">
        <f>IFERROR(MIN(IF(VLOOKUP(F197,'05_Master KPI'!$B$5:$G$100,5,FALSE)="Lower",H197/I197,I197/H197),1),0)</f>
        <v>0</v>
      </c>
      <c r="K197" s="26">
        <f>IFERROR(VLOOKUP(F197,'05_Master KPI'!$B$5:$G$100,4,FALSE),0)</f>
        <v>0</v>
      </c>
      <c r="L197" s="28">
        <f t="shared" ref="L197:L260" si="3">J197*K197</f>
        <v>0</v>
      </c>
      <c r="M197" s="26" t="str">
        <f>IF(D197="","",IF(J197&gt;='13_Setting'!$H$7,"Tercapai",IF(J197&gt;='13_Setting'!$H$6,"On Track","Tertinggal")))</f>
        <v/>
      </c>
      <c r="N197" s="24"/>
    </row>
    <row r="198" spans="1:14">
      <c r="A198" s="24"/>
      <c r="B198" s="24"/>
      <c r="C198" s="25"/>
      <c r="D198" s="24"/>
      <c r="E198" s="26" t="str">
        <f>IFERROR(VLOOKUP(D198,'04_Master Karyawan'!$A$5:$F$50,2,FALSE),"")</f>
        <v/>
      </c>
      <c r="F198" s="24"/>
      <c r="G198" s="26" t="str">
        <f>IFERROR(VLOOKUP(F198,'05_Master KPI'!$B$5:$G$100,2,FALSE)&amp;" ("&amp;VLOOKUP(F198,'05_Master KPI'!$B$5:$G$100,3,FALSE)&amp;")","")</f>
        <v/>
      </c>
      <c r="H198" s="26">
        <f>IFERROR(IF(B198&lt;&gt;'06_Target KPI'!$B$3,0,IF(VLOOKUP(F198,'05_Master KPI'!$B$5:$G$100,6,FALSE)="Kumulatif",INDEX('06_Target KPI'!$E$5:$P$100,MATCH(F198,'06_Target KPI'!$B$5:$B$100,0),MATCH(A198,'06_Target KPI'!$E$4:$P$4,0))*DAY(C198)/DAY(EOMONTH(C198,0)),INDEX('06_Target KPI'!$E$5:$P$100,MATCH(F198,'06_Target KPI'!$B$5:$B$100,0),MATCH(A198,'06_Target KPI'!$E$4:$P$4,0)))),0)</f>
        <v>0</v>
      </c>
      <c r="I198" s="24"/>
      <c r="J198" s="27">
        <f>IFERROR(MIN(IF(VLOOKUP(F198,'05_Master KPI'!$B$5:$G$100,5,FALSE)="Lower",H198/I198,I198/H198),1),0)</f>
        <v>0</v>
      </c>
      <c r="K198" s="26">
        <f>IFERROR(VLOOKUP(F198,'05_Master KPI'!$B$5:$G$100,4,FALSE),0)</f>
        <v>0</v>
      </c>
      <c r="L198" s="28">
        <f t="shared" si="3"/>
        <v>0</v>
      </c>
      <c r="M198" s="26" t="str">
        <f>IF(D198="","",IF(J198&gt;='13_Setting'!$H$7,"Tercapai",IF(J198&gt;='13_Setting'!$H$6,"On Track","Tertinggal")))</f>
        <v/>
      </c>
      <c r="N198" s="24"/>
    </row>
    <row r="199" spans="1:14">
      <c r="A199" s="24"/>
      <c r="B199" s="24"/>
      <c r="C199" s="25"/>
      <c r="D199" s="24"/>
      <c r="E199" s="26" t="str">
        <f>IFERROR(VLOOKUP(D199,'04_Master Karyawan'!$A$5:$F$50,2,FALSE),"")</f>
        <v/>
      </c>
      <c r="F199" s="24"/>
      <c r="G199" s="26" t="str">
        <f>IFERROR(VLOOKUP(F199,'05_Master KPI'!$B$5:$G$100,2,FALSE)&amp;" ("&amp;VLOOKUP(F199,'05_Master KPI'!$B$5:$G$100,3,FALSE)&amp;")","")</f>
        <v/>
      </c>
      <c r="H199" s="26">
        <f>IFERROR(IF(B199&lt;&gt;'06_Target KPI'!$B$3,0,IF(VLOOKUP(F199,'05_Master KPI'!$B$5:$G$100,6,FALSE)="Kumulatif",INDEX('06_Target KPI'!$E$5:$P$100,MATCH(F199,'06_Target KPI'!$B$5:$B$100,0),MATCH(A199,'06_Target KPI'!$E$4:$P$4,0))*DAY(C199)/DAY(EOMONTH(C199,0)),INDEX('06_Target KPI'!$E$5:$P$100,MATCH(F199,'06_Target KPI'!$B$5:$B$100,0),MATCH(A199,'06_Target KPI'!$E$4:$P$4,0)))),0)</f>
        <v>0</v>
      </c>
      <c r="I199" s="24"/>
      <c r="J199" s="27">
        <f>IFERROR(MIN(IF(VLOOKUP(F199,'05_Master KPI'!$B$5:$G$100,5,FALSE)="Lower",H199/I199,I199/H199),1),0)</f>
        <v>0</v>
      </c>
      <c r="K199" s="26">
        <f>IFERROR(VLOOKUP(F199,'05_Master KPI'!$B$5:$G$100,4,FALSE),0)</f>
        <v>0</v>
      </c>
      <c r="L199" s="28">
        <f t="shared" si="3"/>
        <v>0</v>
      </c>
      <c r="M199" s="26" t="str">
        <f>IF(D199="","",IF(J199&gt;='13_Setting'!$H$7,"Tercapai",IF(J199&gt;='13_Setting'!$H$6,"On Track","Tertinggal")))</f>
        <v/>
      </c>
      <c r="N199" s="24"/>
    </row>
    <row r="200" spans="1:14">
      <c r="A200" s="24"/>
      <c r="B200" s="24"/>
      <c r="C200" s="25"/>
      <c r="D200" s="24"/>
      <c r="E200" s="26" t="str">
        <f>IFERROR(VLOOKUP(D200,'04_Master Karyawan'!$A$5:$F$50,2,FALSE),"")</f>
        <v/>
      </c>
      <c r="F200" s="24"/>
      <c r="G200" s="26" t="str">
        <f>IFERROR(VLOOKUP(F200,'05_Master KPI'!$B$5:$G$100,2,FALSE)&amp;" ("&amp;VLOOKUP(F200,'05_Master KPI'!$B$5:$G$100,3,FALSE)&amp;")","")</f>
        <v/>
      </c>
      <c r="H200" s="26">
        <f>IFERROR(IF(B200&lt;&gt;'06_Target KPI'!$B$3,0,IF(VLOOKUP(F200,'05_Master KPI'!$B$5:$G$100,6,FALSE)="Kumulatif",INDEX('06_Target KPI'!$E$5:$P$100,MATCH(F200,'06_Target KPI'!$B$5:$B$100,0),MATCH(A200,'06_Target KPI'!$E$4:$P$4,0))*DAY(C200)/DAY(EOMONTH(C200,0)),INDEX('06_Target KPI'!$E$5:$P$100,MATCH(F200,'06_Target KPI'!$B$5:$B$100,0),MATCH(A200,'06_Target KPI'!$E$4:$P$4,0)))),0)</f>
        <v>0</v>
      </c>
      <c r="I200" s="24"/>
      <c r="J200" s="27">
        <f>IFERROR(MIN(IF(VLOOKUP(F200,'05_Master KPI'!$B$5:$G$100,5,FALSE)="Lower",H200/I200,I200/H200),1),0)</f>
        <v>0</v>
      </c>
      <c r="K200" s="26">
        <f>IFERROR(VLOOKUP(F200,'05_Master KPI'!$B$5:$G$100,4,FALSE),0)</f>
        <v>0</v>
      </c>
      <c r="L200" s="28">
        <f t="shared" si="3"/>
        <v>0</v>
      </c>
      <c r="M200" s="26" t="str">
        <f>IF(D200="","",IF(J200&gt;='13_Setting'!$H$7,"Tercapai",IF(J200&gt;='13_Setting'!$H$6,"On Track","Tertinggal")))</f>
        <v/>
      </c>
      <c r="N200" s="24"/>
    </row>
    <row r="201" spans="1:14">
      <c r="A201" s="24"/>
      <c r="B201" s="24"/>
      <c r="C201" s="25"/>
      <c r="D201" s="24"/>
      <c r="E201" s="26" t="str">
        <f>IFERROR(VLOOKUP(D201,'04_Master Karyawan'!$A$5:$F$50,2,FALSE),"")</f>
        <v/>
      </c>
      <c r="F201" s="24"/>
      <c r="G201" s="26" t="str">
        <f>IFERROR(VLOOKUP(F201,'05_Master KPI'!$B$5:$G$100,2,FALSE)&amp;" ("&amp;VLOOKUP(F201,'05_Master KPI'!$B$5:$G$100,3,FALSE)&amp;")","")</f>
        <v/>
      </c>
      <c r="H201" s="26">
        <f>IFERROR(IF(B201&lt;&gt;'06_Target KPI'!$B$3,0,IF(VLOOKUP(F201,'05_Master KPI'!$B$5:$G$100,6,FALSE)="Kumulatif",INDEX('06_Target KPI'!$E$5:$P$100,MATCH(F201,'06_Target KPI'!$B$5:$B$100,0),MATCH(A201,'06_Target KPI'!$E$4:$P$4,0))*DAY(C201)/DAY(EOMONTH(C201,0)),INDEX('06_Target KPI'!$E$5:$P$100,MATCH(F201,'06_Target KPI'!$B$5:$B$100,0),MATCH(A201,'06_Target KPI'!$E$4:$P$4,0)))),0)</f>
        <v>0</v>
      </c>
      <c r="I201" s="24"/>
      <c r="J201" s="27">
        <f>IFERROR(MIN(IF(VLOOKUP(F201,'05_Master KPI'!$B$5:$G$100,5,FALSE)="Lower",H201/I201,I201/H201),1),0)</f>
        <v>0</v>
      </c>
      <c r="K201" s="26">
        <f>IFERROR(VLOOKUP(F201,'05_Master KPI'!$B$5:$G$100,4,FALSE),0)</f>
        <v>0</v>
      </c>
      <c r="L201" s="28">
        <f t="shared" si="3"/>
        <v>0</v>
      </c>
      <c r="M201" s="26" t="str">
        <f>IF(D201="","",IF(J201&gt;='13_Setting'!$H$7,"Tercapai",IF(J201&gt;='13_Setting'!$H$6,"On Track","Tertinggal")))</f>
        <v/>
      </c>
      <c r="N201" s="24"/>
    </row>
    <row r="202" spans="1:14">
      <c r="A202" s="24"/>
      <c r="B202" s="24"/>
      <c r="C202" s="25"/>
      <c r="D202" s="24"/>
      <c r="E202" s="26" t="str">
        <f>IFERROR(VLOOKUP(D202,'04_Master Karyawan'!$A$5:$F$50,2,FALSE),"")</f>
        <v/>
      </c>
      <c r="F202" s="24"/>
      <c r="G202" s="26" t="str">
        <f>IFERROR(VLOOKUP(F202,'05_Master KPI'!$B$5:$G$100,2,FALSE)&amp;" ("&amp;VLOOKUP(F202,'05_Master KPI'!$B$5:$G$100,3,FALSE)&amp;")","")</f>
        <v/>
      </c>
      <c r="H202" s="26">
        <f>IFERROR(IF(B202&lt;&gt;'06_Target KPI'!$B$3,0,IF(VLOOKUP(F202,'05_Master KPI'!$B$5:$G$100,6,FALSE)="Kumulatif",INDEX('06_Target KPI'!$E$5:$P$100,MATCH(F202,'06_Target KPI'!$B$5:$B$100,0),MATCH(A202,'06_Target KPI'!$E$4:$P$4,0))*DAY(C202)/DAY(EOMONTH(C202,0)),INDEX('06_Target KPI'!$E$5:$P$100,MATCH(F202,'06_Target KPI'!$B$5:$B$100,0),MATCH(A202,'06_Target KPI'!$E$4:$P$4,0)))),0)</f>
        <v>0</v>
      </c>
      <c r="I202" s="24"/>
      <c r="J202" s="27">
        <f>IFERROR(MIN(IF(VLOOKUP(F202,'05_Master KPI'!$B$5:$G$100,5,FALSE)="Lower",H202/I202,I202/H202),1),0)</f>
        <v>0</v>
      </c>
      <c r="K202" s="26">
        <f>IFERROR(VLOOKUP(F202,'05_Master KPI'!$B$5:$G$100,4,FALSE),0)</f>
        <v>0</v>
      </c>
      <c r="L202" s="28">
        <f t="shared" si="3"/>
        <v>0</v>
      </c>
      <c r="M202" s="26" t="str">
        <f>IF(D202="","",IF(J202&gt;='13_Setting'!$H$7,"Tercapai",IF(J202&gt;='13_Setting'!$H$6,"On Track","Tertinggal")))</f>
        <v/>
      </c>
      <c r="N202" s="24"/>
    </row>
    <row r="203" spans="1:14">
      <c r="A203" s="24"/>
      <c r="B203" s="24"/>
      <c r="C203" s="25"/>
      <c r="D203" s="24"/>
      <c r="E203" s="26" t="str">
        <f>IFERROR(VLOOKUP(D203,'04_Master Karyawan'!$A$5:$F$50,2,FALSE),"")</f>
        <v/>
      </c>
      <c r="F203" s="24"/>
      <c r="G203" s="26" t="str">
        <f>IFERROR(VLOOKUP(F203,'05_Master KPI'!$B$5:$G$100,2,FALSE)&amp;" ("&amp;VLOOKUP(F203,'05_Master KPI'!$B$5:$G$100,3,FALSE)&amp;")","")</f>
        <v/>
      </c>
      <c r="H203" s="26">
        <f>IFERROR(IF(B203&lt;&gt;'06_Target KPI'!$B$3,0,IF(VLOOKUP(F203,'05_Master KPI'!$B$5:$G$100,6,FALSE)="Kumulatif",INDEX('06_Target KPI'!$E$5:$P$100,MATCH(F203,'06_Target KPI'!$B$5:$B$100,0),MATCH(A203,'06_Target KPI'!$E$4:$P$4,0))*DAY(C203)/DAY(EOMONTH(C203,0)),INDEX('06_Target KPI'!$E$5:$P$100,MATCH(F203,'06_Target KPI'!$B$5:$B$100,0),MATCH(A203,'06_Target KPI'!$E$4:$P$4,0)))),0)</f>
        <v>0</v>
      </c>
      <c r="I203" s="24"/>
      <c r="J203" s="27">
        <f>IFERROR(MIN(IF(VLOOKUP(F203,'05_Master KPI'!$B$5:$G$100,5,FALSE)="Lower",H203/I203,I203/H203),1),0)</f>
        <v>0</v>
      </c>
      <c r="K203" s="26">
        <f>IFERROR(VLOOKUP(F203,'05_Master KPI'!$B$5:$G$100,4,FALSE),0)</f>
        <v>0</v>
      </c>
      <c r="L203" s="28">
        <f t="shared" si="3"/>
        <v>0</v>
      </c>
      <c r="M203" s="26" t="str">
        <f>IF(D203="","",IF(J203&gt;='13_Setting'!$H$7,"Tercapai",IF(J203&gt;='13_Setting'!$H$6,"On Track","Tertinggal")))</f>
        <v/>
      </c>
      <c r="N203" s="24"/>
    </row>
    <row r="204" spans="1:14">
      <c r="A204" s="24"/>
      <c r="B204" s="24"/>
      <c r="C204" s="25"/>
      <c r="D204" s="24"/>
      <c r="E204" s="26" t="str">
        <f>IFERROR(VLOOKUP(D204,'04_Master Karyawan'!$A$5:$F$50,2,FALSE),"")</f>
        <v/>
      </c>
      <c r="F204" s="24"/>
      <c r="G204" s="26" t="str">
        <f>IFERROR(VLOOKUP(F204,'05_Master KPI'!$B$5:$G$100,2,FALSE)&amp;" ("&amp;VLOOKUP(F204,'05_Master KPI'!$B$5:$G$100,3,FALSE)&amp;")","")</f>
        <v/>
      </c>
      <c r="H204" s="26">
        <f>IFERROR(IF(B204&lt;&gt;'06_Target KPI'!$B$3,0,IF(VLOOKUP(F204,'05_Master KPI'!$B$5:$G$100,6,FALSE)="Kumulatif",INDEX('06_Target KPI'!$E$5:$P$100,MATCH(F204,'06_Target KPI'!$B$5:$B$100,0),MATCH(A204,'06_Target KPI'!$E$4:$P$4,0))*DAY(C204)/DAY(EOMONTH(C204,0)),INDEX('06_Target KPI'!$E$5:$P$100,MATCH(F204,'06_Target KPI'!$B$5:$B$100,0),MATCH(A204,'06_Target KPI'!$E$4:$P$4,0)))),0)</f>
        <v>0</v>
      </c>
      <c r="I204" s="24"/>
      <c r="J204" s="27">
        <f>IFERROR(MIN(IF(VLOOKUP(F204,'05_Master KPI'!$B$5:$G$100,5,FALSE)="Lower",H204/I204,I204/H204),1),0)</f>
        <v>0</v>
      </c>
      <c r="K204" s="26">
        <f>IFERROR(VLOOKUP(F204,'05_Master KPI'!$B$5:$G$100,4,FALSE),0)</f>
        <v>0</v>
      </c>
      <c r="L204" s="28">
        <f t="shared" si="3"/>
        <v>0</v>
      </c>
      <c r="M204" s="26" t="str">
        <f>IF(D204="","",IF(J204&gt;='13_Setting'!$H$7,"Tercapai",IF(J204&gt;='13_Setting'!$H$6,"On Track","Tertinggal")))</f>
        <v/>
      </c>
      <c r="N204" s="24"/>
    </row>
    <row r="205" spans="1:14">
      <c r="A205" s="24"/>
      <c r="B205" s="24"/>
      <c r="C205" s="25"/>
      <c r="D205" s="24"/>
      <c r="E205" s="26" t="str">
        <f>IFERROR(VLOOKUP(D205,'04_Master Karyawan'!$A$5:$F$50,2,FALSE),"")</f>
        <v/>
      </c>
      <c r="F205" s="24"/>
      <c r="G205" s="26" t="str">
        <f>IFERROR(VLOOKUP(F205,'05_Master KPI'!$B$5:$G$100,2,FALSE)&amp;" ("&amp;VLOOKUP(F205,'05_Master KPI'!$B$5:$G$100,3,FALSE)&amp;")","")</f>
        <v/>
      </c>
      <c r="H205" s="26">
        <f>IFERROR(IF(B205&lt;&gt;'06_Target KPI'!$B$3,0,IF(VLOOKUP(F205,'05_Master KPI'!$B$5:$G$100,6,FALSE)="Kumulatif",INDEX('06_Target KPI'!$E$5:$P$100,MATCH(F205,'06_Target KPI'!$B$5:$B$100,0),MATCH(A205,'06_Target KPI'!$E$4:$P$4,0))*DAY(C205)/DAY(EOMONTH(C205,0)),INDEX('06_Target KPI'!$E$5:$P$100,MATCH(F205,'06_Target KPI'!$B$5:$B$100,0),MATCH(A205,'06_Target KPI'!$E$4:$P$4,0)))),0)</f>
        <v>0</v>
      </c>
      <c r="I205" s="24"/>
      <c r="J205" s="27">
        <f>IFERROR(MIN(IF(VLOOKUP(F205,'05_Master KPI'!$B$5:$G$100,5,FALSE)="Lower",H205/I205,I205/H205),1),0)</f>
        <v>0</v>
      </c>
      <c r="K205" s="26">
        <f>IFERROR(VLOOKUP(F205,'05_Master KPI'!$B$5:$G$100,4,FALSE),0)</f>
        <v>0</v>
      </c>
      <c r="L205" s="28">
        <f t="shared" si="3"/>
        <v>0</v>
      </c>
      <c r="M205" s="26" t="str">
        <f>IF(D205="","",IF(J205&gt;='13_Setting'!$H$7,"Tercapai",IF(J205&gt;='13_Setting'!$H$6,"On Track","Tertinggal")))</f>
        <v/>
      </c>
      <c r="N205" s="24"/>
    </row>
    <row r="206" spans="1:14">
      <c r="A206" s="24"/>
      <c r="B206" s="24"/>
      <c r="C206" s="25"/>
      <c r="D206" s="24"/>
      <c r="E206" s="26" t="str">
        <f>IFERROR(VLOOKUP(D206,'04_Master Karyawan'!$A$5:$F$50,2,FALSE),"")</f>
        <v/>
      </c>
      <c r="F206" s="24"/>
      <c r="G206" s="26" t="str">
        <f>IFERROR(VLOOKUP(F206,'05_Master KPI'!$B$5:$G$100,2,FALSE)&amp;" ("&amp;VLOOKUP(F206,'05_Master KPI'!$B$5:$G$100,3,FALSE)&amp;")","")</f>
        <v/>
      </c>
      <c r="H206" s="26">
        <f>IFERROR(IF(B206&lt;&gt;'06_Target KPI'!$B$3,0,IF(VLOOKUP(F206,'05_Master KPI'!$B$5:$G$100,6,FALSE)="Kumulatif",INDEX('06_Target KPI'!$E$5:$P$100,MATCH(F206,'06_Target KPI'!$B$5:$B$100,0),MATCH(A206,'06_Target KPI'!$E$4:$P$4,0))*DAY(C206)/DAY(EOMONTH(C206,0)),INDEX('06_Target KPI'!$E$5:$P$100,MATCH(F206,'06_Target KPI'!$B$5:$B$100,0),MATCH(A206,'06_Target KPI'!$E$4:$P$4,0)))),0)</f>
        <v>0</v>
      </c>
      <c r="I206" s="24"/>
      <c r="J206" s="27">
        <f>IFERROR(MIN(IF(VLOOKUP(F206,'05_Master KPI'!$B$5:$G$100,5,FALSE)="Lower",H206/I206,I206/H206),1),0)</f>
        <v>0</v>
      </c>
      <c r="K206" s="26">
        <f>IFERROR(VLOOKUP(F206,'05_Master KPI'!$B$5:$G$100,4,FALSE),0)</f>
        <v>0</v>
      </c>
      <c r="L206" s="28">
        <f t="shared" si="3"/>
        <v>0</v>
      </c>
      <c r="M206" s="26" t="str">
        <f>IF(D206="","",IF(J206&gt;='13_Setting'!$H$7,"Tercapai",IF(J206&gt;='13_Setting'!$H$6,"On Track","Tertinggal")))</f>
        <v/>
      </c>
      <c r="N206" s="24"/>
    </row>
    <row r="207" spans="1:14">
      <c r="A207" s="24"/>
      <c r="B207" s="24"/>
      <c r="C207" s="25"/>
      <c r="D207" s="24"/>
      <c r="E207" s="26" t="str">
        <f>IFERROR(VLOOKUP(D207,'04_Master Karyawan'!$A$5:$F$50,2,FALSE),"")</f>
        <v/>
      </c>
      <c r="F207" s="24"/>
      <c r="G207" s="26" t="str">
        <f>IFERROR(VLOOKUP(F207,'05_Master KPI'!$B$5:$G$100,2,FALSE)&amp;" ("&amp;VLOOKUP(F207,'05_Master KPI'!$B$5:$G$100,3,FALSE)&amp;")","")</f>
        <v/>
      </c>
      <c r="H207" s="26">
        <f>IFERROR(IF(B207&lt;&gt;'06_Target KPI'!$B$3,0,IF(VLOOKUP(F207,'05_Master KPI'!$B$5:$G$100,6,FALSE)="Kumulatif",INDEX('06_Target KPI'!$E$5:$P$100,MATCH(F207,'06_Target KPI'!$B$5:$B$100,0),MATCH(A207,'06_Target KPI'!$E$4:$P$4,0))*DAY(C207)/DAY(EOMONTH(C207,0)),INDEX('06_Target KPI'!$E$5:$P$100,MATCH(F207,'06_Target KPI'!$B$5:$B$100,0),MATCH(A207,'06_Target KPI'!$E$4:$P$4,0)))),0)</f>
        <v>0</v>
      </c>
      <c r="I207" s="24"/>
      <c r="J207" s="27">
        <f>IFERROR(MIN(IF(VLOOKUP(F207,'05_Master KPI'!$B$5:$G$100,5,FALSE)="Lower",H207/I207,I207/H207),1),0)</f>
        <v>0</v>
      </c>
      <c r="K207" s="26">
        <f>IFERROR(VLOOKUP(F207,'05_Master KPI'!$B$5:$G$100,4,FALSE),0)</f>
        <v>0</v>
      </c>
      <c r="L207" s="28">
        <f t="shared" si="3"/>
        <v>0</v>
      </c>
      <c r="M207" s="26" t="str">
        <f>IF(D207="","",IF(J207&gt;='13_Setting'!$H$7,"Tercapai",IF(J207&gt;='13_Setting'!$H$6,"On Track","Tertinggal")))</f>
        <v/>
      </c>
      <c r="N207" s="24"/>
    </row>
    <row r="208" spans="1:14">
      <c r="A208" s="24"/>
      <c r="B208" s="24"/>
      <c r="C208" s="25"/>
      <c r="D208" s="24"/>
      <c r="E208" s="26" t="str">
        <f>IFERROR(VLOOKUP(D208,'04_Master Karyawan'!$A$5:$F$50,2,FALSE),"")</f>
        <v/>
      </c>
      <c r="F208" s="24"/>
      <c r="G208" s="26" t="str">
        <f>IFERROR(VLOOKUP(F208,'05_Master KPI'!$B$5:$G$100,2,FALSE)&amp;" ("&amp;VLOOKUP(F208,'05_Master KPI'!$B$5:$G$100,3,FALSE)&amp;")","")</f>
        <v/>
      </c>
      <c r="H208" s="26">
        <f>IFERROR(IF(B208&lt;&gt;'06_Target KPI'!$B$3,0,IF(VLOOKUP(F208,'05_Master KPI'!$B$5:$G$100,6,FALSE)="Kumulatif",INDEX('06_Target KPI'!$E$5:$P$100,MATCH(F208,'06_Target KPI'!$B$5:$B$100,0),MATCH(A208,'06_Target KPI'!$E$4:$P$4,0))*DAY(C208)/DAY(EOMONTH(C208,0)),INDEX('06_Target KPI'!$E$5:$P$100,MATCH(F208,'06_Target KPI'!$B$5:$B$100,0),MATCH(A208,'06_Target KPI'!$E$4:$P$4,0)))),0)</f>
        <v>0</v>
      </c>
      <c r="I208" s="24"/>
      <c r="J208" s="27">
        <f>IFERROR(MIN(IF(VLOOKUP(F208,'05_Master KPI'!$B$5:$G$100,5,FALSE)="Lower",H208/I208,I208/H208),1),0)</f>
        <v>0</v>
      </c>
      <c r="K208" s="26">
        <f>IFERROR(VLOOKUP(F208,'05_Master KPI'!$B$5:$G$100,4,FALSE),0)</f>
        <v>0</v>
      </c>
      <c r="L208" s="28">
        <f t="shared" si="3"/>
        <v>0</v>
      </c>
      <c r="M208" s="26" t="str">
        <f>IF(D208="","",IF(J208&gt;='13_Setting'!$H$7,"Tercapai",IF(J208&gt;='13_Setting'!$H$6,"On Track","Tertinggal")))</f>
        <v/>
      </c>
      <c r="N208" s="24"/>
    </row>
    <row r="209" spans="1:14">
      <c r="A209" s="24"/>
      <c r="B209" s="24"/>
      <c r="C209" s="25"/>
      <c r="D209" s="24"/>
      <c r="E209" s="26" t="str">
        <f>IFERROR(VLOOKUP(D209,'04_Master Karyawan'!$A$5:$F$50,2,FALSE),"")</f>
        <v/>
      </c>
      <c r="F209" s="24"/>
      <c r="G209" s="26" t="str">
        <f>IFERROR(VLOOKUP(F209,'05_Master KPI'!$B$5:$G$100,2,FALSE)&amp;" ("&amp;VLOOKUP(F209,'05_Master KPI'!$B$5:$G$100,3,FALSE)&amp;")","")</f>
        <v/>
      </c>
      <c r="H209" s="26">
        <f>IFERROR(IF(B209&lt;&gt;'06_Target KPI'!$B$3,0,IF(VLOOKUP(F209,'05_Master KPI'!$B$5:$G$100,6,FALSE)="Kumulatif",INDEX('06_Target KPI'!$E$5:$P$100,MATCH(F209,'06_Target KPI'!$B$5:$B$100,0),MATCH(A209,'06_Target KPI'!$E$4:$P$4,0))*DAY(C209)/DAY(EOMONTH(C209,0)),INDEX('06_Target KPI'!$E$5:$P$100,MATCH(F209,'06_Target KPI'!$B$5:$B$100,0),MATCH(A209,'06_Target KPI'!$E$4:$P$4,0)))),0)</f>
        <v>0</v>
      </c>
      <c r="I209" s="24"/>
      <c r="J209" s="27">
        <f>IFERROR(MIN(IF(VLOOKUP(F209,'05_Master KPI'!$B$5:$G$100,5,FALSE)="Lower",H209/I209,I209/H209),1),0)</f>
        <v>0</v>
      </c>
      <c r="K209" s="26">
        <f>IFERROR(VLOOKUP(F209,'05_Master KPI'!$B$5:$G$100,4,FALSE),0)</f>
        <v>0</v>
      </c>
      <c r="L209" s="28">
        <f t="shared" si="3"/>
        <v>0</v>
      </c>
      <c r="M209" s="26" t="str">
        <f>IF(D209="","",IF(J209&gt;='13_Setting'!$H$7,"Tercapai",IF(J209&gt;='13_Setting'!$H$6,"On Track","Tertinggal")))</f>
        <v/>
      </c>
      <c r="N209" s="24"/>
    </row>
    <row r="210" spans="1:14">
      <c r="A210" s="24"/>
      <c r="B210" s="24"/>
      <c r="C210" s="25"/>
      <c r="D210" s="24"/>
      <c r="E210" s="26" t="str">
        <f>IFERROR(VLOOKUP(D210,'04_Master Karyawan'!$A$5:$F$50,2,FALSE),"")</f>
        <v/>
      </c>
      <c r="F210" s="24"/>
      <c r="G210" s="26" t="str">
        <f>IFERROR(VLOOKUP(F210,'05_Master KPI'!$B$5:$G$100,2,FALSE)&amp;" ("&amp;VLOOKUP(F210,'05_Master KPI'!$B$5:$G$100,3,FALSE)&amp;")","")</f>
        <v/>
      </c>
      <c r="H210" s="26">
        <f>IFERROR(IF(B210&lt;&gt;'06_Target KPI'!$B$3,0,IF(VLOOKUP(F210,'05_Master KPI'!$B$5:$G$100,6,FALSE)="Kumulatif",INDEX('06_Target KPI'!$E$5:$P$100,MATCH(F210,'06_Target KPI'!$B$5:$B$100,0),MATCH(A210,'06_Target KPI'!$E$4:$P$4,0))*DAY(C210)/DAY(EOMONTH(C210,0)),INDEX('06_Target KPI'!$E$5:$P$100,MATCH(F210,'06_Target KPI'!$B$5:$B$100,0),MATCH(A210,'06_Target KPI'!$E$4:$P$4,0)))),0)</f>
        <v>0</v>
      </c>
      <c r="I210" s="24"/>
      <c r="J210" s="27">
        <f>IFERROR(MIN(IF(VLOOKUP(F210,'05_Master KPI'!$B$5:$G$100,5,FALSE)="Lower",H210/I210,I210/H210),1),0)</f>
        <v>0</v>
      </c>
      <c r="K210" s="26">
        <f>IFERROR(VLOOKUP(F210,'05_Master KPI'!$B$5:$G$100,4,FALSE),0)</f>
        <v>0</v>
      </c>
      <c r="L210" s="28">
        <f t="shared" si="3"/>
        <v>0</v>
      </c>
      <c r="M210" s="26" t="str">
        <f>IF(D210="","",IF(J210&gt;='13_Setting'!$H$7,"Tercapai",IF(J210&gt;='13_Setting'!$H$6,"On Track","Tertinggal")))</f>
        <v/>
      </c>
      <c r="N210" s="24"/>
    </row>
    <row r="211" spans="1:14">
      <c r="A211" s="24"/>
      <c r="B211" s="24"/>
      <c r="C211" s="25"/>
      <c r="D211" s="24"/>
      <c r="E211" s="26" t="str">
        <f>IFERROR(VLOOKUP(D211,'04_Master Karyawan'!$A$5:$F$50,2,FALSE),"")</f>
        <v/>
      </c>
      <c r="F211" s="24"/>
      <c r="G211" s="26" t="str">
        <f>IFERROR(VLOOKUP(F211,'05_Master KPI'!$B$5:$G$100,2,FALSE)&amp;" ("&amp;VLOOKUP(F211,'05_Master KPI'!$B$5:$G$100,3,FALSE)&amp;")","")</f>
        <v/>
      </c>
      <c r="H211" s="26">
        <f>IFERROR(IF(B211&lt;&gt;'06_Target KPI'!$B$3,0,IF(VLOOKUP(F211,'05_Master KPI'!$B$5:$G$100,6,FALSE)="Kumulatif",INDEX('06_Target KPI'!$E$5:$P$100,MATCH(F211,'06_Target KPI'!$B$5:$B$100,0),MATCH(A211,'06_Target KPI'!$E$4:$P$4,0))*DAY(C211)/DAY(EOMONTH(C211,0)),INDEX('06_Target KPI'!$E$5:$P$100,MATCH(F211,'06_Target KPI'!$B$5:$B$100,0),MATCH(A211,'06_Target KPI'!$E$4:$P$4,0)))),0)</f>
        <v>0</v>
      </c>
      <c r="I211" s="24"/>
      <c r="J211" s="27">
        <f>IFERROR(MIN(IF(VLOOKUP(F211,'05_Master KPI'!$B$5:$G$100,5,FALSE)="Lower",H211/I211,I211/H211),1),0)</f>
        <v>0</v>
      </c>
      <c r="K211" s="26">
        <f>IFERROR(VLOOKUP(F211,'05_Master KPI'!$B$5:$G$100,4,FALSE),0)</f>
        <v>0</v>
      </c>
      <c r="L211" s="28">
        <f t="shared" si="3"/>
        <v>0</v>
      </c>
      <c r="M211" s="26" t="str">
        <f>IF(D211="","",IF(J211&gt;='13_Setting'!$H$7,"Tercapai",IF(J211&gt;='13_Setting'!$H$6,"On Track","Tertinggal")))</f>
        <v/>
      </c>
      <c r="N211" s="24"/>
    </row>
    <row r="212" spans="1:14">
      <c r="A212" s="24"/>
      <c r="B212" s="24"/>
      <c r="C212" s="25"/>
      <c r="D212" s="24"/>
      <c r="E212" s="26" t="str">
        <f>IFERROR(VLOOKUP(D212,'04_Master Karyawan'!$A$5:$F$50,2,FALSE),"")</f>
        <v/>
      </c>
      <c r="F212" s="24"/>
      <c r="G212" s="26" t="str">
        <f>IFERROR(VLOOKUP(F212,'05_Master KPI'!$B$5:$G$100,2,FALSE)&amp;" ("&amp;VLOOKUP(F212,'05_Master KPI'!$B$5:$G$100,3,FALSE)&amp;")","")</f>
        <v/>
      </c>
      <c r="H212" s="26">
        <f>IFERROR(IF(B212&lt;&gt;'06_Target KPI'!$B$3,0,IF(VLOOKUP(F212,'05_Master KPI'!$B$5:$G$100,6,FALSE)="Kumulatif",INDEX('06_Target KPI'!$E$5:$P$100,MATCH(F212,'06_Target KPI'!$B$5:$B$100,0),MATCH(A212,'06_Target KPI'!$E$4:$P$4,0))*DAY(C212)/DAY(EOMONTH(C212,0)),INDEX('06_Target KPI'!$E$5:$P$100,MATCH(F212,'06_Target KPI'!$B$5:$B$100,0),MATCH(A212,'06_Target KPI'!$E$4:$P$4,0)))),0)</f>
        <v>0</v>
      </c>
      <c r="I212" s="24"/>
      <c r="J212" s="27">
        <f>IFERROR(MIN(IF(VLOOKUP(F212,'05_Master KPI'!$B$5:$G$100,5,FALSE)="Lower",H212/I212,I212/H212),1),0)</f>
        <v>0</v>
      </c>
      <c r="K212" s="26">
        <f>IFERROR(VLOOKUP(F212,'05_Master KPI'!$B$5:$G$100,4,FALSE),0)</f>
        <v>0</v>
      </c>
      <c r="L212" s="28">
        <f t="shared" si="3"/>
        <v>0</v>
      </c>
      <c r="M212" s="26" t="str">
        <f>IF(D212="","",IF(J212&gt;='13_Setting'!$H$7,"Tercapai",IF(J212&gt;='13_Setting'!$H$6,"On Track","Tertinggal")))</f>
        <v/>
      </c>
      <c r="N212" s="24"/>
    </row>
    <row r="213" spans="1:14">
      <c r="A213" s="24"/>
      <c r="B213" s="24"/>
      <c r="C213" s="25"/>
      <c r="D213" s="24"/>
      <c r="E213" s="26" t="str">
        <f>IFERROR(VLOOKUP(D213,'04_Master Karyawan'!$A$5:$F$50,2,FALSE),"")</f>
        <v/>
      </c>
      <c r="F213" s="24"/>
      <c r="G213" s="26" t="str">
        <f>IFERROR(VLOOKUP(F213,'05_Master KPI'!$B$5:$G$100,2,FALSE)&amp;" ("&amp;VLOOKUP(F213,'05_Master KPI'!$B$5:$G$100,3,FALSE)&amp;")","")</f>
        <v/>
      </c>
      <c r="H213" s="26">
        <f>IFERROR(IF(B213&lt;&gt;'06_Target KPI'!$B$3,0,IF(VLOOKUP(F213,'05_Master KPI'!$B$5:$G$100,6,FALSE)="Kumulatif",INDEX('06_Target KPI'!$E$5:$P$100,MATCH(F213,'06_Target KPI'!$B$5:$B$100,0),MATCH(A213,'06_Target KPI'!$E$4:$P$4,0))*DAY(C213)/DAY(EOMONTH(C213,0)),INDEX('06_Target KPI'!$E$5:$P$100,MATCH(F213,'06_Target KPI'!$B$5:$B$100,0),MATCH(A213,'06_Target KPI'!$E$4:$P$4,0)))),0)</f>
        <v>0</v>
      </c>
      <c r="I213" s="24"/>
      <c r="J213" s="27">
        <f>IFERROR(MIN(IF(VLOOKUP(F213,'05_Master KPI'!$B$5:$G$100,5,FALSE)="Lower",H213/I213,I213/H213),1),0)</f>
        <v>0</v>
      </c>
      <c r="K213" s="26">
        <f>IFERROR(VLOOKUP(F213,'05_Master KPI'!$B$5:$G$100,4,FALSE),0)</f>
        <v>0</v>
      </c>
      <c r="L213" s="28">
        <f t="shared" si="3"/>
        <v>0</v>
      </c>
      <c r="M213" s="26" t="str">
        <f>IF(D213="","",IF(J213&gt;='13_Setting'!$H$7,"Tercapai",IF(J213&gt;='13_Setting'!$H$6,"On Track","Tertinggal")))</f>
        <v/>
      </c>
      <c r="N213" s="24"/>
    </row>
    <row r="214" spans="1:14">
      <c r="A214" s="24"/>
      <c r="B214" s="24"/>
      <c r="C214" s="25"/>
      <c r="D214" s="24"/>
      <c r="E214" s="26" t="str">
        <f>IFERROR(VLOOKUP(D214,'04_Master Karyawan'!$A$5:$F$50,2,FALSE),"")</f>
        <v/>
      </c>
      <c r="F214" s="24"/>
      <c r="G214" s="26" t="str">
        <f>IFERROR(VLOOKUP(F214,'05_Master KPI'!$B$5:$G$100,2,FALSE)&amp;" ("&amp;VLOOKUP(F214,'05_Master KPI'!$B$5:$G$100,3,FALSE)&amp;")","")</f>
        <v/>
      </c>
      <c r="H214" s="26">
        <f>IFERROR(IF(B214&lt;&gt;'06_Target KPI'!$B$3,0,IF(VLOOKUP(F214,'05_Master KPI'!$B$5:$G$100,6,FALSE)="Kumulatif",INDEX('06_Target KPI'!$E$5:$P$100,MATCH(F214,'06_Target KPI'!$B$5:$B$100,0),MATCH(A214,'06_Target KPI'!$E$4:$P$4,0))*DAY(C214)/DAY(EOMONTH(C214,0)),INDEX('06_Target KPI'!$E$5:$P$100,MATCH(F214,'06_Target KPI'!$B$5:$B$100,0),MATCH(A214,'06_Target KPI'!$E$4:$P$4,0)))),0)</f>
        <v>0</v>
      </c>
      <c r="I214" s="24"/>
      <c r="J214" s="27">
        <f>IFERROR(MIN(IF(VLOOKUP(F214,'05_Master KPI'!$B$5:$G$100,5,FALSE)="Lower",H214/I214,I214/H214),1),0)</f>
        <v>0</v>
      </c>
      <c r="K214" s="26">
        <f>IFERROR(VLOOKUP(F214,'05_Master KPI'!$B$5:$G$100,4,FALSE),0)</f>
        <v>0</v>
      </c>
      <c r="L214" s="28">
        <f t="shared" si="3"/>
        <v>0</v>
      </c>
      <c r="M214" s="26" t="str">
        <f>IF(D214="","",IF(J214&gt;='13_Setting'!$H$7,"Tercapai",IF(J214&gt;='13_Setting'!$H$6,"On Track","Tertinggal")))</f>
        <v/>
      </c>
      <c r="N214" s="24"/>
    </row>
    <row r="215" spans="1:14">
      <c r="A215" s="24"/>
      <c r="B215" s="24"/>
      <c r="C215" s="25"/>
      <c r="D215" s="24"/>
      <c r="E215" s="26" t="str">
        <f>IFERROR(VLOOKUP(D215,'04_Master Karyawan'!$A$5:$F$50,2,FALSE),"")</f>
        <v/>
      </c>
      <c r="F215" s="24"/>
      <c r="G215" s="26" t="str">
        <f>IFERROR(VLOOKUP(F215,'05_Master KPI'!$B$5:$G$100,2,FALSE)&amp;" ("&amp;VLOOKUP(F215,'05_Master KPI'!$B$5:$G$100,3,FALSE)&amp;")","")</f>
        <v/>
      </c>
      <c r="H215" s="26">
        <f>IFERROR(IF(B215&lt;&gt;'06_Target KPI'!$B$3,0,IF(VLOOKUP(F215,'05_Master KPI'!$B$5:$G$100,6,FALSE)="Kumulatif",INDEX('06_Target KPI'!$E$5:$P$100,MATCH(F215,'06_Target KPI'!$B$5:$B$100,0),MATCH(A215,'06_Target KPI'!$E$4:$P$4,0))*DAY(C215)/DAY(EOMONTH(C215,0)),INDEX('06_Target KPI'!$E$5:$P$100,MATCH(F215,'06_Target KPI'!$B$5:$B$100,0),MATCH(A215,'06_Target KPI'!$E$4:$P$4,0)))),0)</f>
        <v>0</v>
      </c>
      <c r="I215" s="24"/>
      <c r="J215" s="27">
        <f>IFERROR(MIN(IF(VLOOKUP(F215,'05_Master KPI'!$B$5:$G$100,5,FALSE)="Lower",H215/I215,I215/H215),1),0)</f>
        <v>0</v>
      </c>
      <c r="K215" s="26">
        <f>IFERROR(VLOOKUP(F215,'05_Master KPI'!$B$5:$G$100,4,FALSE),0)</f>
        <v>0</v>
      </c>
      <c r="L215" s="28">
        <f t="shared" si="3"/>
        <v>0</v>
      </c>
      <c r="M215" s="26" t="str">
        <f>IF(D215="","",IF(J215&gt;='13_Setting'!$H$7,"Tercapai",IF(J215&gt;='13_Setting'!$H$6,"On Track","Tertinggal")))</f>
        <v/>
      </c>
      <c r="N215" s="24"/>
    </row>
    <row r="216" spans="1:14">
      <c r="A216" s="24"/>
      <c r="B216" s="24"/>
      <c r="C216" s="25"/>
      <c r="D216" s="24"/>
      <c r="E216" s="26" t="str">
        <f>IFERROR(VLOOKUP(D216,'04_Master Karyawan'!$A$5:$F$50,2,FALSE),"")</f>
        <v/>
      </c>
      <c r="F216" s="24"/>
      <c r="G216" s="26" t="str">
        <f>IFERROR(VLOOKUP(F216,'05_Master KPI'!$B$5:$G$100,2,FALSE)&amp;" ("&amp;VLOOKUP(F216,'05_Master KPI'!$B$5:$G$100,3,FALSE)&amp;")","")</f>
        <v/>
      </c>
      <c r="H216" s="26">
        <f>IFERROR(IF(B216&lt;&gt;'06_Target KPI'!$B$3,0,IF(VLOOKUP(F216,'05_Master KPI'!$B$5:$G$100,6,FALSE)="Kumulatif",INDEX('06_Target KPI'!$E$5:$P$100,MATCH(F216,'06_Target KPI'!$B$5:$B$100,0),MATCH(A216,'06_Target KPI'!$E$4:$P$4,0))*DAY(C216)/DAY(EOMONTH(C216,0)),INDEX('06_Target KPI'!$E$5:$P$100,MATCH(F216,'06_Target KPI'!$B$5:$B$100,0),MATCH(A216,'06_Target KPI'!$E$4:$P$4,0)))),0)</f>
        <v>0</v>
      </c>
      <c r="I216" s="24"/>
      <c r="J216" s="27">
        <f>IFERROR(MIN(IF(VLOOKUP(F216,'05_Master KPI'!$B$5:$G$100,5,FALSE)="Lower",H216/I216,I216/H216),1),0)</f>
        <v>0</v>
      </c>
      <c r="K216" s="26">
        <f>IFERROR(VLOOKUP(F216,'05_Master KPI'!$B$5:$G$100,4,FALSE),0)</f>
        <v>0</v>
      </c>
      <c r="L216" s="28">
        <f t="shared" si="3"/>
        <v>0</v>
      </c>
      <c r="M216" s="26" t="str">
        <f>IF(D216="","",IF(J216&gt;='13_Setting'!$H$7,"Tercapai",IF(J216&gt;='13_Setting'!$H$6,"On Track","Tertinggal")))</f>
        <v/>
      </c>
      <c r="N216" s="24"/>
    </row>
    <row r="217" spans="1:14">
      <c r="A217" s="24"/>
      <c r="B217" s="24"/>
      <c r="C217" s="25"/>
      <c r="D217" s="24"/>
      <c r="E217" s="26" t="str">
        <f>IFERROR(VLOOKUP(D217,'04_Master Karyawan'!$A$5:$F$50,2,FALSE),"")</f>
        <v/>
      </c>
      <c r="F217" s="24"/>
      <c r="G217" s="26" t="str">
        <f>IFERROR(VLOOKUP(F217,'05_Master KPI'!$B$5:$G$100,2,FALSE)&amp;" ("&amp;VLOOKUP(F217,'05_Master KPI'!$B$5:$G$100,3,FALSE)&amp;")","")</f>
        <v/>
      </c>
      <c r="H217" s="26">
        <f>IFERROR(IF(B217&lt;&gt;'06_Target KPI'!$B$3,0,IF(VLOOKUP(F217,'05_Master KPI'!$B$5:$G$100,6,FALSE)="Kumulatif",INDEX('06_Target KPI'!$E$5:$P$100,MATCH(F217,'06_Target KPI'!$B$5:$B$100,0),MATCH(A217,'06_Target KPI'!$E$4:$P$4,0))*DAY(C217)/DAY(EOMONTH(C217,0)),INDEX('06_Target KPI'!$E$5:$P$100,MATCH(F217,'06_Target KPI'!$B$5:$B$100,0),MATCH(A217,'06_Target KPI'!$E$4:$P$4,0)))),0)</f>
        <v>0</v>
      </c>
      <c r="I217" s="24"/>
      <c r="J217" s="27">
        <f>IFERROR(MIN(IF(VLOOKUP(F217,'05_Master KPI'!$B$5:$G$100,5,FALSE)="Lower",H217/I217,I217/H217),1),0)</f>
        <v>0</v>
      </c>
      <c r="K217" s="26">
        <f>IFERROR(VLOOKUP(F217,'05_Master KPI'!$B$5:$G$100,4,FALSE),0)</f>
        <v>0</v>
      </c>
      <c r="L217" s="28">
        <f t="shared" si="3"/>
        <v>0</v>
      </c>
      <c r="M217" s="26" t="str">
        <f>IF(D217="","",IF(J217&gt;='13_Setting'!$H$7,"Tercapai",IF(J217&gt;='13_Setting'!$H$6,"On Track","Tertinggal")))</f>
        <v/>
      </c>
      <c r="N217" s="24"/>
    </row>
    <row r="218" spans="1:14">
      <c r="A218" s="24"/>
      <c r="B218" s="24"/>
      <c r="C218" s="25"/>
      <c r="D218" s="24"/>
      <c r="E218" s="26" t="str">
        <f>IFERROR(VLOOKUP(D218,'04_Master Karyawan'!$A$5:$F$50,2,FALSE),"")</f>
        <v/>
      </c>
      <c r="F218" s="24"/>
      <c r="G218" s="26" t="str">
        <f>IFERROR(VLOOKUP(F218,'05_Master KPI'!$B$5:$G$100,2,FALSE)&amp;" ("&amp;VLOOKUP(F218,'05_Master KPI'!$B$5:$G$100,3,FALSE)&amp;")","")</f>
        <v/>
      </c>
      <c r="H218" s="26">
        <f>IFERROR(IF(B218&lt;&gt;'06_Target KPI'!$B$3,0,IF(VLOOKUP(F218,'05_Master KPI'!$B$5:$G$100,6,FALSE)="Kumulatif",INDEX('06_Target KPI'!$E$5:$P$100,MATCH(F218,'06_Target KPI'!$B$5:$B$100,0),MATCH(A218,'06_Target KPI'!$E$4:$P$4,0))*DAY(C218)/DAY(EOMONTH(C218,0)),INDEX('06_Target KPI'!$E$5:$P$100,MATCH(F218,'06_Target KPI'!$B$5:$B$100,0),MATCH(A218,'06_Target KPI'!$E$4:$P$4,0)))),0)</f>
        <v>0</v>
      </c>
      <c r="I218" s="24"/>
      <c r="J218" s="27">
        <f>IFERROR(MIN(IF(VLOOKUP(F218,'05_Master KPI'!$B$5:$G$100,5,FALSE)="Lower",H218/I218,I218/H218),1),0)</f>
        <v>0</v>
      </c>
      <c r="K218" s="26">
        <f>IFERROR(VLOOKUP(F218,'05_Master KPI'!$B$5:$G$100,4,FALSE),0)</f>
        <v>0</v>
      </c>
      <c r="L218" s="28">
        <f t="shared" si="3"/>
        <v>0</v>
      </c>
      <c r="M218" s="26" t="str">
        <f>IF(D218="","",IF(J218&gt;='13_Setting'!$H$7,"Tercapai",IF(J218&gt;='13_Setting'!$H$6,"On Track","Tertinggal")))</f>
        <v/>
      </c>
      <c r="N218" s="24"/>
    </row>
    <row r="219" spans="1:14">
      <c r="A219" s="24"/>
      <c r="B219" s="24"/>
      <c r="C219" s="25"/>
      <c r="D219" s="24"/>
      <c r="E219" s="26" t="str">
        <f>IFERROR(VLOOKUP(D219,'04_Master Karyawan'!$A$5:$F$50,2,FALSE),"")</f>
        <v/>
      </c>
      <c r="F219" s="24"/>
      <c r="G219" s="26" t="str">
        <f>IFERROR(VLOOKUP(F219,'05_Master KPI'!$B$5:$G$100,2,FALSE)&amp;" ("&amp;VLOOKUP(F219,'05_Master KPI'!$B$5:$G$100,3,FALSE)&amp;")","")</f>
        <v/>
      </c>
      <c r="H219" s="26">
        <f>IFERROR(IF(B219&lt;&gt;'06_Target KPI'!$B$3,0,IF(VLOOKUP(F219,'05_Master KPI'!$B$5:$G$100,6,FALSE)="Kumulatif",INDEX('06_Target KPI'!$E$5:$P$100,MATCH(F219,'06_Target KPI'!$B$5:$B$100,0),MATCH(A219,'06_Target KPI'!$E$4:$P$4,0))*DAY(C219)/DAY(EOMONTH(C219,0)),INDEX('06_Target KPI'!$E$5:$P$100,MATCH(F219,'06_Target KPI'!$B$5:$B$100,0),MATCH(A219,'06_Target KPI'!$E$4:$P$4,0)))),0)</f>
        <v>0</v>
      </c>
      <c r="I219" s="24"/>
      <c r="J219" s="27">
        <f>IFERROR(MIN(IF(VLOOKUP(F219,'05_Master KPI'!$B$5:$G$100,5,FALSE)="Lower",H219/I219,I219/H219),1),0)</f>
        <v>0</v>
      </c>
      <c r="K219" s="26">
        <f>IFERROR(VLOOKUP(F219,'05_Master KPI'!$B$5:$G$100,4,FALSE),0)</f>
        <v>0</v>
      </c>
      <c r="L219" s="28">
        <f t="shared" si="3"/>
        <v>0</v>
      </c>
      <c r="M219" s="26" t="str">
        <f>IF(D219="","",IF(J219&gt;='13_Setting'!$H$7,"Tercapai",IF(J219&gt;='13_Setting'!$H$6,"On Track","Tertinggal")))</f>
        <v/>
      </c>
      <c r="N219" s="24"/>
    </row>
    <row r="220" spans="1:14">
      <c r="A220" s="24"/>
      <c r="B220" s="24"/>
      <c r="C220" s="25"/>
      <c r="D220" s="24"/>
      <c r="E220" s="26" t="str">
        <f>IFERROR(VLOOKUP(D220,'04_Master Karyawan'!$A$5:$F$50,2,FALSE),"")</f>
        <v/>
      </c>
      <c r="F220" s="24"/>
      <c r="G220" s="26" t="str">
        <f>IFERROR(VLOOKUP(F220,'05_Master KPI'!$B$5:$G$100,2,FALSE)&amp;" ("&amp;VLOOKUP(F220,'05_Master KPI'!$B$5:$G$100,3,FALSE)&amp;")","")</f>
        <v/>
      </c>
      <c r="H220" s="26">
        <f>IFERROR(IF(B220&lt;&gt;'06_Target KPI'!$B$3,0,IF(VLOOKUP(F220,'05_Master KPI'!$B$5:$G$100,6,FALSE)="Kumulatif",INDEX('06_Target KPI'!$E$5:$P$100,MATCH(F220,'06_Target KPI'!$B$5:$B$100,0),MATCH(A220,'06_Target KPI'!$E$4:$P$4,0))*DAY(C220)/DAY(EOMONTH(C220,0)),INDEX('06_Target KPI'!$E$5:$P$100,MATCH(F220,'06_Target KPI'!$B$5:$B$100,0),MATCH(A220,'06_Target KPI'!$E$4:$P$4,0)))),0)</f>
        <v>0</v>
      </c>
      <c r="I220" s="24"/>
      <c r="J220" s="27">
        <f>IFERROR(MIN(IF(VLOOKUP(F220,'05_Master KPI'!$B$5:$G$100,5,FALSE)="Lower",H220/I220,I220/H220),1),0)</f>
        <v>0</v>
      </c>
      <c r="K220" s="26">
        <f>IFERROR(VLOOKUP(F220,'05_Master KPI'!$B$5:$G$100,4,FALSE),0)</f>
        <v>0</v>
      </c>
      <c r="L220" s="28">
        <f t="shared" si="3"/>
        <v>0</v>
      </c>
      <c r="M220" s="26" t="str">
        <f>IF(D220="","",IF(J220&gt;='13_Setting'!$H$7,"Tercapai",IF(J220&gt;='13_Setting'!$H$6,"On Track","Tertinggal")))</f>
        <v/>
      </c>
      <c r="N220" s="24"/>
    </row>
    <row r="221" spans="1:14">
      <c r="A221" s="24"/>
      <c r="B221" s="24"/>
      <c r="C221" s="25"/>
      <c r="D221" s="24"/>
      <c r="E221" s="26" t="str">
        <f>IFERROR(VLOOKUP(D221,'04_Master Karyawan'!$A$5:$F$50,2,FALSE),"")</f>
        <v/>
      </c>
      <c r="F221" s="24"/>
      <c r="G221" s="26" t="str">
        <f>IFERROR(VLOOKUP(F221,'05_Master KPI'!$B$5:$G$100,2,FALSE)&amp;" ("&amp;VLOOKUP(F221,'05_Master KPI'!$B$5:$G$100,3,FALSE)&amp;")","")</f>
        <v/>
      </c>
      <c r="H221" s="26">
        <f>IFERROR(IF(B221&lt;&gt;'06_Target KPI'!$B$3,0,IF(VLOOKUP(F221,'05_Master KPI'!$B$5:$G$100,6,FALSE)="Kumulatif",INDEX('06_Target KPI'!$E$5:$P$100,MATCH(F221,'06_Target KPI'!$B$5:$B$100,0),MATCH(A221,'06_Target KPI'!$E$4:$P$4,0))*DAY(C221)/DAY(EOMONTH(C221,0)),INDEX('06_Target KPI'!$E$5:$P$100,MATCH(F221,'06_Target KPI'!$B$5:$B$100,0),MATCH(A221,'06_Target KPI'!$E$4:$P$4,0)))),0)</f>
        <v>0</v>
      </c>
      <c r="I221" s="24"/>
      <c r="J221" s="27">
        <f>IFERROR(MIN(IF(VLOOKUP(F221,'05_Master KPI'!$B$5:$G$100,5,FALSE)="Lower",H221/I221,I221/H221),1),0)</f>
        <v>0</v>
      </c>
      <c r="K221" s="26">
        <f>IFERROR(VLOOKUP(F221,'05_Master KPI'!$B$5:$G$100,4,FALSE),0)</f>
        <v>0</v>
      </c>
      <c r="L221" s="28">
        <f t="shared" si="3"/>
        <v>0</v>
      </c>
      <c r="M221" s="26" t="str">
        <f>IF(D221="","",IF(J221&gt;='13_Setting'!$H$7,"Tercapai",IF(J221&gt;='13_Setting'!$H$6,"On Track","Tertinggal")))</f>
        <v/>
      </c>
      <c r="N221" s="24"/>
    </row>
    <row r="222" spans="1:14">
      <c r="A222" s="24"/>
      <c r="B222" s="24"/>
      <c r="C222" s="25"/>
      <c r="D222" s="24"/>
      <c r="E222" s="26" t="str">
        <f>IFERROR(VLOOKUP(D222,'04_Master Karyawan'!$A$5:$F$50,2,FALSE),"")</f>
        <v/>
      </c>
      <c r="F222" s="24"/>
      <c r="G222" s="26" t="str">
        <f>IFERROR(VLOOKUP(F222,'05_Master KPI'!$B$5:$G$100,2,FALSE)&amp;" ("&amp;VLOOKUP(F222,'05_Master KPI'!$B$5:$G$100,3,FALSE)&amp;")","")</f>
        <v/>
      </c>
      <c r="H222" s="26">
        <f>IFERROR(IF(B222&lt;&gt;'06_Target KPI'!$B$3,0,IF(VLOOKUP(F222,'05_Master KPI'!$B$5:$G$100,6,FALSE)="Kumulatif",INDEX('06_Target KPI'!$E$5:$P$100,MATCH(F222,'06_Target KPI'!$B$5:$B$100,0),MATCH(A222,'06_Target KPI'!$E$4:$P$4,0))*DAY(C222)/DAY(EOMONTH(C222,0)),INDEX('06_Target KPI'!$E$5:$P$100,MATCH(F222,'06_Target KPI'!$B$5:$B$100,0),MATCH(A222,'06_Target KPI'!$E$4:$P$4,0)))),0)</f>
        <v>0</v>
      </c>
      <c r="I222" s="24"/>
      <c r="J222" s="27">
        <f>IFERROR(MIN(IF(VLOOKUP(F222,'05_Master KPI'!$B$5:$G$100,5,FALSE)="Lower",H222/I222,I222/H222),1),0)</f>
        <v>0</v>
      </c>
      <c r="K222" s="26">
        <f>IFERROR(VLOOKUP(F222,'05_Master KPI'!$B$5:$G$100,4,FALSE),0)</f>
        <v>0</v>
      </c>
      <c r="L222" s="28">
        <f t="shared" si="3"/>
        <v>0</v>
      </c>
      <c r="M222" s="26" t="str">
        <f>IF(D222="","",IF(J222&gt;='13_Setting'!$H$7,"Tercapai",IF(J222&gt;='13_Setting'!$H$6,"On Track","Tertinggal")))</f>
        <v/>
      </c>
      <c r="N222" s="24"/>
    </row>
    <row r="223" spans="1:14">
      <c r="A223" s="24"/>
      <c r="B223" s="24"/>
      <c r="C223" s="25"/>
      <c r="D223" s="24"/>
      <c r="E223" s="26" t="str">
        <f>IFERROR(VLOOKUP(D223,'04_Master Karyawan'!$A$5:$F$50,2,FALSE),"")</f>
        <v/>
      </c>
      <c r="F223" s="24"/>
      <c r="G223" s="26" t="str">
        <f>IFERROR(VLOOKUP(F223,'05_Master KPI'!$B$5:$G$100,2,FALSE)&amp;" ("&amp;VLOOKUP(F223,'05_Master KPI'!$B$5:$G$100,3,FALSE)&amp;")","")</f>
        <v/>
      </c>
      <c r="H223" s="26">
        <f>IFERROR(IF(B223&lt;&gt;'06_Target KPI'!$B$3,0,IF(VLOOKUP(F223,'05_Master KPI'!$B$5:$G$100,6,FALSE)="Kumulatif",INDEX('06_Target KPI'!$E$5:$P$100,MATCH(F223,'06_Target KPI'!$B$5:$B$100,0),MATCH(A223,'06_Target KPI'!$E$4:$P$4,0))*DAY(C223)/DAY(EOMONTH(C223,0)),INDEX('06_Target KPI'!$E$5:$P$100,MATCH(F223,'06_Target KPI'!$B$5:$B$100,0),MATCH(A223,'06_Target KPI'!$E$4:$P$4,0)))),0)</f>
        <v>0</v>
      </c>
      <c r="I223" s="24"/>
      <c r="J223" s="27">
        <f>IFERROR(MIN(IF(VLOOKUP(F223,'05_Master KPI'!$B$5:$G$100,5,FALSE)="Lower",H223/I223,I223/H223),1),0)</f>
        <v>0</v>
      </c>
      <c r="K223" s="26">
        <f>IFERROR(VLOOKUP(F223,'05_Master KPI'!$B$5:$G$100,4,FALSE),0)</f>
        <v>0</v>
      </c>
      <c r="L223" s="28">
        <f t="shared" si="3"/>
        <v>0</v>
      </c>
      <c r="M223" s="26" t="str">
        <f>IF(D223="","",IF(J223&gt;='13_Setting'!$H$7,"Tercapai",IF(J223&gt;='13_Setting'!$H$6,"On Track","Tertinggal")))</f>
        <v/>
      </c>
      <c r="N223" s="24"/>
    </row>
    <row r="224" spans="1:14">
      <c r="A224" s="24"/>
      <c r="B224" s="24"/>
      <c r="C224" s="25"/>
      <c r="D224" s="24"/>
      <c r="E224" s="26" t="str">
        <f>IFERROR(VLOOKUP(D224,'04_Master Karyawan'!$A$5:$F$50,2,FALSE),"")</f>
        <v/>
      </c>
      <c r="F224" s="24"/>
      <c r="G224" s="26" t="str">
        <f>IFERROR(VLOOKUP(F224,'05_Master KPI'!$B$5:$G$100,2,FALSE)&amp;" ("&amp;VLOOKUP(F224,'05_Master KPI'!$B$5:$G$100,3,FALSE)&amp;")","")</f>
        <v/>
      </c>
      <c r="H224" s="26">
        <f>IFERROR(IF(B224&lt;&gt;'06_Target KPI'!$B$3,0,IF(VLOOKUP(F224,'05_Master KPI'!$B$5:$G$100,6,FALSE)="Kumulatif",INDEX('06_Target KPI'!$E$5:$P$100,MATCH(F224,'06_Target KPI'!$B$5:$B$100,0),MATCH(A224,'06_Target KPI'!$E$4:$P$4,0))*DAY(C224)/DAY(EOMONTH(C224,0)),INDEX('06_Target KPI'!$E$5:$P$100,MATCH(F224,'06_Target KPI'!$B$5:$B$100,0),MATCH(A224,'06_Target KPI'!$E$4:$P$4,0)))),0)</f>
        <v>0</v>
      </c>
      <c r="I224" s="24"/>
      <c r="J224" s="27">
        <f>IFERROR(MIN(IF(VLOOKUP(F224,'05_Master KPI'!$B$5:$G$100,5,FALSE)="Lower",H224/I224,I224/H224),1),0)</f>
        <v>0</v>
      </c>
      <c r="K224" s="26">
        <f>IFERROR(VLOOKUP(F224,'05_Master KPI'!$B$5:$G$100,4,FALSE),0)</f>
        <v>0</v>
      </c>
      <c r="L224" s="28">
        <f t="shared" si="3"/>
        <v>0</v>
      </c>
      <c r="M224" s="26" t="str">
        <f>IF(D224="","",IF(J224&gt;='13_Setting'!$H$7,"Tercapai",IF(J224&gt;='13_Setting'!$H$6,"On Track","Tertinggal")))</f>
        <v/>
      </c>
      <c r="N224" s="24"/>
    </row>
    <row r="225" spans="1:14">
      <c r="A225" s="24"/>
      <c r="B225" s="24"/>
      <c r="C225" s="25"/>
      <c r="D225" s="24"/>
      <c r="E225" s="26" t="str">
        <f>IFERROR(VLOOKUP(D225,'04_Master Karyawan'!$A$5:$F$50,2,FALSE),"")</f>
        <v/>
      </c>
      <c r="F225" s="24"/>
      <c r="G225" s="26" t="str">
        <f>IFERROR(VLOOKUP(F225,'05_Master KPI'!$B$5:$G$100,2,FALSE)&amp;" ("&amp;VLOOKUP(F225,'05_Master KPI'!$B$5:$G$100,3,FALSE)&amp;")","")</f>
        <v/>
      </c>
      <c r="H225" s="26">
        <f>IFERROR(IF(B225&lt;&gt;'06_Target KPI'!$B$3,0,IF(VLOOKUP(F225,'05_Master KPI'!$B$5:$G$100,6,FALSE)="Kumulatif",INDEX('06_Target KPI'!$E$5:$P$100,MATCH(F225,'06_Target KPI'!$B$5:$B$100,0),MATCH(A225,'06_Target KPI'!$E$4:$P$4,0))*DAY(C225)/DAY(EOMONTH(C225,0)),INDEX('06_Target KPI'!$E$5:$P$100,MATCH(F225,'06_Target KPI'!$B$5:$B$100,0),MATCH(A225,'06_Target KPI'!$E$4:$P$4,0)))),0)</f>
        <v>0</v>
      </c>
      <c r="I225" s="24"/>
      <c r="J225" s="27">
        <f>IFERROR(MIN(IF(VLOOKUP(F225,'05_Master KPI'!$B$5:$G$100,5,FALSE)="Lower",H225/I225,I225/H225),1),0)</f>
        <v>0</v>
      </c>
      <c r="K225" s="26">
        <f>IFERROR(VLOOKUP(F225,'05_Master KPI'!$B$5:$G$100,4,FALSE),0)</f>
        <v>0</v>
      </c>
      <c r="L225" s="28">
        <f t="shared" si="3"/>
        <v>0</v>
      </c>
      <c r="M225" s="26" t="str">
        <f>IF(D225="","",IF(J225&gt;='13_Setting'!$H$7,"Tercapai",IF(J225&gt;='13_Setting'!$H$6,"On Track","Tertinggal")))</f>
        <v/>
      </c>
      <c r="N225" s="24"/>
    </row>
    <row r="226" spans="1:14">
      <c r="A226" s="24"/>
      <c r="B226" s="24"/>
      <c r="C226" s="25"/>
      <c r="D226" s="24"/>
      <c r="E226" s="26" t="str">
        <f>IFERROR(VLOOKUP(D226,'04_Master Karyawan'!$A$5:$F$50,2,FALSE),"")</f>
        <v/>
      </c>
      <c r="F226" s="24"/>
      <c r="G226" s="26" t="str">
        <f>IFERROR(VLOOKUP(F226,'05_Master KPI'!$B$5:$G$100,2,FALSE)&amp;" ("&amp;VLOOKUP(F226,'05_Master KPI'!$B$5:$G$100,3,FALSE)&amp;")","")</f>
        <v/>
      </c>
      <c r="H226" s="26">
        <f>IFERROR(IF(B226&lt;&gt;'06_Target KPI'!$B$3,0,IF(VLOOKUP(F226,'05_Master KPI'!$B$5:$G$100,6,FALSE)="Kumulatif",INDEX('06_Target KPI'!$E$5:$P$100,MATCH(F226,'06_Target KPI'!$B$5:$B$100,0),MATCH(A226,'06_Target KPI'!$E$4:$P$4,0))*DAY(C226)/DAY(EOMONTH(C226,0)),INDEX('06_Target KPI'!$E$5:$P$100,MATCH(F226,'06_Target KPI'!$B$5:$B$100,0),MATCH(A226,'06_Target KPI'!$E$4:$P$4,0)))),0)</f>
        <v>0</v>
      </c>
      <c r="I226" s="24"/>
      <c r="J226" s="27">
        <f>IFERROR(MIN(IF(VLOOKUP(F226,'05_Master KPI'!$B$5:$G$100,5,FALSE)="Lower",H226/I226,I226/H226),1),0)</f>
        <v>0</v>
      </c>
      <c r="K226" s="26">
        <f>IFERROR(VLOOKUP(F226,'05_Master KPI'!$B$5:$G$100,4,FALSE),0)</f>
        <v>0</v>
      </c>
      <c r="L226" s="28">
        <f t="shared" si="3"/>
        <v>0</v>
      </c>
      <c r="M226" s="26" t="str">
        <f>IF(D226="","",IF(J226&gt;='13_Setting'!$H$7,"Tercapai",IF(J226&gt;='13_Setting'!$H$6,"On Track","Tertinggal")))</f>
        <v/>
      </c>
      <c r="N226" s="24"/>
    </row>
    <row r="227" spans="1:14">
      <c r="A227" s="24"/>
      <c r="B227" s="24"/>
      <c r="C227" s="25"/>
      <c r="D227" s="24"/>
      <c r="E227" s="26" t="str">
        <f>IFERROR(VLOOKUP(D227,'04_Master Karyawan'!$A$5:$F$50,2,FALSE),"")</f>
        <v/>
      </c>
      <c r="F227" s="24"/>
      <c r="G227" s="26" t="str">
        <f>IFERROR(VLOOKUP(F227,'05_Master KPI'!$B$5:$G$100,2,FALSE)&amp;" ("&amp;VLOOKUP(F227,'05_Master KPI'!$B$5:$G$100,3,FALSE)&amp;")","")</f>
        <v/>
      </c>
      <c r="H227" s="26">
        <f>IFERROR(IF(B227&lt;&gt;'06_Target KPI'!$B$3,0,IF(VLOOKUP(F227,'05_Master KPI'!$B$5:$G$100,6,FALSE)="Kumulatif",INDEX('06_Target KPI'!$E$5:$P$100,MATCH(F227,'06_Target KPI'!$B$5:$B$100,0),MATCH(A227,'06_Target KPI'!$E$4:$P$4,0))*DAY(C227)/DAY(EOMONTH(C227,0)),INDEX('06_Target KPI'!$E$5:$P$100,MATCH(F227,'06_Target KPI'!$B$5:$B$100,0),MATCH(A227,'06_Target KPI'!$E$4:$P$4,0)))),0)</f>
        <v>0</v>
      </c>
      <c r="I227" s="24"/>
      <c r="J227" s="27">
        <f>IFERROR(MIN(IF(VLOOKUP(F227,'05_Master KPI'!$B$5:$G$100,5,FALSE)="Lower",H227/I227,I227/H227),1),0)</f>
        <v>0</v>
      </c>
      <c r="K227" s="26">
        <f>IFERROR(VLOOKUP(F227,'05_Master KPI'!$B$5:$G$100,4,FALSE),0)</f>
        <v>0</v>
      </c>
      <c r="L227" s="28">
        <f t="shared" si="3"/>
        <v>0</v>
      </c>
      <c r="M227" s="26" t="str">
        <f>IF(D227="","",IF(J227&gt;='13_Setting'!$H$7,"Tercapai",IF(J227&gt;='13_Setting'!$H$6,"On Track","Tertinggal")))</f>
        <v/>
      </c>
      <c r="N227" s="24"/>
    </row>
    <row r="228" spans="1:14">
      <c r="A228" s="24"/>
      <c r="B228" s="24"/>
      <c r="C228" s="25"/>
      <c r="D228" s="24"/>
      <c r="E228" s="26" t="str">
        <f>IFERROR(VLOOKUP(D228,'04_Master Karyawan'!$A$5:$F$50,2,FALSE),"")</f>
        <v/>
      </c>
      <c r="F228" s="24"/>
      <c r="G228" s="26" t="str">
        <f>IFERROR(VLOOKUP(F228,'05_Master KPI'!$B$5:$G$100,2,FALSE)&amp;" ("&amp;VLOOKUP(F228,'05_Master KPI'!$B$5:$G$100,3,FALSE)&amp;")","")</f>
        <v/>
      </c>
      <c r="H228" s="26">
        <f>IFERROR(IF(B228&lt;&gt;'06_Target KPI'!$B$3,0,IF(VLOOKUP(F228,'05_Master KPI'!$B$5:$G$100,6,FALSE)="Kumulatif",INDEX('06_Target KPI'!$E$5:$P$100,MATCH(F228,'06_Target KPI'!$B$5:$B$100,0),MATCH(A228,'06_Target KPI'!$E$4:$P$4,0))*DAY(C228)/DAY(EOMONTH(C228,0)),INDEX('06_Target KPI'!$E$5:$P$100,MATCH(F228,'06_Target KPI'!$B$5:$B$100,0),MATCH(A228,'06_Target KPI'!$E$4:$P$4,0)))),0)</f>
        <v>0</v>
      </c>
      <c r="I228" s="24"/>
      <c r="J228" s="27">
        <f>IFERROR(MIN(IF(VLOOKUP(F228,'05_Master KPI'!$B$5:$G$100,5,FALSE)="Lower",H228/I228,I228/H228),1),0)</f>
        <v>0</v>
      </c>
      <c r="K228" s="26">
        <f>IFERROR(VLOOKUP(F228,'05_Master KPI'!$B$5:$G$100,4,FALSE),0)</f>
        <v>0</v>
      </c>
      <c r="L228" s="28">
        <f t="shared" si="3"/>
        <v>0</v>
      </c>
      <c r="M228" s="26" t="str">
        <f>IF(D228="","",IF(J228&gt;='13_Setting'!$H$7,"Tercapai",IF(J228&gt;='13_Setting'!$H$6,"On Track","Tertinggal")))</f>
        <v/>
      </c>
      <c r="N228" s="24"/>
    </row>
    <row r="229" spans="1:14">
      <c r="A229" s="24"/>
      <c r="B229" s="24"/>
      <c r="C229" s="25"/>
      <c r="D229" s="24"/>
      <c r="E229" s="26" t="str">
        <f>IFERROR(VLOOKUP(D229,'04_Master Karyawan'!$A$5:$F$50,2,FALSE),"")</f>
        <v/>
      </c>
      <c r="F229" s="24"/>
      <c r="G229" s="26" t="str">
        <f>IFERROR(VLOOKUP(F229,'05_Master KPI'!$B$5:$G$100,2,FALSE)&amp;" ("&amp;VLOOKUP(F229,'05_Master KPI'!$B$5:$G$100,3,FALSE)&amp;")","")</f>
        <v/>
      </c>
      <c r="H229" s="26">
        <f>IFERROR(IF(B229&lt;&gt;'06_Target KPI'!$B$3,0,IF(VLOOKUP(F229,'05_Master KPI'!$B$5:$G$100,6,FALSE)="Kumulatif",INDEX('06_Target KPI'!$E$5:$P$100,MATCH(F229,'06_Target KPI'!$B$5:$B$100,0),MATCH(A229,'06_Target KPI'!$E$4:$P$4,0))*DAY(C229)/DAY(EOMONTH(C229,0)),INDEX('06_Target KPI'!$E$5:$P$100,MATCH(F229,'06_Target KPI'!$B$5:$B$100,0),MATCH(A229,'06_Target KPI'!$E$4:$P$4,0)))),0)</f>
        <v>0</v>
      </c>
      <c r="I229" s="24"/>
      <c r="J229" s="27">
        <f>IFERROR(MIN(IF(VLOOKUP(F229,'05_Master KPI'!$B$5:$G$100,5,FALSE)="Lower",H229/I229,I229/H229),1),0)</f>
        <v>0</v>
      </c>
      <c r="K229" s="26">
        <f>IFERROR(VLOOKUP(F229,'05_Master KPI'!$B$5:$G$100,4,FALSE),0)</f>
        <v>0</v>
      </c>
      <c r="L229" s="28">
        <f t="shared" si="3"/>
        <v>0</v>
      </c>
      <c r="M229" s="26" t="str">
        <f>IF(D229="","",IF(J229&gt;='13_Setting'!$H$7,"Tercapai",IF(J229&gt;='13_Setting'!$H$6,"On Track","Tertinggal")))</f>
        <v/>
      </c>
      <c r="N229" s="24"/>
    </row>
    <row r="230" spans="1:14">
      <c r="A230" s="24"/>
      <c r="B230" s="24"/>
      <c r="C230" s="25"/>
      <c r="D230" s="24"/>
      <c r="E230" s="26" t="str">
        <f>IFERROR(VLOOKUP(D230,'04_Master Karyawan'!$A$5:$F$50,2,FALSE),"")</f>
        <v/>
      </c>
      <c r="F230" s="24"/>
      <c r="G230" s="26" t="str">
        <f>IFERROR(VLOOKUP(F230,'05_Master KPI'!$B$5:$G$100,2,FALSE)&amp;" ("&amp;VLOOKUP(F230,'05_Master KPI'!$B$5:$G$100,3,FALSE)&amp;")","")</f>
        <v/>
      </c>
      <c r="H230" s="26">
        <f>IFERROR(IF(B230&lt;&gt;'06_Target KPI'!$B$3,0,IF(VLOOKUP(F230,'05_Master KPI'!$B$5:$G$100,6,FALSE)="Kumulatif",INDEX('06_Target KPI'!$E$5:$P$100,MATCH(F230,'06_Target KPI'!$B$5:$B$100,0),MATCH(A230,'06_Target KPI'!$E$4:$P$4,0))*DAY(C230)/DAY(EOMONTH(C230,0)),INDEX('06_Target KPI'!$E$5:$P$100,MATCH(F230,'06_Target KPI'!$B$5:$B$100,0),MATCH(A230,'06_Target KPI'!$E$4:$P$4,0)))),0)</f>
        <v>0</v>
      </c>
      <c r="I230" s="24"/>
      <c r="J230" s="27">
        <f>IFERROR(MIN(IF(VLOOKUP(F230,'05_Master KPI'!$B$5:$G$100,5,FALSE)="Lower",H230/I230,I230/H230),1),0)</f>
        <v>0</v>
      </c>
      <c r="K230" s="26">
        <f>IFERROR(VLOOKUP(F230,'05_Master KPI'!$B$5:$G$100,4,FALSE),0)</f>
        <v>0</v>
      </c>
      <c r="L230" s="28">
        <f t="shared" si="3"/>
        <v>0</v>
      </c>
      <c r="M230" s="26" t="str">
        <f>IF(D230="","",IF(J230&gt;='13_Setting'!$H$7,"Tercapai",IF(J230&gt;='13_Setting'!$H$6,"On Track","Tertinggal")))</f>
        <v/>
      </c>
      <c r="N230" s="24"/>
    </row>
    <row r="231" spans="1:14">
      <c r="A231" s="24"/>
      <c r="B231" s="24"/>
      <c r="C231" s="25"/>
      <c r="D231" s="24"/>
      <c r="E231" s="26" t="str">
        <f>IFERROR(VLOOKUP(D231,'04_Master Karyawan'!$A$5:$F$50,2,FALSE),"")</f>
        <v/>
      </c>
      <c r="F231" s="24"/>
      <c r="G231" s="26" t="str">
        <f>IFERROR(VLOOKUP(F231,'05_Master KPI'!$B$5:$G$100,2,FALSE)&amp;" ("&amp;VLOOKUP(F231,'05_Master KPI'!$B$5:$G$100,3,FALSE)&amp;")","")</f>
        <v/>
      </c>
      <c r="H231" s="26">
        <f>IFERROR(IF(B231&lt;&gt;'06_Target KPI'!$B$3,0,IF(VLOOKUP(F231,'05_Master KPI'!$B$5:$G$100,6,FALSE)="Kumulatif",INDEX('06_Target KPI'!$E$5:$P$100,MATCH(F231,'06_Target KPI'!$B$5:$B$100,0),MATCH(A231,'06_Target KPI'!$E$4:$P$4,0))*DAY(C231)/DAY(EOMONTH(C231,0)),INDEX('06_Target KPI'!$E$5:$P$100,MATCH(F231,'06_Target KPI'!$B$5:$B$100,0),MATCH(A231,'06_Target KPI'!$E$4:$P$4,0)))),0)</f>
        <v>0</v>
      </c>
      <c r="I231" s="24"/>
      <c r="J231" s="27">
        <f>IFERROR(MIN(IF(VLOOKUP(F231,'05_Master KPI'!$B$5:$G$100,5,FALSE)="Lower",H231/I231,I231/H231),1),0)</f>
        <v>0</v>
      </c>
      <c r="K231" s="26">
        <f>IFERROR(VLOOKUP(F231,'05_Master KPI'!$B$5:$G$100,4,FALSE),0)</f>
        <v>0</v>
      </c>
      <c r="L231" s="28">
        <f t="shared" si="3"/>
        <v>0</v>
      </c>
      <c r="M231" s="26" t="str">
        <f>IF(D231="","",IF(J231&gt;='13_Setting'!$H$7,"Tercapai",IF(J231&gt;='13_Setting'!$H$6,"On Track","Tertinggal")))</f>
        <v/>
      </c>
      <c r="N231" s="24"/>
    </row>
    <row r="232" spans="1:14">
      <c r="A232" s="24"/>
      <c r="B232" s="24"/>
      <c r="C232" s="25"/>
      <c r="D232" s="24"/>
      <c r="E232" s="26" t="str">
        <f>IFERROR(VLOOKUP(D232,'04_Master Karyawan'!$A$5:$F$50,2,FALSE),"")</f>
        <v/>
      </c>
      <c r="F232" s="24"/>
      <c r="G232" s="26" t="str">
        <f>IFERROR(VLOOKUP(F232,'05_Master KPI'!$B$5:$G$100,2,FALSE)&amp;" ("&amp;VLOOKUP(F232,'05_Master KPI'!$B$5:$G$100,3,FALSE)&amp;")","")</f>
        <v/>
      </c>
      <c r="H232" s="26">
        <f>IFERROR(IF(B232&lt;&gt;'06_Target KPI'!$B$3,0,IF(VLOOKUP(F232,'05_Master KPI'!$B$5:$G$100,6,FALSE)="Kumulatif",INDEX('06_Target KPI'!$E$5:$P$100,MATCH(F232,'06_Target KPI'!$B$5:$B$100,0),MATCH(A232,'06_Target KPI'!$E$4:$P$4,0))*DAY(C232)/DAY(EOMONTH(C232,0)),INDEX('06_Target KPI'!$E$5:$P$100,MATCH(F232,'06_Target KPI'!$B$5:$B$100,0),MATCH(A232,'06_Target KPI'!$E$4:$P$4,0)))),0)</f>
        <v>0</v>
      </c>
      <c r="I232" s="24"/>
      <c r="J232" s="27">
        <f>IFERROR(MIN(IF(VLOOKUP(F232,'05_Master KPI'!$B$5:$G$100,5,FALSE)="Lower",H232/I232,I232/H232),1),0)</f>
        <v>0</v>
      </c>
      <c r="K232" s="26">
        <f>IFERROR(VLOOKUP(F232,'05_Master KPI'!$B$5:$G$100,4,FALSE),0)</f>
        <v>0</v>
      </c>
      <c r="L232" s="28">
        <f t="shared" si="3"/>
        <v>0</v>
      </c>
      <c r="M232" s="26" t="str">
        <f>IF(D232="","",IF(J232&gt;='13_Setting'!$H$7,"Tercapai",IF(J232&gt;='13_Setting'!$H$6,"On Track","Tertinggal")))</f>
        <v/>
      </c>
      <c r="N232" s="24"/>
    </row>
    <row r="233" spans="1:14">
      <c r="A233" s="24"/>
      <c r="B233" s="24"/>
      <c r="C233" s="25"/>
      <c r="D233" s="24"/>
      <c r="E233" s="26" t="str">
        <f>IFERROR(VLOOKUP(D233,'04_Master Karyawan'!$A$5:$F$50,2,FALSE),"")</f>
        <v/>
      </c>
      <c r="F233" s="24"/>
      <c r="G233" s="26" t="str">
        <f>IFERROR(VLOOKUP(F233,'05_Master KPI'!$B$5:$G$100,2,FALSE)&amp;" ("&amp;VLOOKUP(F233,'05_Master KPI'!$B$5:$G$100,3,FALSE)&amp;")","")</f>
        <v/>
      </c>
      <c r="H233" s="26">
        <f>IFERROR(IF(B233&lt;&gt;'06_Target KPI'!$B$3,0,IF(VLOOKUP(F233,'05_Master KPI'!$B$5:$G$100,6,FALSE)="Kumulatif",INDEX('06_Target KPI'!$E$5:$P$100,MATCH(F233,'06_Target KPI'!$B$5:$B$100,0),MATCH(A233,'06_Target KPI'!$E$4:$P$4,0))*DAY(C233)/DAY(EOMONTH(C233,0)),INDEX('06_Target KPI'!$E$5:$P$100,MATCH(F233,'06_Target KPI'!$B$5:$B$100,0),MATCH(A233,'06_Target KPI'!$E$4:$P$4,0)))),0)</f>
        <v>0</v>
      </c>
      <c r="I233" s="24"/>
      <c r="J233" s="27">
        <f>IFERROR(MIN(IF(VLOOKUP(F233,'05_Master KPI'!$B$5:$G$100,5,FALSE)="Lower",H233/I233,I233/H233),1),0)</f>
        <v>0</v>
      </c>
      <c r="K233" s="26">
        <f>IFERROR(VLOOKUP(F233,'05_Master KPI'!$B$5:$G$100,4,FALSE),0)</f>
        <v>0</v>
      </c>
      <c r="L233" s="28">
        <f t="shared" si="3"/>
        <v>0</v>
      </c>
      <c r="M233" s="26" t="str">
        <f>IF(D233="","",IF(J233&gt;='13_Setting'!$H$7,"Tercapai",IF(J233&gt;='13_Setting'!$H$6,"On Track","Tertinggal")))</f>
        <v/>
      </c>
      <c r="N233" s="24"/>
    </row>
    <row r="234" spans="1:14">
      <c r="A234" s="24"/>
      <c r="B234" s="24"/>
      <c r="C234" s="25"/>
      <c r="D234" s="24"/>
      <c r="E234" s="26" t="str">
        <f>IFERROR(VLOOKUP(D234,'04_Master Karyawan'!$A$5:$F$50,2,FALSE),"")</f>
        <v/>
      </c>
      <c r="F234" s="24"/>
      <c r="G234" s="26" t="str">
        <f>IFERROR(VLOOKUP(F234,'05_Master KPI'!$B$5:$G$100,2,FALSE)&amp;" ("&amp;VLOOKUP(F234,'05_Master KPI'!$B$5:$G$100,3,FALSE)&amp;")","")</f>
        <v/>
      </c>
      <c r="H234" s="26">
        <f>IFERROR(IF(B234&lt;&gt;'06_Target KPI'!$B$3,0,IF(VLOOKUP(F234,'05_Master KPI'!$B$5:$G$100,6,FALSE)="Kumulatif",INDEX('06_Target KPI'!$E$5:$P$100,MATCH(F234,'06_Target KPI'!$B$5:$B$100,0),MATCH(A234,'06_Target KPI'!$E$4:$P$4,0))*DAY(C234)/DAY(EOMONTH(C234,0)),INDEX('06_Target KPI'!$E$5:$P$100,MATCH(F234,'06_Target KPI'!$B$5:$B$100,0),MATCH(A234,'06_Target KPI'!$E$4:$P$4,0)))),0)</f>
        <v>0</v>
      </c>
      <c r="I234" s="24"/>
      <c r="J234" s="27">
        <f>IFERROR(MIN(IF(VLOOKUP(F234,'05_Master KPI'!$B$5:$G$100,5,FALSE)="Lower",H234/I234,I234/H234),1),0)</f>
        <v>0</v>
      </c>
      <c r="K234" s="26">
        <f>IFERROR(VLOOKUP(F234,'05_Master KPI'!$B$5:$G$100,4,FALSE),0)</f>
        <v>0</v>
      </c>
      <c r="L234" s="28">
        <f t="shared" si="3"/>
        <v>0</v>
      </c>
      <c r="M234" s="26" t="str">
        <f>IF(D234="","",IF(J234&gt;='13_Setting'!$H$7,"Tercapai",IF(J234&gt;='13_Setting'!$H$6,"On Track","Tertinggal")))</f>
        <v/>
      </c>
      <c r="N234" s="24"/>
    </row>
    <row r="235" spans="1:14">
      <c r="A235" s="24"/>
      <c r="B235" s="24"/>
      <c r="C235" s="25"/>
      <c r="D235" s="24"/>
      <c r="E235" s="26" t="str">
        <f>IFERROR(VLOOKUP(D235,'04_Master Karyawan'!$A$5:$F$50,2,FALSE),"")</f>
        <v/>
      </c>
      <c r="F235" s="24"/>
      <c r="G235" s="26" t="str">
        <f>IFERROR(VLOOKUP(F235,'05_Master KPI'!$B$5:$G$100,2,FALSE)&amp;" ("&amp;VLOOKUP(F235,'05_Master KPI'!$B$5:$G$100,3,FALSE)&amp;")","")</f>
        <v/>
      </c>
      <c r="H235" s="26">
        <f>IFERROR(IF(B235&lt;&gt;'06_Target KPI'!$B$3,0,IF(VLOOKUP(F235,'05_Master KPI'!$B$5:$G$100,6,FALSE)="Kumulatif",INDEX('06_Target KPI'!$E$5:$P$100,MATCH(F235,'06_Target KPI'!$B$5:$B$100,0),MATCH(A235,'06_Target KPI'!$E$4:$P$4,0))*DAY(C235)/DAY(EOMONTH(C235,0)),INDEX('06_Target KPI'!$E$5:$P$100,MATCH(F235,'06_Target KPI'!$B$5:$B$100,0),MATCH(A235,'06_Target KPI'!$E$4:$P$4,0)))),0)</f>
        <v>0</v>
      </c>
      <c r="I235" s="24"/>
      <c r="J235" s="27">
        <f>IFERROR(MIN(IF(VLOOKUP(F235,'05_Master KPI'!$B$5:$G$100,5,FALSE)="Lower",H235/I235,I235/H235),1),0)</f>
        <v>0</v>
      </c>
      <c r="K235" s="26">
        <f>IFERROR(VLOOKUP(F235,'05_Master KPI'!$B$5:$G$100,4,FALSE),0)</f>
        <v>0</v>
      </c>
      <c r="L235" s="28">
        <f t="shared" si="3"/>
        <v>0</v>
      </c>
      <c r="M235" s="26" t="str">
        <f>IF(D235="","",IF(J235&gt;='13_Setting'!$H$7,"Tercapai",IF(J235&gt;='13_Setting'!$H$6,"On Track","Tertinggal")))</f>
        <v/>
      </c>
      <c r="N235" s="24"/>
    </row>
    <row r="236" spans="1:14">
      <c r="A236" s="24"/>
      <c r="B236" s="24"/>
      <c r="C236" s="25"/>
      <c r="D236" s="24"/>
      <c r="E236" s="26" t="str">
        <f>IFERROR(VLOOKUP(D236,'04_Master Karyawan'!$A$5:$F$50,2,FALSE),"")</f>
        <v/>
      </c>
      <c r="F236" s="24"/>
      <c r="G236" s="26" t="str">
        <f>IFERROR(VLOOKUP(F236,'05_Master KPI'!$B$5:$G$100,2,FALSE)&amp;" ("&amp;VLOOKUP(F236,'05_Master KPI'!$B$5:$G$100,3,FALSE)&amp;")","")</f>
        <v/>
      </c>
      <c r="H236" s="26">
        <f>IFERROR(IF(B236&lt;&gt;'06_Target KPI'!$B$3,0,IF(VLOOKUP(F236,'05_Master KPI'!$B$5:$G$100,6,FALSE)="Kumulatif",INDEX('06_Target KPI'!$E$5:$P$100,MATCH(F236,'06_Target KPI'!$B$5:$B$100,0),MATCH(A236,'06_Target KPI'!$E$4:$P$4,0))*DAY(C236)/DAY(EOMONTH(C236,0)),INDEX('06_Target KPI'!$E$5:$P$100,MATCH(F236,'06_Target KPI'!$B$5:$B$100,0),MATCH(A236,'06_Target KPI'!$E$4:$P$4,0)))),0)</f>
        <v>0</v>
      </c>
      <c r="I236" s="24"/>
      <c r="J236" s="27">
        <f>IFERROR(MIN(IF(VLOOKUP(F236,'05_Master KPI'!$B$5:$G$100,5,FALSE)="Lower",H236/I236,I236/H236),1),0)</f>
        <v>0</v>
      </c>
      <c r="K236" s="26">
        <f>IFERROR(VLOOKUP(F236,'05_Master KPI'!$B$5:$G$100,4,FALSE),0)</f>
        <v>0</v>
      </c>
      <c r="L236" s="28">
        <f t="shared" si="3"/>
        <v>0</v>
      </c>
      <c r="M236" s="26" t="str">
        <f>IF(D236="","",IF(J236&gt;='13_Setting'!$H$7,"Tercapai",IF(J236&gt;='13_Setting'!$H$6,"On Track","Tertinggal")))</f>
        <v/>
      </c>
      <c r="N236" s="24"/>
    </row>
    <row r="237" spans="1:14">
      <c r="A237" s="24"/>
      <c r="B237" s="24"/>
      <c r="C237" s="25"/>
      <c r="D237" s="24"/>
      <c r="E237" s="26" t="str">
        <f>IFERROR(VLOOKUP(D237,'04_Master Karyawan'!$A$5:$F$50,2,FALSE),"")</f>
        <v/>
      </c>
      <c r="F237" s="24"/>
      <c r="G237" s="26" t="str">
        <f>IFERROR(VLOOKUP(F237,'05_Master KPI'!$B$5:$G$100,2,FALSE)&amp;" ("&amp;VLOOKUP(F237,'05_Master KPI'!$B$5:$G$100,3,FALSE)&amp;")","")</f>
        <v/>
      </c>
      <c r="H237" s="26">
        <f>IFERROR(IF(B237&lt;&gt;'06_Target KPI'!$B$3,0,IF(VLOOKUP(F237,'05_Master KPI'!$B$5:$G$100,6,FALSE)="Kumulatif",INDEX('06_Target KPI'!$E$5:$P$100,MATCH(F237,'06_Target KPI'!$B$5:$B$100,0),MATCH(A237,'06_Target KPI'!$E$4:$P$4,0))*DAY(C237)/DAY(EOMONTH(C237,0)),INDEX('06_Target KPI'!$E$5:$P$100,MATCH(F237,'06_Target KPI'!$B$5:$B$100,0),MATCH(A237,'06_Target KPI'!$E$4:$P$4,0)))),0)</f>
        <v>0</v>
      </c>
      <c r="I237" s="24"/>
      <c r="J237" s="27">
        <f>IFERROR(MIN(IF(VLOOKUP(F237,'05_Master KPI'!$B$5:$G$100,5,FALSE)="Lower",H237/I237,I237/H237),1),0)</f>
        <v>0</v>
      </c>
      <c r="K237" s="26">
        <f>IFERROR(VLOOKUP(F237,'05_Master KPI'!$B$5:$G$100,4,FALSE),0)</f>
        <v>0</v>
      </c>
      <c r="L237" s="28">
        <f t="shared" si="3"/>
        <v>0</v>
      </c>
      <c r="M237" s="26" t="str">
        <f>IF(D237="","",IF(J237&gt;='13_Setting'!$H$7,"Tercapai",IF(J237&gt;='13_Setting'!$H$6,"On Track","Tertinggal")))</f>
        <v/>
      </c>
      <c r="N237" s="24"/>
    </row>
    <row r="238" spans="1:14">
      <c r="A238" s="24"/>
      <c r="B238" s="24"/>
      <c r="C238" s="25"/>
      <c r="D238" s="24"/>
      <c r="E238" s="26" t="str">
        <f>IFERROR(VLOOKUP(D238,'04_Master Karyawan'!$A$5:$F$50,2,FALSE),"")</f>
        <v/>
      </c>
      <c r="F238" s="24"/>
      <c r="G238" s="26" t="str">
        <f>IFERROR(VLOOKUP(F238,'05_Master KPI'!$B$5:$G$100,2,FALSE)&amp;" ("&amp;VLOOKUP(F238,'05_Master KPI'!$B$5:$G$100,3,FALSE)&amp;")","")</f>
        <v/>
      </c>
      <c r="H238" s="26">
        <f>IFERROR(IF(B238&lt;&gt;'06_Target KPI'!$B$3,0,IF(VLOOKUP(F238,'05_Master KPI'!$B$5:$G$100,6,FALSE)="Kumulatif",INDEX('06_Target KPI'!$E$5:$P$100,MATCH(F238,'06_Target KPI'!$B$5:$B$100,0),MATCH(A238,'06_Target KPI'!$E$4:$P$4,0))*DAY(C238)/DAY(EOMONTH(C238,0)),INDEX('06_Target KPI'!$E$5:$P$100,MATCH(F238,'06_Target KPI'!$B$5:$B$100,0),MATCH(A238,'06_Target KPI'!$E$4:$P$4,0)))),0)</f>
        <v>0</v>
      </c>
      <c r="I238" s="24"/>
      <c r="J238" s="27">
        <f>IFERROR(MIN(IF(VLOOKUP(F238,'05_Master KPI'!$B$5:$G$100,5,FALSE)="Lower",H238/I238,I238/H238),1),0)</f>
        <v>0</v>
      </c>
      <c r="K238" s="26">
        <f>IFERROR(VLOOKUP(F238,'05_Master KPI'!$B$5:$G$100,4,FALSE),0)</f>
        <v>0</v>
      </c>
      <c r="L238" s="28">
        <f t="shared" si="3"/>
        <v>0</v>
      </c>
      <c r="M238" s="26" t="str">
        <f>IF(D238="","",IF(J238&gt;='13_Setting'!$H$7,"Tercapai",IF(J238&gt;='13_Setting'!$H$6,"On Track","Tertinggal")))</f>
        <v/>
      </c>
      <c r="N238" s="24"/>
    </row>
    <row r="239" spans="1:14">
      <c r="A239" s="24"/>
      <c r="B239" s="24"/>
      <c r="C239" s="25"/>
      <c r="D239" s="24"/>
      <c r="E239" s="26" t="str">
        <f>IFERROR(VLOOKUP(D239,'04_Master Karyawan'!$A$5:$F$50,2,FALSE),"")</f>
        <v/>
      </c>
      <c r="F239" s="24"/>
      <c r="G239" s="26" t="str">
        <f>IFERROR(VLOOKUP(F239,'05_Master KPI'!$B$5:$G$100,2,FALSE)&amp;" ("&amp;VLOOKUP(F239,'05_Master KPI'!$B$5:$G$100,3,FALSE)&amp;")","")</f>
        <v/>
      </c>
      <c r="H239" s="26">
        <f>IFERROR(IF(B239&lt;&gt;'06_Target KPI'!$B$3,0,IF(VLOOKUP(F239,'05_Master KPI'!$B$5:$G$100,6,FALSE)="Kumulatif",INDEX('06_Target KPI'!$E$5:$P$100,MATCH(F239,'06_Target KPI'!$B$5:$B$100,0),MATCH(A239,'06_Target KPI'!$E$4:$P$4,0))*DAY(C239)/DAY(EOMONTH(C239,0)),INDEX('06_Target KPI'!$E$5:$P$100,MATCH(F239,'06_Target KPI'!$B$5:$B$100,0),MATCH(A239,'06_Target KPI'!$E$4:$P$4,0)))),0)</f>
        <v>0</v>
      </c>
      <c r="I239" s="24"/>
      <c r="J239" s="27">
        <f>IFERROR(MIN(IF(VLOOKUP(F239,'05_Master KPI'!$B$5:$G$100,5,FALSE)="Lower",H239/I239,I239/H239),1),0)</f>
        <v>0</v>
      </c>
      <c r="K239" s="26">
        <f>IFERROR(VLOOKUP(F239,'05_Master KPI'!$B$5:$G$100,4,FALSE),0)</f>
        <v>0</v>
      </c>
      <c r="L239" s="28">
        <f t="shared" si="3"/>
        <v>0</v>
      </c>
      <c r="M239" s="26" t="str">
        <f>IF(D239="","",IF(J239&gt;='13_Setting'!$H$7,"Tercapai",IF(J239&gt;='13_Setting'!$H$6,"On Track","Tertinggal")))</f>
        <v/>
      </c>
      <c r="N239" s="24"/>
    </row>
    <row r="240" spans="1:14">
      <c r="A240" s="24"/>
      <c r="B240" s="24"/>
      <c r="C240" s="25"/>
      <c r="D240" s="24"/>
      <c r="E240" s="26" t="str">
        <f>IFERROR(VLOOKUP(D240,'04_Master Karyawan'!$A$5:$F$50,2,FALSE),"")</f>
        <v/>
      </c>
      <c r="F240" s="24"/>
      <c r="G240" s="26" t="str">
        <f>IFERROR(VLOOKUP(F240,'05_Master KPI'!$B$5:$G$100,2,FALSE)&amp;" ("&amp;VLOOKUP(F240,'05_Master KPI'!$B$5:$G$100,3,FALSE)&amp;")","")</f>
        <v/>
      </c>
      <c r="H240" s="26">
        <f>IFERROR(IF(B240&lt;&gt;'06_Target KPI'!$B$3,0,IF(VLOOKUP(F240,'05_Master KPI'!$B$5:$G$100,6,FALSE)="Kumulatif",INDEX('06_Target KPI'!$E$5:$P$100,MATCH(F240,'06_Target KPI'!$B$5:$B$100,0),MATCH(A240,'06_Target KPI'!$E$4:$P$4,0))*DAY(C240)/DAY(EOMONTH(C240,0)),INDEX('06_Target KPI'!$E$5:$P$100,MATCH(F240,'06_Target KPI'!$B$5:$B$100,0),MATCH(A240,'06_Target KPI'!$E$4:$P$4,0)))),0)</f>
        <v>0</v>
      </c>
      <c r="I240" s="24"/>
      <c r="J240" s="27">
        <f>IFERROR(MIN(IF(VLOOKUP(F240,'05_Master KPI'!$B$5:$G$100,5,FALSE)="Lower",H240/I240,I240/H240),1),0)</f>
        <v>0</v>
      </c>
      <c r="K240" s="26">
        <f>IFERROR(VLOOKUP(F240,'05_Master KPI'!$B$5:$G$100,4,FALSE),0)</f>
        <v>0</v>
      </c>
      <c r="L240" s="28">
        <f t="shared" si="3"/>
        <v>0</v>
      </c>
      <c r="M240" s="26" t="str">
        <f>IF(D240="","",IF(J240&gt;='13_Setting'!$H$7,"Tercapai",IF(J240&gt;='13_Setting'!$H$6,"On Track","Tertinggal")))</f>
        <v/>
      </c>
      <c r="N240" s="24"/>
    </row>
    <row r="241" spans="1:14">
      <c r="A241" s="24"/>
      <c r="B241" s="24"/>
      <c r="C241" s="25"/>
      <c r="D241" s="24"/>
      <c r="E241" s="26" t="str">
        <f>IFERROR(VLOOKUP(D241,'04_Master Karyawan'!$A$5:$F$50,2,FALSE),"")</f>
        <v/>
      </c>
      <c r="F241" s="24"/>
      <c r="G241" s="26" t="str">
        <f>IFERROR(VLOOKUP(F241,'05_Master KPI'!$B$5:$G$100,2,FALSE)&amp;" ("&amp;VLOOKUP(F241,'05_Master KPI'!$B$5:$G$100,3,FALSE)&amp;")","")</f>
        <v/>
      </c>
      <c r="H241" s="26">
        <f>IFERROR(IF(B241&lt;&gt;'06_Target KPI'!$B$3,0,IF(VLOOKUP(F241,'05_Master KPI'!$B$5:$G$100,6,FALSE)="Kumulatif",INDEX('06_Target KPI'!$E$5:$P$100,MATCH(F241,'06_Target KPI'!$B$5:$B$100,0),MATCH(A241,'06_Target KPI'!$E$4:$P$4,0))*DAY(C241)/DAY(EOMONTH(C241,0)),INDEX('06_Target KPI'!$E$5:$P$100,MATCH(F241,'06_Target KPI'!$B$5:$B$100,0),MATCH(A241,'06_Target KPI'!$E$4:$P$4,0)))),0)</f>
        <v>0</v>
      </c>
      <c r="I241" s="24"/>
      <c r="J241" s="27">
        <f>IFERROR(MIN(IF(VLOOKUP(F241,'05_Master KPI'!$B$5:$G$100,5,FALSE)="Lower",H241/I241,I241/H241),1),0)</f>
        <v>0</v>
      </c>
      <c r="K241" s="26">
        <f>IFERROR(VLOOKUP(F241,'05_Master KPI'!$B$5:$G$100,4,FALSE),0)</f>
        <v>0</v>
      </c>
      <c r="L241" s="28">
        <f t="shared" si="3"/>
        <v>0</v>
      </c>
      <c r="M241" s="26" t="str">
        <f>IF(D241="","",IF(J241&gt;='13_Setting'!$H$7,"Tercapai",IF(J241&gt;='13_Setting'!$H$6,"On Track","Tertinggal")))</f>
        <v/>
      </c>
      <c r="N241" s="24"/>
    </row>
    <row r="242" spans="1:14">
      <c r="A242" s="24"/>
      <c r="B242" s="24"/>
      <c r="C242" s="25"/>
      <c r="D242" s="24"/>
      <c r="E242" s="26" t="str">
        <f>IFERROR(VLOOKUP(D242,'04_Master Karyawan'!$A$5:$F$50,2,FALSE),"")</f>
        <v/>
      </c>
      <c r="F242" s="24"/>
      <c r="G242" s="26" t="str">
        <f>IFERROR(VLOOKUP(F242,'05_Master KPI'!$B$5:$G$100,2,FALSE)&amp;" ("&amp;VLOOKUP(F242,'05_Master KPI'!$B$5:$G$100,3,FALSE)&amp;")","")</f>
        <v/>
      </c>
      <c r="H242" s="26">
        <f>IFERROR(IF(B242&lt;&gt;'06_Target KPI'!$B$3,0,IF(VLOOKUP(F242,'05_Master KPI'!$B$5:$G$100,6,FALSE)="Kumulatif",INDEX('06_Target KPI'!$E$5:$P$100,MATCH(F242,'06_Target KPI'!$B$5:$B$100,0),MATCH(A242,'06_Target KPI'!$E$4:$P$4,0))*DAY(C242)/DAY(EOMONTH(C242,0)),INDEX('06_Target KPI'!$E$5:$P$100,MATCH(F242,'06_Target KPI'!$B$5:$B$100,0),MATCH(A242,'06_Target KPI'!$E$4:$P$4,0)))),0)</f>
        <v>0</v>
      </c>
      <c r="I242" s="24"/>
      <c r="J242" s="27">
        <f>IFERROR(MIN(IF(VLOOKUP(F242,'05_Master KPI'!$B$5:$G$100,5,FALSE)="Lower",H242/I242,I242/H242),1),0)</f>
        <v>0</v>
      </c>
      <c r="K242" s="26">
        <f>IFERROR(VLOOKUP(F242,'05_Master KPI'!$B$5:$G$100,4,FALSE),0)</f>
        <v>0</v>
      </c>
      <c r="L242" s="28">
        <f t="shared" si="3"/>
        <v>0</v>
      </c>
      <c r="M242" s="26" t="str">
        <f>IF(D242="","",IF(J242&gt;='13_Setting'!$H$7,"Tercapai",IF(J242&gt;='13_Setting'!$H$6,"On Track","Tertinggal")))</f>
        <v/>
      </c>
      <c r="N242" s="24"/>
    </row>
    <row r="243" spans="1:14">
      <c r="A243" s="24"/>
      <c r="B243" s="24"/>
      <c r="C243" s="25"/>
      <c r="D243" s="24"/>
      <c r="E243" s="26" t="str">
        <f>IFERROR(VLOOKUP(D243,'04_Master Karyawan'!$A$5:$F$50,2,FALSE),"")</f>
        <v/>
      </c>
      <c r="F243" s="24"/>
      <c r="G243" s="26" t="str">
        <f>IFERROR(VLOOKUP(F243,'05_Master KPI'!$B$5:$G$100,2,FALSE)&amp;" ("&amp;VLOOKUP(F243,'05_Master KPI'!$B$5:$G$100,3,FALSE)&amp;")","")</f>
        <v/>
      </c>
      <c r="H243" s="26">
        <f>IFERROR(IF(B243&lt;&gt;'06_Target KPI'!$B$3,0,IF(VLOOKUP(F243,'05_Master KPI'!$B$5:$G$100,6,FALSE)="Kumulatif",INDEX('06_Target KPI'!$E$5:$P$100,MATCH(F243,'06_Target KPI'!$B$5:$B$100,0),MATCH(A243,'06_Target KPI'!$E$4:$P$4,0))*DAY(C243)/DAY(EOMONTH(C243,0)),INDEX('06_Target KPI'!$E$5:$P$100,MATCH(F243,'06_Target KPI'!$B$5:$B$100,0),MATCH(A243,'06_Target KPI'!$E$4:$P$4,0)))),0)</f>
        <v>0</v>
      </c>
      <c r="I243" s="24"/>
      <c r="J243" s="27">
        <f>IFERROR(MIN(IF(VLOOKUP(F243,'05_Master KPI'!$B$5:$G$100,5,FALSE)="Lower",H243/I243,I243/H243),1),0)</f>
        <v>0</v>
      </c>
      <c r="K243" s="26">
        <f>IFERROR(VLOOKUP(F243,'05_Master KPI'!$B$5:$G$100,4,FALSE),0)</f>
        <v>0</v>
      </c>
      <c r="L243" s="28">
        <f t="shared" si="3"/>
        <v>0</v>
      </c>
      <c r="M243" s="26" t="str">
        <f>IF(D243="","",IF(J243&gt;='13_Setting'!$H$7,"Tercapai",IF(J243&gt;='13_Setting'!$H$6,"On Track","Tertinggal")))</f>
        <v/>
      </c>
      <c r="N243" s="24"/>
    </row>
    <row r="244" spans="1:14">
      <c r="A244" s="24"/>
      <c r="B244" s="24"/>
      <c r="C244" s="25"/>
      <c r="D244" s="24"/>
      <c r="E244" s="26" t="str">
        <f>IFERROR(VLOOKUP(D244,'04_Master Karyawan'!$A$5:$F$50,2,FALSE),"")</f>
        <v/>
      </c>
      <c r="F244" s="24"/>
      <c r="G244" s="26" t="str">
        <f>IFERROR(VLOOKUP(F244,'05_Master KPI'!$B$5:$G$100,2,FALSE)&amp;" ("&amp;VLOOKUP(F244,'05_Master KPI'!$B$5:$G$100,3,FALSE)&amp;")","")</f>
        <v/>
      </c>
      <c r="H244" s="26">
        <f>IFERROR(IF(B244&lt;&gt;'06_Target KPI'!$B$3,0,IF(VLOOKUP(F244,'05_Master KPI'!$B$5:$G$100,6,FALSE)="Kumulatif",INDEX('06_Target KPI'!$E$5:$P$100,MATCH(F244,'06_Target KPI'!$B$5:$B$100,0),MATCH(A244,'06_Target KPI'!$E$4:$P$4,0))*DAY(C244)/DAY(EOMONTH(C244,0)),INDEX('06_Target KPI'!$E$5:$P$100,MATCH(F244,'06_Target KPI'!$B$5:$B$100,0),MATCH(A244,'06_Target KPI'!$E$4:$P$4,0)))),0)</f>
        <v>0</v>
      </c>
      <c r="I244" s="24"/>
      <c r="J244" s="27">
        <f>IFERROR(MIN(IF(VLOOKUP(F244,'05_Master KPI'!$B$5:$G$100,5,FALSE)="Lower",H244/I244,I244/H244),1),0)</f>
        <v>0</v>
      </c>
      <c r="K244" s="26">
        <f>IFERROR(VLOOKUP(F244,'05_Master KPI'!$B$5:$G$100,4,FALSE),0)</f>
        <v>0</v>
      </c>
      <c r="L244" s="28">
        <f t="shared" si="3"/>
        <v>0</v>
      </c>
      <c r="M244" s="26" t="str">
        <f>IF(D244="","",IF(J244&gt;='13_Setting'!$H$7,"Tercapai",IF(J244&gt;='13_Setting'!$H$6,"On Track","Tertinggal")))</f>
        <v/>
      </c>
      <c r="N244" s="24"/>
    </row>
    <row r="245" spans="1:14">
      <c r="A245" s="24"/>
      <c r="B245" s="24"/>
      <c r="C245" s="25"/>
      <c r="D245" s="24"/>
      <c r="E245" s="26" t="str">
        <f>IFERROR(VLOOKUP(D245,'04_Master Karyawan'!$A$5:$F$50,2,FALSE),"")</f>
        <v/>
      </c>
      <c r="F245" s="24"/>
      <c r="G245" s="26" t="str">
        <f>IFERROR(VLOOKUP(F245,'05_Master KPI'!$B$5:$G$100,2,FALSE)&amp;" ("&amp;VLOOKUP(F245,'05_Master KPI'!$B$5:$G$100,3,FALSE)&amp;")","")</f>
        <v/>
      </c>
      <c r="H245" s="26">
        <f>IFERROR(IF(B245&lt;&gt;'06_Target KPI'!$B$3,0,IF(VLOOKUP(F245,'05_Master KPI'!$B$5:$G$100,6,FALSE)="Kumulatif",INDEX('06_Target KPI'!$E$5:$P$100,MATCH(F245,'06_Target KPI'!$B$5:$B$100,0),MATCH(A245,'06_Target KPI'!$E$4:$P$4,0))*DAY(C245)/DAY(EOMONTH(C245,0)),INDEX('06_Target KPI'!$E$5:$P$100,MATCH(F245,'06_Target KPI'!$B$5:$B$100,0),MATCH(A245,'06_Target KPI'!$E$4:$P$4,0)))),0)</f>
        <v>0</v>
      </c>
      <c r="I245" s="24"/>
      <c r="J245" s="27">
        <f>IFERROR(MIN(IF(VLOOKUP(F245,'05_Master KPI'!$B$5:$G$100,5,FALSE)="Lower",H245/I245,I245/H245),1),0)</f>
        <v>0</v>
      </c>
      <c r="K245" s="26">
        <f>IFERROR(VLOOKUP(F245,'05_Master KPI'!$B$5:$G$100,4,FALSE),0)</f>
        <v>0</v>
      </c>
      <c r="L245" s="28">
        <f t="shared" si="3"/>
        <v>0</v>
      </c>
      <c r="M245" s="26" t="str">
        <f>IF(D245="","",IF(J245&gt;='13_Setting'!$H$7,"Tercapai",IF(J245&gt;='13_Setting'!$H$6,"On Track","Tertinggal")))</f>
        <v/>
      </c>
      <c r="N245" s="24"/>
    </row>
    <row r="246" spans="1:14">
      <c r="A246" s="24"/>
      <c r="B246" s="24"/>
      <c r="C246" s="25"/>
      <c r="D246" s="24"/>
      <c r="E246" s="26" t="str">
        <f>IFERROR(VLOOKUP(D246,'04_Master Karyawan'!$A$5:$F$50,2,FALSE),"")</f>
        <v/>
      </c>
      <c r="F246" s="24"/>
      <c r="G246" s="26" t="str">
        <f>IFERROR(VLOOKUP(F246,'05_Master KPI'!$B$5:$G$100,2,FALSE)&amp;" ("&amp;VLOOKUP(F246,'05_Master KPI'!$B$5:$G$100,3,FALSE)&amp;")","")</f>
        <v/>
      </c>
      <c r="H246" s="26">
        <f>IFERROR(IF(B246&lt;&gt;'06_Target KPI'!$B$3,0,IF(VLOOKUP(F246,'05_Master KPI'!$B$5:$G$100,6,FALSE)="Kumulatif",INDEX('06_Target KPI'!$E$5:$P$100,MATCH(F246,'06_Target KPI'!$B$5:$B$100,0),MATCH(A246,'06_Target KPI'!$E$4:$P$4,0))*DAY(C246)/DAY(EOMONTH(C246,0)),INDEX('06_Target KPI'!$E$5:$P$100,MATCH(F246,'06_Target KPI'!$B$5:$B$100,0),MATCH(A246,'06_Target KPI'!$E$4:$P$4,0)))),0)</f>
        <v>0</v>
      </c>
      <c r="I246" s="24"/>
      <c r="J246" s="27">
        <f>IFERROR(MIN(IF(VLOOKUP(F246,'05_Master KPI'!$B$5:$G$100,5,FALSE)="Lower",H246/I246,I246/H246),1),0)</f>
        <v>0</v>
      </c>
      <c r="K246" s="26">
        <f>IFERROR(VLOOKUP(F246,'05_Master KPI'!$B$5:$G$100,4,FALSE),0)</f>
        <v>0</v>
      </c>
      <c r="L246" s="28">
        <f t="shared" si="3"/>
        <v>0</v>
      </c>
      <c r="M246" s="26" t="str">
        <f>IF(D246="","",IF(J246&gt;='13_Setting'!$H$7,"Tercapai",IF(J246&gt;='13_Setting'!$H$6,"On Track","Tertinggal")))</f>
        <v/>
      </c>
      <c r="N246" s="24"/>
    </row>
    <row r="247" spans="1:14">
      <c r="A247" s="24"/>
      <c r="B247" s="24"/>
      <c r="C247" s="25"/>
      <c r="D247" s="24"/>
      <c r="E247" s="26" t="str">
        <f>IFERROR(VLOOKUP(D247,'04_Master Karyawan'!$A$5:$F$50,2,FALSE),"")</f>
        <v/>
      </c>
      <c r="F247" s="24"/>
      <c r="G247" s="26" t="str">
        <f>IFERROR(VLOOKUP(F247,'05_Master KPI'!$B$5:$G$100,2,FALSE)&amp;" ("&amp;VLOOKUP(F247,'05_Master KPI'!$B$5:$G$100,3,FALSE)&amp;")","")</f>
        <v/>
      </c>
      <c r="H247" s="26">
        <f>IFERROR(IF(B247&lt;&gt;'06_Target KPI'!$B$3,0,IF(VLOOKUP(F247,'05_Master KPI'!$B$5:$G$100,6,FALSE)="Kumulatif",INDEX('06_Target KPI'!$E$5:$P$100,MATCH(F247,'06_Target KPI'!$B$5:$B$100,0),MATCH(A247,'06_Target KPI'!$E$4:$P$4,0))*DAY(C247)/DAY(EOMONTH(C247,0)),INDEX('06_Target KPI'!$E$5:$P$100,MATCH(F247,'06_Target KPI'!$B$5:$B$100,0),MATCH(A247,'06_Target KPI'!$E$4:$P$4,0)))),0)</f>
        <v>0</v>
      </c>
      <c r="I247" s="24"/>
      <c r="J247" s="27">
        <f>IFERROR(MIN(IF(VLOOKUP(F247,'05_Master KPI'!$B$5:$G$100,5,FALSE)="Lower",H247/I247,I247/H247),1),0)</f>
        <v>0</v>
      </c>
      <c r="K247" s="26">
        <f>IFERROR(VLOOKUP(F247,'05_Master KPI'!$B$5:$G$100,4,FALSE),0)</f>
        <v>0</v>
      </c>
      <c r="L247" s="28">
        <f t="shared" si="3"/>
        <v>0</v>
      </c>
      <c r="M247" s="26" t="str">
        <f>IF(D247="","",IF(J247&gt;='13_Setting'!$H$7,"Tercapai",IF(J247&gt;='13_Setting'!$H$6,"On Track","Tertinggal")))</f>
        <v/>
      </c>
      <c r="N247" s="24"/>
    </row>
    <row r="248" spans="1:14">
      <c r="A248" s="24"/>
      <c r="B248" s="24"/>
      <c r="C248" s="25"/>
      <c r="D248" s="24"/>
      <c r="E248" s="26" t="str">
        <f>IFERROR(VLOOKUP(D248,'04_Master Karyawan'!$A$5:$F$50,2,FALSE),"")</f>
        <v/>
      </c>
      <c r="F248" s="24"/>
      <c r="G248" s="26" t="str">
        <f>IFERROR(VLOOKUP(F248,'05_Master KPI'!$B$5:$G$100,2,FALSE)&amp;" ("&amp;VLOOKUP(F248,'05_Master KPI'!$B$5:$G$100,3,FALSE)&amp;")","")</f>
        <v/>
      </c>
      <c r="H248" s="26">
        <f>IFERROR(IF(B248&lt;&gt;'06_Target KPI'!$B$3,0,IF(VLOOKUP(F248,'05_Master KPI'!$B$5:$G$100,6,FALSE)="Kumulatif",INDEX('06_Target KPI'!$E$5:$P$100,MATCH(F248,'06_Target KPI'!$B$5:$B$100,0),MATCH(A248,'06_Target KPI'!$E$4:$P$4,0))*DAY(C248)/DAY(EOMONTH(C248,0)),INDEX('06_Target KPI'!$E$5:$P$100,MATCH(F248,'06_Target KPI'!$B$5:$B$100,0),MATCH(A248,'06_Target KPI'!$E$4:$P$4,0)))),0)</f>
        <v>0</v>
      </c>
      <c r="I248" s="24"/>
      <c r="J248" s="27">
        <f>IFERROR(MIN(IF(VLOOKUP(F248,'05_Master KPI'!$B$5:$G$100,5,FALSE)="Lower",H248/I248,I248/H248),1),0)</f>
        <v>0</v>
      </c>
      <c r="K248" s="26">
        <f>IFERROR(VLOOKUP(F248,'05_Master KPI'!$B$5:$G$100,4,FALSE),0)</f>
        <v>0</v>
      </c>
      <c r="L248" s="28">
        <f t="shared" si="3"/>
        <v>0</v>
      </c>
      <c r="M248" s="26" t="str">
        <f>IF(D248="","",IF(J248&gt;='13_Setting'!$H$7,"Tercapai",IF(J248&gt;='13_Setting'!$H$6,"On Track","Tertinggal")))</f>
        <v/>
      </c>
      <c r="N248" s="24"/>
    </row>
    <row r="249" spans="1:14">
      <c r="A249" s="24"/>
      <c r="B249" s="24"/>
      <c r="C249" s="25"/>
      <c r="D249" s="24"/>
      <c r="E249" s="26" t="str">
        <f>IFERROR(VLOOKUP(D249,'04_Master Karyawan'!$A$5:$F$50,2,FALSE),"")</f>
        <v/>
      </c>
      <c r="F249" s="24"/>
      <c r="G249" s="26" t="str">
        <f>IFERROR(VLOOKUP(F249,'05_Master KPI'!$B$5:$G$100,2,FALSE)&amp;" ("&amp;VLOOKUP(F249,'05_Master KPI'!$B$5:$G$100,3,FALSE)&amp;")","")</f>
        <v/>
      </c>
      <c r="H249" s="26">
        <f>IFERROR(IF(B249&lt;&gt;'06_Target KPI'!$B$3,0,IF(VLOOKUP(F249,'05_Master KPI'!$B$5:$G$100,6,FALSE)="Kumulatif",INDEX('06_Target KPI'!$E$5:$P$100,MATCH(F249,'06_Target KPI'!$B$5:$B$100,0),MATCH(A249,'06_Target KPI'!$E$4:$P$4,0))*DAY(C249)/DAY(EOMONTH(C249,0)),INDEX('06_Target KPI'!$E$5:$P$100,MATCH(F249,'06_Target KPI'!$B$5:$B$100,0),MATCH(A249,'06_Target KPI'!$E$4:$P$4,0)))),0)</f>
        <v>0</v>
      </c>
      <c r="I249" s="24"/>
      <c r="J249" s="27">
        <f>IFERROR(MIN(IF(VLOOKUP(F249,'05_Master KPI'!$B$5:$G$100,5,FALSE)="Lower",H249/I249,I249/H249),1),0)</f>
        <v>0</v>
      </c>
      <c r="K249" s="26">
        <f>IFERROR(VLOOKUP(F249,'05_Master KPI'!$B$5:$G$100,4,FALSE),0)</f>
        <v>0</v>
      </c>
      <c r="L249" s="28">
        <f t="shared" si="3"/>
        <v>0</v>
      </c>
      <c r="M249" s="26" t="str">
        <f>IF(D249="","",IF(J249&gt;='13_Setting'!$H$7,"Tercapai",IF(J249&gt;='13_Setting'!$H$6,"On Track","Tertinggal")))</f>
        <v/>
      </c>
      <c r="N249" s="24"/>
    </row>
    <row r="250" spans="1:14">
      <c r="A250" s="24"/>
      <c r="B250" s="24"/>
      <c r="C250" s="25"/>
      <c r="D250" s="24"/>
      <c r="E250" s="26" t="str">
        <f>IFERROR(VLOOKUP(D250,'04_Master Karyawan'!$A$5:$F$50,2,FALSE),"")</f>
        <v/>
      </c>
      <c r="F250" s="24"/>
      <c r="G250" s="26" t="str">
        <f>IFERROR(VLOOKUP(F250,'05_Master KPI'!$B$5:$G$100,2,FALSE)&amp;" ("&amp;VLOOKUP(F250,'05_Master KPI'!$B$5:$G$100,3,FALSE)&amp;")","")</f>
        <v/>
      </c>
      <c r="H250" s="26">
        <f>IFERROR(IF(B250&lt;&gt;'06_Target KPI'!$B$3,0,IF(VLOOKUP(F250,'05_Master KPI'!$B$5:$G$100,6,FALSE)="Kumulatif",INDEX('06_Target KPI'!$E$5:$P$100,MATCH(F250,'06_Target KPI'!$B$5:$B$100,0),MATCH(A250,'06_Target KPI'!$E$4:$P$4,0))*DAY(C250)/DAY(EOMONTH(C250,0)),INDEX('06_Target KPI'!$E$5:$P$100,MATCH(F250,'06_Target KPI'!$B$5:$B$100,0),MATCH(A250,'06_Target KPI'!$E$4:$P$4,0)))),0)</f>
        <v>0</v>
      </c>
      <c r="I250" s="24"/>
      <c r="J250" s="27">
        <f>IFERROR(MIN(IF(VLOOKUP(F250,'05_Master KPI'!$B$5:$G$100,5,FALSE)="Lower",H250/I250,I250/H250),1),0)</f>
        <v>0</v>
      </c>
      <c r="K250" s="26">
        <f>IFERROR(VLOOKUP(F250,'05_Master KPI'!$B$5:$G$100,4,FALSE),0)</f>
        <v>0</v>
      </c>
      <c r="L250" s="28">
        <f t="shared" si="3"/>
        <v>0</v>
      </c>
      <c r="M250" s="26" t="str">
        <f>IF(D250="","",IF(J250&gt;='13_Setting'!$H$7,"Tercapai",IF(J250&gt;='13_Setting'!$H$6,"On Track","Tertinggal")))</f>
        <v/>
      </c>
      <c r="N250" s="24"/>
    </row>
    <row r="251" spans="1:14">
      <c r="A251" s="24"/>
      <c r="B251" s="24"/>
      <c r="C251" s="25"/>
      <c r="D251" s="24"/>
      <c r="E251" s="26" t="str">
        <f>IFERROR(VLOOKUP(D251,'04_Master Karyawan'!$A$5:$F$50,2,FALSE),"")</f>
        <v/>
      </c>
      <c r="F251" s="24"/>
      <c r="G251" s="26" t="str">
        <f>IFERROR(VLOOKUP(F251,'05_Master KPI'!$B$5:$G$100,2,FALSE)&amp;" ("&amp;VLOOKUP(F251,'05_Master KPI'!$B$5:$G$100,3,FALSE)&amp;")","")</f>
        <v/>
      </c>
      <c r="H251" s="26">
        <f>IFERROR(IF(B251&lt;&gt;'06_Target KPI'!$B$3,0,IF(VLOOKUP(F251,'05_Master KPI'!$B$5:$G$100,6,FALSE)="Kumulatif",INDEX('06_Target KPI'!$E$5:$P$100,MATCH(F251,'06_Target KPI'!$B$5:$B$100,0),MATCH(A251,'06_Target KPI'!$E$4:$P$4,0))*DAY(C251)/DAY(EOMONTH(C251,0)),INDEX('06_Target KPI'!$E$5:$P$100,MATCH(F251,'06_Target KPI'!$B$5:$B$100,0),MATCH(A251,'06_Target KPI'!$E$4:$P$4,0)))),0)</f>
        <v>0</v>
      </c>
      <c r="I251" s="24"/>
      <c r="J251" s="27">
        <f>IFERROR(MIN(IF(VLOOKUP(F251,'05_Master KPI'!$B$5:$G$100,5,FALSE)="Lower",H251/I251,I251/H251),1),0)</f>
        <v>0</v>
      </c>
      <c r="K251" s="26">
        <f>IFERROR(VLOOKUP(F251,'05_Master KPI'!$B$5:$G$100,4,FALSE),0)</f>
        <v>0</v>
      </c>
      <c r="L251" s="28">
        <f t="shared" si="3"/>
        <v>0</v>
      </c>
      <c r="M251" s="26" t="str">
        <f>IF(D251="","",IF(J251&gt;='13_Setting'!$H$7,"Tercapai",IF(J251&gt;='13_Setting'!$H$6,"On Track","Tertinggal")))</f>
        <v/>
      </c>
      <c r="N251" s="24"/>
    </row>
    <row r="252" spans="1:14">
      <c r="A252" s="24"/>
      <c r="B252" s="24"/>
      <c r="C252" s="25"/>
      <c r="D252" s="24"/>
      <c r="E252" s="26" t="str">
        <f>IFERROR(VLOOKUP(D252,'04_Master Karyawan'!$A$5:$F$50,2,FALSE),"")</f>
        <v/>
      </c>
      <c r="F252" s="24"/>
      <c r="G252" s="26" t="str">
        <f>IFERROR(VLOOKUP(F252,'05_Master KPI'!$B$5:$G$100,2,FALSE)&amp;" ("&amp;VLOOKUP(F252,'05_Master KPI'!$B$5:$G$100,3,FALSE)&amp;")","")</f>
        <v/>
      </c>
      <c r="H252" s="26">
        <f>IFERROR(IF(B252&lt;&gt;'06_Target KPI'!$B$3,0,IF(VLOOKUP(F252,'05_Master KPI'!$B$5:$G$100,6,FALSE)="Kumulatif",INDEX('06_Target KPI'!$E$5:$P$100,MATCH(F252,'06_Target KPI'!$B$5:$B$100,0),MATCH(A252,'06_Target KPI'!$E$4:$P$4,0))*DAY(C252)/DAY(EOMONTH(C252,0)),INDEX('06_Target KPI'!$E$5:$P$100,MATCH(F252,'06_Target KPI'!$B$5:$B$100,0),MATCH(A252,'06_Target KPI'!$E$4:$P$4,0)))),0)</f>
        <v>0</v>
      </c>
      <c r="I252" s="24"/>
      <c r="J252" s="27">
        <f>IFERROR(MIN(IF(VLOOKUP(F252,'05_Master KPI'!$B$5:$G$100,5,FALSE)="Lower",H252/I252,I252/H252),1),0)</f>
        <v>0</v>
      </c>
      <c r="K252" s="26">
        <f>IFERROR(VLOOKUP(F252,'05_Master KPI'!$B$5:$G$100,4,FALSE),0)</f>
        <v>0</v>
      </c>
      <c r="L252" s="28">
        <f t="shared" si="3"/>
        <v>0</v>
      </c>
      <c r="M252" s="26" t="str">
        <f>IF(D252="","",IF(J252&gt;='13_Setting'!$H$7,"Tercapai",IF(J252&gt;='13_Setting'!$H$6,"On Track","Tertinggal")))</f>
        <v/>
      </c>
      <c r="N252" s="24"/>
    </row>
    <row r="253" spans="1:14">
      <c r="A253" s="24"/>
      <c r="B253" s="24"/>
      <c r="C253" s="25"/>
      <c r="D253" s="24"/>
      <c r="E253" s="26" t="str">
        <f>IFERROR(VLOOKUP(D253,'04_Master Karyawan'!$A$5:$F$50,2,FALSE),"")</f>
        <v/>
      </c>
      <c r="F253" s="24"/>
      <c r="G253" s="26" t="str">
        <f>IFERROR(VLOOKUP(F253,'05_Master KPI'!$B$5:$G$100,2,FALSE)&amp;" ("&amp;VLOOKUP(F253,'05_Master KPI'!$B$5:$G$100,3,FALSE)&amp;")","")</f>
        <v/>
      </c>
      <c r="H253" s="26">
        <f>IFERROR(IF(B253&lt;&gt;'06_Target KPI'!$B$3,0,IF(VLOOKUP(F253,'05_Master KPI'!$B$5:$G$100,6,FALSE)="Kumulatif",INDEX('06_Target KPI'!$E$5:$P$100,MATCH(F253,'06_Target KPI'!$B$5:$B$100,0),MATCH(A253,'06_Target KPI'!$E$4:$P$4,0))*DAY(C253)/DAY(EOMONTH(C253,0)),INDEX('06_Target KPI'!$E$5:$P$100,MATCH(F253,'06_Target KPI'!$B$5:$B$100,0),MATCH(A253,'06_Target KPI'!$E$4:$P$4,0)))),0)</f>
        <v>0</v>
      </c>
      <c r="I253" s="24"/>
      <c r="J253" s="27">
        <f>IFERROR(MIN(IF(VLOOKUP(F253,'05_Master KPI'!$B$5:$G$100,5,FALSE)="Lower",H253/I253,I253/H253),1),0)</f>
        <v>0</v>
      </c>
      <c r="K253" s="26">
        <f>IFERROR(VLOOKUP(F253,'05_Master KPI'!$B$5:$G$100,4,FALSE),0)</f>
        <v>0</v>
      </c>
      <c r="L253" s="28">
        <f t="shared" si="3"/>
        <v>0</v>
      </c>
      <c r="M253" s="26" t="str">
        <f>IF(D253="","",IF(J253&gt;='13_Setting'!$H$7,"Tercapai",IF(J253&gt;='13_Setting'!$H$6,"On Track","Tertinggal")))</f>
        <v/>
      </c>
      <c r="N253" s="24"/>
    </row>
    <row r="254" spans="1:14">
      <c r="A254" s="24"/>
      <c r="B254" s="24"/>
      <c r="C254" s="25"/>
      <c r="D254" s="24"/>
      <c r="E254" s="26" t="str">
        <f>IFERROR(VLOOKUP(D254,'04_Master Karyawan'!$A$5:$F$50,2,FALSE),"")</f>
        <v/>
      </c>
      <c r="F254" s="24"/>
      <c r="G254" s="26" t="str">
        <f>IFERROR(VLOOKUP(F254,'05_Master KPI'!$B$5:$G$100,2,FALSE)&amp;" ("&amp;VLOOKUP(F254,'05_Master KPI'!$B$5:$G$100,3,FALSE)&amp;")","")</f>
        <v/>
      </c>
      <c r="H254" s="26">
        <f>IFERROR(IF(B254&lt;&gt;'06_Target KPI'!$B$3,0,IF(VLOOKUP(F254,'05_Master KPI'!$B$5:$G$100,6,FALSE)="Kumulatif",INDEX('06_Target KPI'!$E$5:$P$100,MATCH(F254,'06_Target KPI'!$B$5:$B$100,0),MATCH(A254,'06_Target KPI'!$E$4:$P$4,0))*DAY(C254)/DAY(EOMONTH(C254,0)),INDEX('06_Target KPI'!$E$5:$P$100,MATCH(F254,'06_Target KPI'!$B$5:$B$100,0),MATCH(A254,'06_Target KPI'!$E$4:$P$4,0)))),0)</f>
        <v>0</v>
      </c>
      <c r="I254" s="24"/>
      <c r="J254" s="27">
        <f>IFERROR(MIN(IF(VLOOKUP(F254,'05_Master KPI'!$B$5:$G$100,5,FALSE)="Lower",H254/I254,I254/H254),1),0)</f>
        <v>0</v>
      </c>
      <c r="K254" s="26">
        <f>IFERROR(VLOOKUP(F254,'05_Master KPI'!$B$5:$G$100,4,FALSE),0)</f>
        <v>0</v>
      </c>
      <c r="L254" s="28">
        <f t="shared" si="3"/>
        <v>0</v>
      </c>
      <c r="M254" s="26" t="str">
        <f>IF(D254="","",IF(J254&gt;='13_Setting'!$H$7,"Tercapai",IF(J254&gt;='13_Setting'!$H$6,"On Track","Tertinggal")))</f>
        <v/>
      </c>
      <c r="N254" s="24"/>
    </row>
    <row r="255" spans="1:14">
      <c r="A255" s="24"/>
      <c r="B255" s="24"/>
      <c r="C255" s="25"/>
      <c r="D255" s="24"/>
      <c r="E255" s="26" t="str">
        <f>IFERROR(VLOOKUP(D255,'04_Master Karyawan'!$A$5:$F$50,2,FALSE),"")</f>
        <v/>
      </c>
      <c r="F255" s="24"/>
      <c r="G255" s="26" t="str">
        <f>IFERROR(VLOOKUP(F255,'05_Master KPI'!$B$5:$G$100,2,FALSE)&amp;" ("&amp;VLOOKUP(F255,'05_Master KPI'!$B$5:$G$100,3,FALSE)&amp;")","")</f>
        <v/>
      </c>
      <c r="H255" s="26">
        <f>IFERROR(IF(B255&lt;&gt;'06_Target KPI'!$B$3,0,IF(VLOOKUP(F255,'05_Master KPI'!$B$5:$G$100,6,FALSE)="Kumulatif",INDEX('06_Target KPI'!$E$5:$P$100,MATCH(F255,'06_Target KPI'!$B$5:$B$100,0),MATCH(A255,'06_Target KPI'!$E$4:$P$4,0))*DAY(C255)/DAY(EOMONTH(C255,0)),INDEX('06_Target KPI'!$E$5:$P$100,MATCH(F255,'06_Target KPI'!$B$5:$B$100,0),MATCH(A255,'06_Target KPI'!$E$4:$P$4,0)))),0)</f>
        <v>0</v>
      </c>
      <c r="I255" s="24"/>
      <c r="J255" s="27">
        <f>IFERROR(MIN(IF(VLOOKUP(F255,'05_Master KPI'!$B$5:$G$100,5,FALSE)="Lower",H255/I255,I255/H255),1),0)</f>
        <v>0</v>
      </c>
      <c r="K255" s="26">
        <f>IFERROR(VLOOKUP(F255,'05_Master KPI'!$B$5:$G$100,4,FALSE),0)</f>
        <v>0</v>
      </c>
      <c r="L255" s="28">
        <f t="shared" si="3"/>
        <v>0</v>
      </c>
      <c r="M255" s="26" t="str">
        <f>IF(D255="","",IF(J255&gt;='13_Setting'!$H$7,"Tercapai",IF(J255&gt;='13_Setting'!$H$6,"On Track","Tertinggal")))</f>
        <v/>
      </c>
      <c r="N255" s="24"/>
    </row>
    <row r="256" spans="1:14">
      <c r="A256" s="24"/>
      <c r="B256" s="24"/>
      <c r="C256" s="25"/>
      <c r="D256" s="24"/>
      <c r="E256" s="26" t="str">
        <f>IFERROR(VLOOKUP(D256,'04_Master Karyawan'!$A$5:$F$50,2,FALSE),"")</f>
        <v/>
      </c>
      <c r="F256" s="24"/>
      <c r="G256" s="26" t="str">
        <f>IFERROR(VLOOKUP(F256,'05_Master KPI'!$B$5:$G$100,2,FALSE)&amp;" ("&amp;VLOOKUP(F256,'05_Master KPI'!$B$5:$G$100,3,FALSE)&amp;")","")</f>
        <v/>
      </c>
      <c r="H256" s="26">
        <f>IFERROR(IF(B256&lt;&gt;'06_Target KPI'!$B$3,0,IF(VLOOKUP(F256,'05_Master KPI'!$B$5:$G$100,6,FALSE)="Kumulatif",INDEX('06_Target KPI'!$E$5:$P$100,MATCH(F256,'06_Target KPI'!$B$5:$B$100,0),MATCH(A256,'06_Target KPI'!$E$4:$P$4,0))*DAY(C256)/DAY(EOMONTH(C256,0)),INDEX('06_Target KPI'!$E$5:$P$100,MATCH(F256,'06_Target KPI'!$B$5:$B$100,0),MATCH(A256,'06_Target KPI'!$E$4:$P$4,0)))),0)</f>
        <v>0</v>
      </c>
      <c r="I256" s="24"/>
      <c r="J256" s="27">
        <f>IFERROR(MIN(IF(VLOOKUP(F256,'05_Master KPI'!$B$5:$G$100,5,FALSE)="Lower",H256/I256,I256/H256),1),0)</f>
        <v>0</v>
      </c>
      <c r="K256" s="26">
        <f>IFERROR(VLOOKUP(F256,'05_Master KPI'!$B$5:$G$100,4,FALSE),0)</f>
        <v>0</v>
      </c>
      <c r="L256" s="28">
        <f t="shared" si="3"/>
        <v>0</v>
      </c>
      <c r="M256" s="26" t="str">
        <f>IF(D256="","",IF(J256&gt;='13_Setting'!$H$7,"Tercapai",IF(J256&gt;='13_Setting'!$H$6,"On Track","Tertinggal")))</f>
        <v/>
      </c>
      <c r="N256" s="24"/>
    </row>
    <row r="257" spans="1:14">
      <c r="A257" s="24"/>
      <c r="B257" s="24"/>
      <c r="C257" s="25"/>
      <c r="D257" s="24"/>
      <c r="E257" s="26" t="str">
        <f>IFERROR(VLOOKUP(D257,'04_Master Karyawan'!$A$5:$F$50,2,FALSE),"")</f>
        <v/>
      </c>
      <c r="F257" s="24"/>
      <c r="G257" s="26" t="str">
        <f>IFERROR(VLOOKUP(F257,'05_Master KPI'!$B$5:$G$100,2,FALSE)&amp;" ("&amp;VLOOKUP(F257,'05_Master KPI'!$B$5:$G$100,3,FALSE)&amp;")","")</f>
        <v/>
      </c>
      <c r="H257" s="26">
        <f>IFERROR(IF(B257&lt;&gt;'06_Target KPI'!$B$3,0,IF(VLOOKUP(F257,'05_Master KPI'!$B$5:$G$100,6,FALSE)="Kumulatif",INDEX('06_Target KPI'!$E$5:$P$100,MATCH(F257,'06_Target KPI'!$B$5:$B$100,0),MATCH(A257,'06_Target KPI'!$E$4:$P$4,0))*DAY(C257)/DAY(EOMONTH(C257,0)),INDEX('06_Target KPI'!$E$5:$P$100,MATCH(F257,'06_Target KPI'!$B$5:$B$100,0),MATCH(A257,'06_Target KPI'!$E$4:$P$4,0)))),0)</f>
        <v>0</v>
      </c>
      <c r="I257" s="24"/>
      <c r="J257" s="27">
        <f>IFERROR(MIN(IF(VLOOKUP(F257,'05_Master KPI'!$B$5:$G$100,5,FALSE)="Lower",H257/I257,I257/H257),1),0)</f>
        <v>0</v>
      </c>
      <c r="K257" s="26">
        <f>IFERROR(VLOOKUP(F257,'05_Master KPI'!$B$5:$G$100,4,FALSE),0)</f>
        <v>0</v>
      </c>
      <c r="L257" s="28">
        <f t="shared" si="3"/>
        <v>0</v>
      </c>
      <c r="M257" s="26" t="str">
        <f>IF(D257="","",IF(J257&gt;='13_Setting'!$H$7,"Tercapai",IF(J257&gt;='13_Setting'!$H$6,"On Track","Tertinggal")))</f>
        <v/>
      </c>
      <c r="N257" s="24"/>
    </row>
    <row r="258" spans="1:14">
      <c r="A258" s="24"/>
      <c r="B258" s="24"/>
      <c r="C258" s="25"/>
      <c r="D258" s="24"/>
      <c r="E258" s="26" t="str">
        <f>IFERROR(VLOOKUP(D258,'04_Master Karyawan'!$A$5:$F$50,2,FALSE),"")</f>
        <v/>
      </c>
      <c r="F258" s="24"/>
      <c r="G258" s="26" t="str">
        <f>IFERROR(VLOOKUP(F258,'05_Master KPI'!$B$5:$G$100,2,FALSE)&amp;" ("&amp;VLOOKUP(F258,'05_Master KPI'!$B$5:$G$100,3,FALSE)&amp;")","")</f>
        <v/>
      </c>
      <c r="H258" s="26">
        <f>IFERROR(IF(B258&lt;&gt;'06_Target KPI'!$B$3,0,IF(VLOOKUP(F258,'05_Master KPI'!$B$5:$G$100,6,FALSE)="Kumulatif",INDEX('06_Target KPI'!$E$5:$P$100,MATCH(F258,'06_Target KPI'!$B$5:$B$100,0),MATCH(A258,'06_Target KPI'!$E$4:$P$4,0))*DAY(C258)/DAY(EOMONTH(C258,0)),INDEX('06_Target KPI'!$E$5:$P$100,MATCH(F258,'06_Target KPI'!$B$5:$B$100,0),MATCH(A258,'06_Target KPI'!$E$4:$P$4,0)))),0)</f>
        <v>0</v>
      </c>
      <c r="I258" s="24"/>
      <c r="J258" s="27">
        <f>IFERROR(MIN(IF(VLOOKUP(F258,'05_Master KPI'!$B$5:$G$100,5,FALSE)="Lower",H258/I258,I258/H258),1),0)</f>
        <v>0</v>
      </c>
      <c r="K258" s="26">
        <f>IFERROR(VLOOKUP(F258,'05_Master KPI'!$B$5:$G$100,4,FALSE),0)</f>
        <v>0</v>
      </c>
      <c r="L258" s="28">
        <f t="shared" si="3"/>
        <v>0</v>
      </c>
      <c r="M258" s="26" t="str">
        <f>IF(D258="","",IF(J258&gt;='13_Setting'!$H$7,"Tercapai",IF(J258&gt;='13_Setting'!$H$6,"On Track","Tertinggal")))</f>
        <v/>
      </c>
      <c r="N258" s="24"/>
    </row>
    <row r="259" spans="1:14">
      <c r="A259" s="24"/>
      <c r="B259" s="24"/>
      <c r="C259" s="25"/>
      <c r="D259" s="24"/>
      <c r="E259" s="26" t="str">
        <f>IFERROR(VLOOKUP(D259,'04_Master Karyawan'!$A$5:$F$50,2,FALSE),"")</f>
        <v/>
      </c>
      <c r="F259" s="24"/>
      <c r="G259" s="26" t="str">
        <f>IFERROR(VLOOKUP(F259,'05_Master KPI'!$B$5:$G$100,2,FALSE)&amp;" ("&amp;VLOOKUP(F259,'05_Master KPI'!$B$5:$G$100,3,FALSE)&amp;")","")</f>
        <v/>
      </c>
      <c r="H259" s="26">
        <f>IFERROR(IF(B259&lt;&gt;'06_Target KPI'!$B$3,0,IF(VLOOKUP(F259,'05_Master KPI'!$B$5:$G$100,6,FALSE)="Kumulatif",INDEX('06_Target KPI'!$E$5:$P$100,MATCH(F259,'06_Target KPI'!$B$5:$B$100,0),MATCH(A259,'06_Target KPI'!$E$4:$P$4,0))*DAY(C259)/DAY(EOMONTH(C259,0)),INDEX('06_Target KPI'!$E$5:$P$100,MATCH(F259,'06_Target KPI'!$B$5:$B$100,0),MATCH(A259,'06_Target KPI'!$E$4:$P$4,0)))),0)</f>
        <v>0</v>
      </c>
      <c r="I259" s="24"/>
      <c r="J259" s="27">
        <f>IFERROR(MIN(IF(VLOOKUP(F259,'05_Master KPI'!$B$5:$G$100,5,FALSE)="Lower",H259/I259,I259/H259),1),0)</f>
        <v>0</v>
      </c>
      <c r="K259" s="26">
        <f>IFERROR(VLOOKUP(F259,'05_Master KPI'!$B$5:$G$100,4,FALSE),0)</f>
        <v>0</v>
      </c>
      <c r="L259" s="28">
        <f t="shared" si="3"/>
        <v>0</v>
      </c>
      <c r="M259" s="26" t="str">
        <f>IF(D259="","",IF(J259&gt;='13_Setting'!$H$7,"Tercapai",IF(J259&gt;='13_Setting'!$H$6,"On Track","Tertinggal")))</f>
        <v/>
      </c>
      <c r="N259" s="24"/>
    </row>
    <row r="260" spans="1:14">
      <c r="A260" s="24"/>
      <c r="B260" s="24"/>
      <c r="C260" s="25"/>
      <c r="D260" s="24"/>
      <c r="E260" s="26" t="str">
        <f>IFERROR(VLOOKUP(D260,'04_Master Karyawan'!$A$5:$F$50,2,FALSE),"")</f>
        <v/>
      </c>
      <c r="F260" s="24"/>
      <c r="G260" s="26" t="str">
        <f>IFERROR(VLOOKUP(F260,'05_Master KPI'!$B$5:$G$100,2,FALSE)&amp;" ("&amp;VLOOKUP(F260,'05_Master KPI'!$B$5:$G$100,3,FALSE)&amp;")","")</f>
        <v/>
      </c>
      <c r="H260" s="26">
        <f>IFERROR(IF(B260&lt;&gt;'06_Target KPI'!$B$3,0,IF(VLOOKUP(F260,'05_Master KPI'!$B$5:$G$100,6,FALSE)="Kumulatif",INDEX('06_Target KPI'!$E$5:$P$100,MATCH(F260,'06_Target KPI'!$B$5:$B$100,0),MATCH(A260,'06_Target KPI'!$E$4:$P$4,0))*DAY(C260)/DAY(EOMONTH(C260,0)),INDEX('06_Target KPI'!$E$5:$P$100,MATCH(F260,'06_Target KPI'!$B$5:$B$100,0),MATCH(A260,'06_Target KPI'!$E$4:$P$4,0)))),0)</f>
        <v>0</v>
      </c>
      <c r="I260" s="24"/>
      <c r="J260" s="27">
        <f>IFERROR(MIN(IF(VLOOKUP(F260,'05_Master KPI'!$B$5:$G$100,5,FALSE)="Lower",H260/I260,I260/H260),1),0)</f>
        <v>0</v>
      </c>
      <c r="K260" s="26">
        <f>IFERROR(VLOOKUP(F260,'05_Master KPI'!$B$5:$G$100,4,FALSE),0)</f>
        <v>0</v>
      </c>
      <c r="L260" s="28">
        <f t="shared" si="3"/>
        <v>0</v>
      </c>
      <c r="M260" s="26" t="str">
        <f>IF(D260="","",IF(J260&gt;='13_Setting'!$H$7,"Tercapai",IF(J260&gt;='13_Setting'!$H$6,"On Track","Tertinggal")))</f>
        <v/>
      </c>
      <c r="N260" s="24"/>
    </row>
    <row r="261" spans="1:14">
      <c r="A261" s="24"/>
      <c r="B261" s="24"/>
      <c r="C261" s="25"/>
      <c r="D261" s="24"/>
      <c r="E261" s="26" t="str">
        <f>IFERROR(VLOOKUP(D261,'04_Master Karyawan'!$A$5:$F$50,2,FALSE),"")</f>
        <v/>
      </c>
      <c r="F261" s="24"/>
      <c r="G261" s="26" t="str">
        <f>IFERROR(VLOOKUP(F261,'05_Master KPI'!$B$5:$G$100,2,FALSE)&amp;" ("&amp;VLOOKUP(F261,'05_Master KPI'!$B$5:$G$100,3,FALSE)&amp;")","")</f>
        <v/>
      </c>
      <c r="H261" s="26">
        <f>IFERROR(IF(B261&lt;&gt;'06_Target KPI'!$B$3,0,IF(VLOOKUP(F261,'05_Master KPI'!$B$5:$G$100,6,FALSE)="Kumulatif",INDEX('06_Target KPI'!$E$5:$P$100,MATCH(F261,'06_Target KPI'!$B$5:$B$100,0),MATCH(A261,'06_Target KPI'!$E$4:$P$4,0))*DAY(C261)/DAY(EOMONTH(C261,0)),INDEX('06_Target KPI'!$E$5:$P$100,MATCH(F261,'06_Target KPI'!$B$5:$B$100,0),MATCH(A261,'06_Target KPI'!$E$4:$P$4,0)))),0)</f>
        <v>0</v>
      </c>
      <c r="I261" s="24"/>
      <c r="J261" s="27">
        <f>IFERROR(MIN(IF(VLOOKUP(F261,'05_Master KPI'!$B$5:$G$100,5,FALSE)="Lower",H261/I261,I261/H261),1),0)</f>
        <v>0</v>
      </c>
      <c r="K261" s="26">
        <f>IFERROR(VLOOKUP(F261,'05_Master KPI'!$B$5:$G$100,4,FALSE),0)</f>
        <v>0</v>
      </c>
      <c r="L261" s="28">
        <f t="shared" ref="L261:L304" si="4">J261*K261</f>
        <v>0</v>
      </c>
      <c r="M261" s="26" t="str">
        <f>IF(D261="","",IF(J261&gt;='13_Setting'!$H$7,"Tercapai",IF(J261&gt;='13_Setting'!$H$6,"On Track","Tertinggal")))</f>
        <v/>
      </c>
      <c r="N261" s="24"/>
    </row>
    <row r="262" spans="1:14">
      <c r="A262" s="24"/>
      <c r="B262" s="24"/>
      <c r="C262" s="25"/>
      <c r="D262" s="24"/>
      <c r="E262" s="26" t="str">
        <f>IFERROR(VLOOKUP(D262,'04_Master Karyawan'!$A$5:$F$50,2,FALSE),"")</f>
        <v/>
      </c>
      <c r="F262" s="24"/>
      <c r="G262" s="26" t="str">
        <f>IFERROR(VLOOKUP(F262,'05_Master KPI'!$B$5:$G$100,2,FALSE)&amp;" ("&amp;VLOOKUP(F262,'05_Master KPI'!$B$5:$G$100,3,FALSE)&amp;")","")</f>
        <v/>
      </c>
      <c r="H262" s="26">
        <f>IFERROR(IF(B262&lt;&gt;'06_Target KPI'!$B$3,0,IF(VLOOKUP(F262,'05_Master KPI'!$B$5:$G$100,6,FALSE)="Kumulatif",INDEX('06_Target KPI'!$E$5:$P$100,MATCH(F262,'06_Target KPI'!$B$5:$B$100,0),MATCH(A262,'06_Target KPI'!$E$4:$P$4,0))*DAY(C262)/DAY(EOMONTH(C262,0)),INDEX('06_Target KPI'!$E$5:$P$100,MATCH(F262,'06_Target KPI'!$B$5:$B$100,0),MATCH(A262,'06_Target KPI'!$E$4:$P$4,0)))),0)</f>
        <v>0</v>
      </c>
      <c r="I262" s="24"/>
      <c r="J262" s="27">
        <f>IFERROR(MIN(IF(VLOOKUP(F262,'05_Master KPI'!$B$5:$G$100,5,FALSE)="Lower",H262/I262,I262/H262),1),0)</f>
        <v>0</v>
      </c>
      <c r="K262" s="26">
        <f>IFERROR(VLOOKUP(F262,'05_Master KPI'!$B$5:$G$100,4,FALSE),0)</f>
        <v>0</v>
      </c>
      <c r="L262" s="28">
        <f t="shared" si="4"/>
        <v>0</v>
      </c>
      <c r="M262" s="26" t="str">
        <f>IF(D262="","",IF(J262&gt;='13_Setting'!$H$7,"Tercapai",IF(J262&gt;='13_Setting'!$H$6,"On Track","Tertinggal")))</f>
        <v/>
      </c>
      <c r="N262" s="24"/>
    </row>
    <row r="263" spans="1:14">
      <c r="A263" s="24"/>
      <c r="B263" s="24"/>
      <c r="C263" s="25"/>
      <c r="D263" s="24"/>
      <c r="E263" s="26" t="str">
        <f>IFERROR(VLOOKUP(D263,'04_Master Karyawan'!$A$5:$F$50,2,FALSE),"")</f>
        <v/>
      </c>
      <c r="F263" s="24"/>
      <c r="G263" s="26" t="str">
        <f>IFERROR(VLOOKUP(F263,'05_Master KPI'!$B$5:$G$100,2,FALSE)&amp;" ("&amp;VLOOKUP(F263,'05_Master KPI'!$B$5:$G$100,3,FALSE)&amp;")","")</f>
        <v/>
      </c>
      <c r="H263" s="26">
        <f>IFERROR(IF(B263&lt;&gt;'06_Target KPI'!$B$3,0,IF(VLOOKUP(F263,'05_Master KPI'!$B$5:$G$100,6,FALSE)="Kumulatif",INDEX('06_Target KPI'!$E$5:$P$100,MATCH(F263,'06_Target KPI'!$B$5:$B$100,0),MATCH(A263,'06_Target KPI'!$E$4:$P$4,0))*DAY(C263)/DAY(EOMONTH(C263,0)),INDEX('06_Target KPI'!$E$5:$P$100,MATCH(F263,'06_Target KPI'!$B$5:$B$100,0),MATCH(A263,'06_Target KPI'!$E$4:$P$4,0)))),0)</f>
        <v>0</v>
      </c>
      <c r="I263" s="24"/>
      <c r="J263" s="27">
        <f>IFERROR(MIN(IF(VLOOKUP(F263,'05_Master KPI'!$B$5:$G$100,5,FALSE)="Lower",H263/I263,I263/H263),1),0)</f>
        <v>0</v>
      </c>
      <c r="K263" s="26">
        <f>IFERROR(VLOOKUP(F263,'05_Master KPI'!$B$5:$G$100,4,FALSE),0)</f>
        <v>0</v>
      </c>
      <c r="L263" s="28">
        <f t="shared" si="4"/>
        <v>0</v>
      </c>
      <c r="M263" s="26" t="str">
        <f>IF(D263="","",IF(J263&gt;='13_Setting'!$H$7,"Tercapai",IF(J263&gt;='13_Setting'!$H$6,"On Track","Tertinggal")))</f>
        <v/>
      </c>
      <c r="N263" s="24"/>
    </row>
    <row r="264" spans="1:14">
      <c r="A264" s="24"/>
      <c r="B264" s="24"/>
      <c r="C264" s="25"/>
      <c r="D264" s="24"/>
      <c r="E264" s="26" t="str">
        <f>IFERROR(VLOOKUP(D264,'04_Master Karyawan'!$A$5:$F$50,2,FALSE),"")</f>
        <v/>
      </c>
      <c r="F264" s="24"/>
      <c r="G264" s="26" t="str">
        <f>IFERROR(VLOOKUP(F264,'05_Master KPI'!$B$5:$G$100,2,FALSE)&amp;" ("&amp;VLOOKUP(F264,'05_Master KPI'!$B$5:$G$100,3,FALSE)&amp;")","")</f>
        <v/>
      </c>
      <c r="H264" s="26">
        <f>IFERROR(IF(B264&lt;&gt;'06_Target KPI'!$B$3,0,IF(VLOOKUP(F264,'05_Master KPI'!$B$5:$G$100,6,FALSE)="Kumulatif",INDEX('06_Target KPI'!$E$5:$P$100,MATCH(F264,'06_Target KPI'!$B$5:$B$100,0),MATCH(A264,'06_Target KPI'!$E$4:$P$4,0))*DAY(C264)/DAY(EOMONTH(C264,0)),INDEX('06_Target KPI'!$E$5:$P$100,MATCH(F264,'06_Target KPI'!$B$5:$B$100,0),MATCH(A264,'06_Target KPI'!$E$4:$P$4,0)))),0)</f>
        <v>0</v>
      </c>
      <c r="I264" s="24"/>
      <c r="J264" s="27">
        <f>IFERROR(MIN(IF(VLOOKUP(F264,'05_Master KPI'!$B$5:$G$100,5,FALSE)="Lower",H264/I264,I264/H264),1),0)</f>
        <v>0</v>
      </c>
      <c r="K264" s="26">
        <f>IFERROR(VLOOKUP(F264,'05_Master KPI'!$B$5:$G$100,4,FALSE),0)</f>
        <v>0</v>
      </c>
      <c r="L264" s="28">
        <f t="shared" si="4"/>
        <v>0</v>
      </c>
      <c r="M264" s="26" t="str">
        <f>IF(D264="","",IF(J264&gt;='13_Setting'!$H$7,"Tercapai",IF(J264&gt;='13_Setting'!$H$6,"On Track","Tertinggal")))</f>
        <v/>
      </c>
      <c r="N264" s="24"/>
    </row>
    <row r="265" spans="1:14">
      <c r="A265" s="24"/>
      <c r="B265" s="24"/>
      <c r="C265" s="25"/>
      <c r="D265" s="24"/>
      <c r="E265" s="26" t="str">
        <f>IFERROR(VLOOKUP(D265,'04_Master Karyawan'!$A$5:$F$50,2,FALSE),"")</f>
        <v/>
      </c>
      <c r="F265" s="24"/>
      <c r="G265" s="26" t="str">
        <f>IFERROR(VLOOKUP(F265,'05_Master KPI'!$B$5:$G$100,2,FALSE)&amp;" ("&amp;VLOOKUP(F265,'05_Master KPI'!$B$5:$G$100,3,FALSE)&amp;")","")</f>
        <v/>
      </c>
      <c r="H265" s="26">
        <f>IFERROR(IF(B265&lt;&gt;'06_Target KPI'!$B$3,0,IF(VLOOKUP(F265,'05_Master KPI'!$B$5:$G$100,6,FALSE)="Kumulatif",INDEX('06_Target KPI'!$E$5:$P$100,MATCH(F265,'06_Target KPI'!$B$5:$B$100,0),MATCH(A265,'06_Target KPI'!$E$4:$P$4,0))*DAY(C265)/DAY(EOMONTH(C265,0)),INDEX('06_Target KPI'!$E$5:$P$100,MATCH(F265,'06_Target KPI'!$B$5:$B$100,0),MATCH(A265,'06_Target KPI'!$E$4:$P$4,0)))),0)</f>
        <v>0</v>
      </c>
      <c r="I265" s="24"/>
      <c r="J265" s="27">
        <f>IFERROR(MIN(IF(VLOOKUP(F265,'05_Master KPI'!$B$5:$G$100,5,FALSE)="Lower",H265/I265,I265/H265),1),0)</f>
        <v>0</v>
      </c>
      <c r="K265" s="26">
        <f>IFERROR(VLOOKUP(F265,'05_Master KPI'!$B$5:$G$100,4,FALSE),0)</f>
        <v>0</v>
      </c>
      <c r="L265" s="28">
        <f t="shared" si="4"/>
        <v>0</v>
      </c>
      <c r="M265" s="26" t="str">
        <f>IF(D265="","",IF(J265&gt;='13_Setting'!$H$7,"Tercapai",IF(J265&gt;='13_Setting'!$H$6,"On Track","Tertinggal")))</f>
        <v/>
      </c>
      <c r="N265" s="24"/>
    </row>
    <row r="266" spans="1:14">
      <c r="A266" s="24"/>
      <c r="B266" s="24"/>
      <c r="C266" s="25"/>
      <c r="D266" s="24"/>
      <c r="E266" s="26" t="str">
        <f>IFERROR(VLOOKUP(D266,'04_Master Karyawan'!$A$5:$F$50,2,FALSE),"")</f>
        <v/>
      </c>
      <c r="F266" s="24"/>
      <c r="G266" s="26" t="str">
        <f>IFERROR(VLOOKUP(F266,'05_Master KPI'!$B$5:$G$100,2,FALSE)&amp;" ("&amp;VLOOKUP(F266,'05_Master KPI'!$B$5:$G$100,3,FALSE)&amp;")","")</f>
        <v/>
      </c>
      <c r="H266" s="26">
        <f>IFERROR(IF(B266&lt;&gt;'06_Target KPI'!$B$3,0,IF(VLOOKUP(F266,'05_Master KPI'!$B$5:$G$100,6,FALSE)="Kumulatif",INDEX('06_Target KPI'!$E$5:$P$100,MATCH(F266,'06_Target KPI'!$B$5:$B$100,0),MATCH(A266,'06_Target KPI'!$E$4:$P$4,0))*DAY(C266)/DAY(EOMONTH(C266,0)),INDEX('06_Target KPI'!$E$5:$P$100,MATCH(F266,'06_Target KPI'!$B$5:$B$100,0),MATCH(A266,'06_Target KPI'!$E$4:$P$4,0)))),0)</f>
        <v>0</v>
      </c>
      <c r="I266" s="24"/>
      <c r="J266" s="27">
        <f>IFERROR(MIN(IF(VLOOKUP(F266,'05_Master KPI'!$B$5:$G$100,5,FALSE)="Lower",H266/I266,I266/H266),1),0)</f>
        <v>0</v>
      </c>
      <c r="K266" s="26">
        <f>IFERROR(VLOOKUP(F266,'05_Master KPI'!$B$5:$G$100,4,FALSE),0)</f>
        <v>0</v>
      </c>
      <c r="L266" s="28">
        <f t="shared" si="4"/>
        <v>0</v>
      </c>
      <c r="M266" s="26" t="str">
        <f>IF(D266="","",IF(J266&gt;='13_Setting'!$H$7,"Tercapai",IF(J266&gt;='13_Setting'!$H$6,"On Track","Tertinggal")))</f>
        <v/>
      </c>
      <c r="N266" s="24"/>
    </row>
    <row r="267" spans="1:14">
      <c r="A267" s="24"/>
      <c r="B267" s="24"/>
      <c r="C267" s="25"/>
      <c r="D267" s="24"/>
      <c r="E267" s="26" t="str">
        <f>IFERROR(VLOOKUP(D267,'04_Master Karyawan'!$A$5:$F$50,2,FALSE),"")</f>
        <v/>
      </c>
      <c r="F267" s="24"/>
      <c r="G267" s="26" t="str">
        <f>IFERROR(VLOOKUP(F267,'05_Master KPI'!$B$5:$G$100,2,FALSE)&amp;" ("&amp;VLOOKUP(F267,'05_Master KPI'!$B$5:$G$100,3,FALSE)&amp;")","")</f>
        <v/>
      </c>
      <c r="H267" s="26">
        <f>IFERROR(IF(B267&lt;&gt;'06_Target KPI'!$B$3,0,IF(VLOOKUP(F267,'05_Master KPI'!$B$5:$G$100,6,FALSE)="Kumulatif",INDEX('06_Target KPI'!$E$5:$P$100,MATCH(F267,'06_Target KPI'!$B$5:$B$100,0),MATCH(A267,'06_Target KPI'!$E$4:$P$4,0))*DAY(C267)/DAY(EOMONTH(C267,0)),INDEX('06_Target KPI'!$E$5:$P$100,MATCH(F267,'06_Target KPI'!$B$5:$B$100,0),MATCH(A267,'06_Target KPI'!$E$4:$P$4,0)))),0)</f>
        <v>0</v>
      </c>
      <c r="I267" s="24"/>
      <c r="J267" s="27">
        <f>IFERROR(MIN(IF(VLOOKUP(F267,'05_Master KPI'!$B$5:$G$100,5,FALSE)="Lower",H267/I267,I267/H267),1),0)</f>
        <v>0</v>
      </c>
      <c r="K267" s="26">
        <f>IFERROR(VLOOKUP(F267,'05_Master KPI'!$B$5:$G$100,4,FALSE),0)</f>
        <v>0</v>
      </c>
      <c r="L267" s="28">
        <f t="shared" si="4"/>
        <v>0</v>
      </c>
      <c r="M267" s="26" t="str">
        <f>IF(D267="","",IF(J267&gt;='13_Setting'!$H$7,"Tercapai",IF(J267&gt;='13_Setting'!$H$6,"On Track","Tertinggal")))</f>
        <v/>
      </c>
      <c r="N267" s="24"/>
    </row>
    <row r="268" spans="1:14">
      <c r="A268" s="24"/>
      <c r="B268" s="24"/>
      <c r="C268" s="25"/>
      <c r="D268" s="24"/>
      <c r="E268" s="26" t="str">
        <f>IFERROR(VLOOKUP(D268,'04_Master Karyawan'!$A$5:$F$50,2,FALSE),"")</f>
        <v/>
      </c>
      <c r="F268" s="24"/>
      <c r="G268" s="26" t="str">
        <f>IFERROR(VLOOKUP(F268,'05_Master KPI'!$B$5:$G$100,2,FALSE)&amp;" ("&amp;VLOOKUP(F268,'05_Master KPI'!$B$5:$G$100,3,FALSE)&amp;")","")</f>
        <v/>
      </c>
      <c r="H268" s="26">
        <f>IFERROR(IF(B268&lt;&gt;'06_Target KPI'!$B$3,0,IF(VLOOKUP(F268,'05_Master KPI'!$B$5:$G$100,6,FALSE)="Kumulatif",INDEX('06_Target KPI'!$E$5:$P$100,MATCH(F268,'06_Target KPI'!$B$5:$B$100,0),MATCH(A268,'06_Target KPI'!$E$4:$P$4,0))*DAY(C268)/DAY(EOMONTH(C268,0)),INDEX('06_Target KPI'!$E$5:$P$100,MATCH(F268,'06_Target KPI'!$B$5:$B$100,0),MATCH(A268,'06_Target KPI'!$E$4:$P$4,0)))),0)</f>
        <v>0</v>
      </c>
      <c r="I268" s="24"/>
      <c r="J268" s="27">
        <f>IFERROR(MIN(IF(VLOOKUP(F268,'05_Master KPI'!$B$5:$G$100,5,FALSE)="Lower",H268/I268,I268/H268),1),0)</f>
        <v>0</v>
      </c>
      <c r="K268" s="26">
        <f>IFERROR(VLOOKUP(F268,'05_Master KPI'!$B$5:$G$100,4,FALSE),0)</f>
        <v>0</v>
      </c>
      <c r="L268" s="28">
        <f t="shared" si="4"/>
        <v>0</v>
      </c>
      <c r="M268" s="26" t="str">
        <f>IF(D268="","",IF(J268&gt;='13_Setting'!$H$7,"Tercapai",IF(J268&gt;='13_Setting'!$H$6,"On Track","Tertinggal")))</f>
        <v/>
      </c>
      <c r="N268" s="24"/>
    </row>
    <row r="269" spans="1:14">
      <c r="A269" s="24"/>
      <c r="B269" s="24"/>
      <c r="C269" s="25"/>
      <c r="D269" s="24"/>
      <c r="E269" s="26" t="str">
        <f>IFERROR(VLOOKUP(D269,'04_Master Karyawan'!$A$5:$F$50,2,FALSE),"")</f>
        <v/>
      </c>
      <c r="F269" s="24"/>
      <c r="G269" s="26" t="str">
        <f>IFERROR(VLOOKUP(F269,'05_Master KPI'!$B$5:$G$100,2,FALSE)&amp;" ("&amp;VLOOKUP(F269,'05_Master KPI'!$B$5:$G$100,3,FALSE)&amp;")","")</f>
        <v/>
      </c>
      <c r="H269" s="26">
        <f>IFERROR(IF(B269&lt;&gt;'06_Target KPI'!$B$3,0,IF(VLOOKUP(F269,'05_Master KPI'!$B$5:$G$100,6,FALSE)="Kumulatif",INDEX('06_Target KPI'!$E$5:$P$100,MATCH(F269,'06_Target KPI'!$B$5:$B$100,0),MATCH(A269,'06_Target KPI'!$E$4:$P$4,0))*DAY(C269)/DAY(EOMONTH(C269,0)),INDEX('06_Target KPI'!$E$5:$P$100,MATCH(F269,'06_Target KPI'!$B$5:$B$100,0),MATCH(A269,'06_Target KPI'!$E$4:$P$4,0)))),0)</f>
        <v>0</v>
      </c>
      <c r="I269" s="24"/>
      <c r="J269" s="27">
        <f>IFERROR(MIN(IF(VLOOKUP(F269,'05_Master KPI'!$B$5:$G$100,5,FALSE)="Lower",H269/I269,I269/H269),1),0)</f>
        <v>0</v>
      </c>
      <c r="K269" s="26">
        <f>IFERROR(VLOOKUP(F269,'05_Master KPI'!$B$5:$G$100,4,FALSE),0)</f>
        <v>0</v>
      </c>
      <c r="L269" s="28">
        <f t="shared" si="4"/>
        <v>0</v>
      </c>
      <c r="M269" s="26" t="str">
        <f>IF(D269="","",IF(J269&gt;='13_Setting'!$H$7,"Tercapai",IF(J269&gt;='13_Setting'!$H$6,"On Track","Tertinggal")))</f>
        <v/>
      </c>
      <c r="N269" s="24"/>
    </row>
    <row r="270" spans="1:14">
      <c r="A270" s="24"/>
      <c r="B270" s="24"/>
      <c r="C270" s="25"/>
      <c r="D270" s="24"/>
      <c r="E270" s="26" t="str">
        <f>IFERROR(VLOOKUP(D270,'04_Master Karyawan'!$A$5:$F$50,2,FALSE),"")</f>
        <v/>
      </c>
      <c r="F270" s="24"/>
      <c r="G270" s="26" t="str">
        <f>IFERROR(VLOOKUP(F270,'05_Master KPI'!$B$5:$G$100,2,FALSE)&amp;" ("&amp;VLOOKUP(F270,'05_Master KPI'!$B$5:$G$100,3,FALSE)&amp;")","")</f>
        <v/>
      </c>
      <c r="H270" s="26">
        <f>IFERROR(IF(B270&lt;&gt;'06_Target KPI'!$B$3,0,IF(VLOOKUP(F270,'05_Master KPI'!$B$5:$G$100,6,FALSE)="Kumulatif",INDEX('06_Target KPI'!$E$5:$P$100,MATCH(F270,'06_Target KPI'!$B$5:$B$100,0),MATCH(A270,'06_Target KPI'!$E$4:$P$4,0))*DAY(C270)/DAY(EOMONTH(C270,0)),INDEX('06_Target KPI'!$E$5:$P$100,MATCH(F270,'06_Target KPI'!$B$5:$B$100,0),MATCH(A270,'06_Target KPI'!$E$4:$P$4,0)))),0)</f>
        <v>0</v>
      </c>
      <c r="I270" s="24"/>
      <c r="J270" s="27">
        <f>IFERROR(MIN(IF(VLOOKUP(F270,'05_Master KPI'!$B$5:$G$100,5,FALSE)="Lower",H270/I270,I270/H270),1),0)</f>
        <v>0</v>
      </c>
      <c r="K270" s="26">
        <f>IFERROR(VLOOKUP(F270,'05_Master KPI'!$B$5:$G$100,4,FALSE),0)</f>
        <v>0</v>
      </c>
      <c r="L270" s="28">
        <f t="shared" si="4"/>
        <v>0</v>
      </c>
      <c r="M270" s="26" t="str">
        <f>IF(D270="","",IF(J270&gt;='13_Setting'!$H$7,"Tercapai",IF(J270&gt;='13_Setting'!$H$6,"On Track","Tertinggal")))</f>
        <v/>
      </c>
      <c r="N270" s="24"/>
    </row>
    <row r="271" spans="1:14">
      <c r="A271" s="24"/>
      <c r="B271" s="24"/>
      <c r="C271" s="25"/>
      <c r="D271" s="24"/>
      <c r="E271" s="26" t="str">
        <f>IFERROR(VLOOKUP(D271,'04_Master Karyawan'!$A$5:$F$50,2,FALSE),"")</f>
        <v/>
      </c>
      <c r="F271" s="24"/>
      <c r="G271" s="26" t="str">
        <f>IFERROR(VLOOKUP(F271,'05_Master KPI'!$B$5:$G$100,2,FALSE)&amp;" ("&amp;VLOOKUP(F271,'05_Master KPI'!$B$5:$G$100,3,FALSE)&amp;")","")</f>
        <v/>
      </c>
      <c r="H271" s="26">
        <f>IFERROR(IF(B271&lt;&gt;'06_Target KPI'!$B$3,0,IF(VLOOKUP(F271,'05_Master KPI'!$B$5:$G$100,6,FALSE)="Kumulatif",INDEX('06_Target KPI'!$E$5:$P$100,MATCH(F271,'06_Target KPI'!$B$5:$B$100,0),MATCH(A271,'06_Target KPI'!$E$4:$P$4,0))*DAY(C271)/DAY(EOMONTH(C271,0)),INDEX('06_Target KPI'!$E$5:$P$100,MATCH(F271,'06_Target KPI'!$B$5:$B$100,0),MATCH(A271,'06_Target KPI'!$E$4:$P$4,0)))),0)</f>
        <v>0</v>
      </c>
      <c r="I271" s="24"/>
      <c r="J271" s="27">
        <f>IFERROR(MIN(IF(VLOOKUP(F271,'05_Master KPI'!$B$5:$G$100,5,FALSE)="Lower",H271/I271,I271/H271),1),0)</f>
        <v>0</v>
      </c>
      <c r="K271" s="26">
        <f>IFERROR(VLOOKUP(F271,'05_Master KPI'!$B$5:$G$100,4,FALSE),0)</f>
        <v>0</v>
      </c>
      <c r="L271" s="28">
        <f t="shared" si="4"/>
        <v>0</v>
      </c>
      <c r="M271" s="26" t="str">
        <f>IF(D271="","",IF(J271&gt;='13_Setting'!$H$7,"Tercapai",IF(J271&gt;='13_Setting'!$H$6,"On Track","Tertinggal")))</f>
        <v/>
      </c>
      <c r="N271" s="24"/>
    </row>
    <row r="272" spans="1:14">
      <c r="A272" s="24"/>
      <c r="B272" s="24"/>
      <c r="C272" s="25"/>
      <c r="D272" s="24"/>
      <c r="E272" s="26" t="str">
        <f>IFERROR(VLOOKUP(D272,'04_Master Karyawan'!$A$5:$F$50,2,FALSE),"")</f>
        <v/>
      </c>
      <c r="F272" s="24"/>
      <c r="G272" s="26" t="str">
        <f>IFERROR(VLOOKUP(F272,'05_Master KPI'!$B$5:$G$100,2,FALSE)&amp;" ("&amp;VLOOKUP(F272,'05_Master KPI'!$B$5:$G$100,3,FALSE)&amp;")","")</f>
        <v/>
      </c>
      <c r="H272" s="26">
        <f>IFERROR(IF(B272&lt;&gt;'06_Target KPI'!$B$3,0,IF(VLOOKUP(F272,'05_Master KPI'!$B$5:$G$100,6,FALSE)="Kumulatif",INDEX('06_Target KPI'!$E$5:$P$100,MATCH(F272,'06_Target KPI'!$B$5:$B$100,0),MATCH(A272,'06_Target KPI'!$E$4:$P$4,0))*DAY(C272)/DAY(EOMONTH(C272,0)),INDEX('06_Target KPI'!$E$5:$P$100,MATCH(F272,'06_Target KPI'!$B$5:$B$100,0),MATCH(A272,'06_Target KPI'!$E$4:$P$4,0)))),0)</f>
        <v>0</v>
      </c>
      <c r="I272" s="24"/>
      <c r="J272" s="27">
        <f>IFERROR(MIN(IF(VLOOKUP(F272,'05_Master KPI'!$B$5:$G$100,5,FALSE)="Lower",H272/I272,I272/H272),1),0)</f>
        <v>0</v>
      </c>
      <c r="K272" s="26">
        <f>IFERROR(VLOOKUP(F272,'05_Master KPI'!$B$5:$G$100,4,FALSE),0)</f>
        <v>0</v>
      </c>
      <c r="L272" s="28">
        <f t="shared" si="4"/>
        <v>0</v>
      </c>
      <c r="M272" s="26" t="str">
        <f>IF(D272="","",IF(J272&gt;='13_Setting'!$H$7,"Tercapai",IF(J272&gt;='13_Setting'!$H$6,"On Track","Tertinggal")))</f>
        <v/>
      </c>
      <c r="N272" s="24"/>
    </row>
    <row r="273" spans="1:14">
      <c r="A273" s="24"/>
      <c r="B273" s="24"/>
      <c r="C273" s="25"/>
      <c r="D273" s="24"/>
      <c r="E273" s="26" t="str">
        <f>IFERROR(VLOOKUP(D273,'04_Master Karyawan'!$A$5:$F$50,2,FALSE),"")</f>
        <v/>
      </c>
      <c r="F273" s="24"/>
      <c r="G273" s="26" t="str">
        <f>IFERROR(VLOOKUP(F273,'05_Master KPI'!$B$5:$G$100,2,FALSE)&amp;" ("&amp;VLOOKUP(F273,'05_Master KPI'!$B$5:$G$100,3,FALSE)&amp;")","")</f>
        <v/>
      </c>
      <c r="H273" s="26">
        <f>IFERROR(IF(B273&lt;&gt;'06_Target KPI'!$B$3,0,IF(VLOOKUP(F273,'05_Master KPI'!$B$5:$G$100,6,FALSE)="Kumulatif",INDEX('06_Target KPI'!$E$5:$P$100,MATCH(F273,'06_Target KPI'!$B$5:$B$100,0),MATCH(A273,'06_Target KPI'!$E$4:$P$4,0))*DAY(C273)/DAY(EOMONTH(C273,0)),INDEX('06_Target KPI'!$E$5:$P$100,MATCH(F273,'06_Target KPI'!$B$5:$B$100,0),MATCH(A273,'06_Target KPI'!$E$4:$P$4,0)))),0)</f>
        <v>0</v>
      </c>
      <c r="I273" s="24"/>
      <c r="J273" s="27">
        <f>IFERROR(MIN(IF(VLOOKUP(F273,'05_Master KPI'!$B$5:$G$100,5,FALSE)="Lower",H273/I273,I273/H273),1),0)</f>
        <v>0</v>
      </c>
      <c r="K273" s="26">
        <f>IFERROR(VLOOKUP(F273,'05_Master KPI'!$B$5:$G$100,4,FALSE),0)</f>
        <v>0</v>
      </c>
      <c r="L273" s="28">
        <f t="shared" si="4"/>
        <v>0</v>
      </c>
      <c r="M273" s="26" t="str">
        <f>IF(D273="","",IF(J273&gt;='13_Setting'!$H$7,"Tercapai",IF(J273&gt;='13_Setting'!$H$6,"On Track","Tertinggal")))</f>
        <v/>
      </c>
      <c r="N273" s="24"/>
    </row>
    <row r="274" spans="1:14">
      <c r="A274" s="24"/>
      <c r="B274" s="24"/>
      <c r="C274" s="25"/>
      <c r="D274" s="24"/>
      <c r="E274" s="26" t="str">
        <f>IFERROR(VLOOKUP(D274,'04_Master Karyawan'!$A$5:$F$50,2,FALSE),"")</f>
        <v/>
      </c>
      <c r="F274" s="24"/>
      <c r="G274" s="26" t="str">
        <f>IFERROR(VLOOKUP(F274,'05_Master KPI'!$B$5:$G$100,2,FALSE)&amp;" ("&amp;VLOOKUP(F274,'05_Master KPI'!$B$5:$G$100,3,FALSE)&amp;")","")</f>
        <v/>
      </c>
      <c r="H274" s="26">
        <f>IFERROR(IF(B274&lt;&gt;'06_Target KPI'!$B$3,0,IF(VLOOKUP(F274,'05_Master KPI'!$B$5:$G$100,6,FALSE)="Kumulatif",INDEX('06_Target KPI'!$E$5:$P$100,MATCH(F274,'06_Target KPI'!$B$5:$B$100,0),MATCH(A274,'06_Target KPI'!$E$4:$P$4,0))*DAY(C274)/DAY(EOMONTH(C274,0)),INDEX('06_Target KPI'!$E$5:$P$100,MATCH(F274,'06_Target KPI'!$B$5:$B$100,0),MATCH(A274,'06_Target KPI'!$E$4:$P$4,0)))),0)</f>
        <v>0</v>
      </c>
      <c r="I274" s="24"/>
      <c r="J274" s="27">
        <f>IFERROR(MIN(IF(VLOOKUP(F274,'05_Master KPI'!$B$5:$G$100,5,FALSE)="Lower",H274/I274,I274/H274),1),0)</f>
        <v>0</v>
      </c>
      <c r="K274" s="26">
        <f>IFERROR(VLOOKUP(F274,'05_Master KPI'!$B$5:$G$100,4,FALSE),0)</f>
        <v>0</v>
      </c>
      <c r="L274" s="28">
        <f t="shared" si="4"/>
        <v>0</v>
      </c>
      <c r="M274" s="26" t="str">
        <f>IF(D274="","",IF(J274&gt;='13_Setting'!$H$7,"Tercapai",IF(J274&gt;='13_Setting'!$H$6,"On Track","Tertinggal")))</f>
        <v/>
      </c>
      <c r="N274" s="24"/>
    </row>
    <row r="275" spans="1:14">
      <c r="A275" s="24"/>
      <c r="B275" s="24"/>
      <c r="C275" s="25"/>
      <c r="D275" s="24"/>
      <c r="E275" s="26" t="str">
        <f>IFERROR(VLOOKUP(D275,'04_Master Karyawan'!$A$5:$F$50,2,FALSE),"")</f>
        <v/>
      </c>
      <c r="F275" s="24"/>
      <c r="G275" s="26" t="str">
        <f>IFERROR(VLOOKUP(F275,'05_Master KPI'!$B$5:$G$100,2,FALSE)&amp;" ("&amp;VLOOKUP(F275,'05_Master KPI'!$B$5:$G$100,3,FALSE)&amp;")","")</f>
        <v/>
      </c>
      <c r="H275" s="26">
        <f>IFERROR(IF(B275&lt;&gt;'06_Target KPI'!$B$3,0,IF(VLOOKUP(F275,'05_Master KPI'!$B$5:$G$100,6,FALSE)="Kumulatif",INDEX('06_Target KPI'!$E$5:$P$100,MATCH(F275,'06_Target KPI'!$B$5:$B$100,0),MATCH(A275,'06_Target KPI'!$E$4:$P$4,0))*DAY(C275)/DAY(EOMONTH(C275,0)),INDEX('06_Target KPI'!$E$5:$P$100,MATCH(F275,'06_Target KPI'!$B$5:$B$100,0),MATCH(A275,'06_Target KPI'!$E$4:$P$4,0)))),0)</f>
        <v>0</v>
      </c>
      <c r="I275" s="24"/>
      <c r="J275" s="27">
        <f>IFERROR(MIN(IF(VLOOKUP(F275,'05_Master KPI'!$B$5:$G$100,5,FALSE)="Lower",H275/I275,I275/H275),1),0)</f>
        <v>0</v>
      </c>
      <c r="K275" s="26">
        <f>IFERROR(VLOOKUP(F275,'05_Master KPI'!$B$5:$G$100,4,FALSE),0)</f>
        <v>0</v>
      </c>
      <c r="L275" s="28">
        <f t="shared" si="4"/>
        <v>0</v>
      </c>
      <c r="M275" s="26" t="str">
        <f>IF(D275="","",IF(J275&gt;='13_Setting'!$H$7,"Tercapai",IF(J275&gt;='13_Setting'!$H$6,"On Track","Tertinggal")))</f>
        <v/>
      </c>
      <c r="N275" s="24"/>
    </row>
    <row r="276" spans="1:14">
      <c r="A276" s="24"/>
      <c r="B276" s="24"/>
      <c r="C276" s="25"/>
      <c r="D276" s="24"/>
      <c r="E276" s="26" t="str">
        <f>IFERROR(VLOOKUP(D276,'04_Master Karyawan'!$A$5:$F$50,2,FALSE),"")</f>
        <v/>
      </c>
      <c r="F276" s="24"/>
      <c r="G276" s="26" t="str">
        <f>IFERROR(VLOOKUP(F276,'05_Master KPI'!$B$5:$G$100,2,FALSE)&amp;" ("&amp;VLOOKUP(F276,'05_Master KPI'!$B$5:$G$100,3,FALSE)&amp;")","")</f>
        <v/>
      </c>
      <c r="H276" s="26">
        <f>IFERROR(IF(B276&lt;&gt;'06_Target KPI'!$B$3,0,IF(VLOOKUP(F276,'05_Master KPI'!$B$5:$G$100,6,FALSE)="Kumulatif",INDEX('06_Target KPI'!$E$5:$P$100,MATCH(F276,'06_Target KPI'!$B$5:$B$100,0),MATCH(A276,'06_Target KPI'!$E$4:$P$4,0))*DAY(C276)/DAY(EOMONTH(C276,0)),INDEX('06_Target KPI'!$E$5:$P$100,MATCH(F276,'06_Target KPI'!$B$5:$B$100,0),MATCH(A276,'06_Target KPI'!$E$4:$P$4,0)))),0)</f>
        <v>0</v>
      </c>
      <c r="I276" s="24"/>
      <c r="J276" s="27">
        <f>IFERROR(MIN(IF(VLOOKUP(F276,'05_Master KPI'!$B$5:$G$100,5,FALSE)="Lower",H276/I276,I276/H276),1),0)</f>
        <v>0</v>
      </c>
      <c r="K276" s="26">
        <f>IFERROR(VLOOKUP(F276,'05_Master KPI'!$B$5:$G$100,4,FALSE),0)</f>
        <v>0</v>
      </c>
      <c r="L276" s="28">
        <f t="shared" si="4"/>
        <v>0</v>
      </c>
      <c r="M276" s="26" t="str">
        <f>IF(D276="","",IF(J276&gt;='13_Setting'!$H$7,"Tercapai",IF(J276&gt;='13_Setting'!$H$6,"On Track","Tertinggal")))</f>
        <v/>
      </c>
      <c r="N276" s="24"/>
    </row>
    <row r="277" spans="1:14">
      <c r="A277" s="24"/>
      <c r="B277" s="24"/>
      <c r="C277" s="25"/>
      <c r="D277" s="24"/>
      <c r="E277" s="26" t="str">
        <f>IFERROR(VLOOKUP(D277,'04_Master Karyawan'!$A$5:$F$50,2,FALSE),"")</f>
        <v/>
      </c>
      <c r="F277" s="24"/>
      <c r="G277" s="26" t="str">
        <f>IFERROR(VLOOKUP(F277,'05_Master KPI'!$B$5:$G$100,2,FALSE)&amp;" ("&amp;VLOOKUP(F277,'05_Master KPI'!$B$5:$G$100,3,FALSE)&amp;")","")</f>
        <v/>
      </c>
      <c r="H277" s="26">
        <f>IFERROR(IF(B277&lt;&gt;'06_Target KPI'!$B$3,0,IF(VLOOKUP(F277,'05_Master KPI'!$B$5:$G$100,6,FALSE)="Kumulatif",INDEX('06_Target KPI'!$E$5:$P$100,MATCH(F277,'06_Target KPI'!$B$5:$B$100,0),MATCH(A277,'06_Target KPI'!$E$4:$P$4,0))*DAY(C277)/DAY(EOMONTH(C277,0)),INDEX('06_Target KPI'!$E$5:$P$100,MATCH(F277,'06_Target KPI'!$B$5:$B$100,0),MATCH(A277,'06_Target KPI'!$E$4:$P$4,0)))),0)</f>
        <v>0</v>
      </c>
      <c r="I277" s="24"/>
      <c r="J277" s="27">
        <f>IFERROR(MIN(IF(VLOOKUP(F277,'05_Master KPI'!$B$5:$G$100,5,FALSE)="Lower",H277/I277,I277/H277),1),0)</f>
        <v>0</v>
      </c>
      <c r="K277" s="26">
        <f>IFERROR(VLOOKUP(F277,'05_Master KPI'!$B$5:$G$100,4,FALSE),0)</f>
        <v>0</v>
      </c>
      <c r="L277" s="28">
        <f t="shared" si="4"/>
        <v>0</v>
      </c>
      <c r="M277" s="26" t="str">
        <f>IF(D277="","",IF(J277&gt;='13_Setting'!$H$7,"Tercapai",IF(J277&gt;='13_Setting'!$H$6,"On Track","Tertinggal")))</f>
        <v/>
      </c>
      <c r="N277" s="24"/>
    </row>
    <row r="278" spans="1:14">
      <c r="A278" s="24"/>
      <c r="B278" s="24"/>
      <c r="C278" s="25"/>
      <c r="D278" s="24"/>
      <c r="E278" s="26" t="str">
        <f>IFERROR(VLOOKUP(D278,'04_Master Karyawan'!$A$5:$F$50,2,FALSE),"")</f>
        <v/>
      </c>
      <c r="F278" s="24"/>
      <c r="G278" s="26" t="str">
        <f>IFERROR(VLOOKUP(F278,'05_Master KPI'!$B$5:$G$100,2,FALSE)&amp;" ("&amp;VLOOKUP(F278,'05_Master KPI'!$B$5:$G$100,3,FALSE)&amp;")","")</f>
        <v/>
      </c>
      <c r="H278" s="26">
        <f>IFERROR(IF(B278&lt;&gt;'06_Target KPI'!$B$3,0,IF(VLOOKUP(F278,'05_Master KPI'!$B$5:$G$100,6,FALSE)="Kumulatif",INDEX('06_Target KPI'!$E$5:$P$100,MATCH(F278,'06_Target KPI'!$B$5:$B$100,0),MATCH(A278,'06_Target KPI'!$E$4:$P$4,0))*DAY(C278)/DAY(EOMONTH(C278,0)),INDEX('06_Target KPI'!$E$5:$P$100,MATCH(F278,'06_Target KPI'!$B$5:$B$100,0),MATCH(A278,'06_Target KPI'!$E$4:$P$4,0)))),0)</f>
        <v>0</v>
      </c>
      <c r="I278" s="24"/>
      <c r="J278" s="27">
        <f>IFERROR(MIN(IF(VLOOKUP(F278,'05_Master KPI'!$B$5:$G$100,5,FALSE)="Lower",H278/I278,I278/H278),1),0)</f>
        <v>0</v>
      </c>
      <c r="K278" s="26">
        <f>IFERROR(VLOOKUP(F278,'05_Master KPI'!$B$5:$G$100,4,FALSE),0)</f>
        <v>0</v>
      </c>
      <c r="L278" s="28">
        <f t="shared" si="4"/>
        <v>0</v>
      </c>
      <c r="M278" s="26" t="str">
        <f>IF(D278="","",IF(J278&gt;='13_Setting'!$H$7,"Tercapai",IF(J278&gt;='13_Setting'!$H$6,"On Track","Tertinggal")))</f>
        <v/>
      </c>
      <c r="N278" s="24"/>
    </row>
    <row r="279" spans="1:14">
      <c r="A279" s="24"/>
      <c r="B279" s="24"/>
      <c r="C279" s="25"/>
      <c r="D279" s="24"/>
      <c r="E279" s="26" t="str">
        <f>IFERROR(VLOOKUP(D279,'04_Master Karyawan'!$A$5:$F$50,2,FALSE),"")</f>
        <v/>
      </c>
      <c r="F279" s="24"/>
      <c r="G279" s="26" t="str">
        <f>IFERROR(VLOOKUP(F279,'05_Master KPI'!$B$5:$G$100,2,FALSE)&amp;" ("&amp;VLOOKUP(F279,'05_Master KPI'!$B$5:$G$100,3,FALSE)&amp;")","")</f>
        <v/>
      </c>
      <c r="H279" s="26">
        <f>IFERROR(IF(B279&lt;&gt;'06_Target KPI'!$B$3,0,IF(VLOOKUP(F279,'05_Master KPI'!$B$5:$G$100,6,FALSE)="Kumulatif",INDEX('06_Target KPI'!$E$5:$P$100,MATCH(F279,'06_Target KPI'!$B$5:$B$100,0),MATCH(A279,'06_Target KPI'!$E$4:$P$4,0))*DAY(C279)/DAY(EOMONTH(C279,0)),INDEX('06_Target KPI'!$E$5:$P$100,MATCH(F279,'06_Target KPI'!$B$5:$B$100,0),MATCH(A279,'06_Target KPI'!$E$4:$P$4,0)))),0)</f>
        <v>0</v>
      </c>
      <c r="I279" s="24"/>
      <c r="J279" s="27">
        <f>IFERROR(MIN(IF(VLOOKUP(F279,'05_Master KPI'!$B$5:$G$100,5,FALSE)="Lower",H279/I279,I279/H279),1),0)</f>
        <v>0</v>
      </c>
      <c r="K279" s="26">
        <f>IFERROR(VLOOKUP(F279,'05_Master KPI'!$B$5:$G$100,4,FALSE),0)</f>
        <v>0</v>
      </c>
      <c r="L279" s="28">
        <f t="shared" si="4"/>
        <v>0</v>
      </c>
      <c r="M279" s="26" t="str">
        <f>IF(D279="","",IF(J279&gt;='13_Setting'!$H$7,"Tercapai",IF(J279&gt;='13_Setting'!$H$6,"On Track","Tertinggal")))</f>
        <v/>
      </c>
      <c r="N279" s="24"/>
    </row>
    <row r="280" spans="1:14">
      <c r="A280" s="24"/>
      <c r="B280" s="24"/>
      <c r="C280" s="25"/>
      <c r="D280" s="24"/>
      <c r="E280" s="26" t="str">
        <f>IFERROR(VLOOKUP(D280,'04_Master Karyawan'!$A$5:$F$50,2,FALSE),"")</f>
        <v/>
      </c>
      <c r="F280" s="24"/>
      <c r="G280" s="26" t="str">
        <f>IFERROR(VLOOKUP(F280,'05_Master KPI'!$B$5:$G$100,2,FALSE)&amp;" ("&amp;VLOOKUP(F280,'05_Master KPI'!$B$5:$G$100,3,FALSE)&amp;")","")</f>
        <v/>
      </c>
      <c r="H280" s="26">
        <f>IFERROR(IF(B280&lt;&gt;'06_Target KPI'!$B$3,0,IF(VLOOKUP(F280,'05_Master KPI'!$B$5:$G$100,6,FALSE)="Kumulatif",INDEX('06_Target KPI'!$E$5:$P$100,MATCH(F280,'06_Target KPI'!$B$5:$B$100,0),MATCH(A280,'06_Target KPI'!$E$4:$P$4,0))*DAY(C280)/DAY(EOMONTH(C280,0)),INDEX('06_Target KPI'!$E$5:$P$100,MATCH(F280,'06_Target KPI'!$B$5:$B$100,0),MATCH(A280,'06_Target KPI'!$E$4:$P$4,0)))),0)</f>
        <v>0</v>
      </c>
      <c r="I280" s="24"/>
      <c r="J280" s="27">
        <f>IFERROR(MIN(IF(VLOOKUP(F280,'05_Master KPI'!$B$5:$G$100,5,FALSE)="Lower",H280/I280,I280/H280),1),0)</f>
        <v>0</v>
      </c>
      <c r="K280" s="26">
        <f>IFERROR(VLOOKUP(F280,'05_Master KPI'!$B$5:$G$100,4,FALSE),0)</f>
        <v>0</v>
      </c>
      <c r="L280" s="28">
        <f t="shared" si="4"/>
        <v>0</v>
      </c>
      <c r="M280" s="26" t="str">
        <f>IF(D280="","",IF(J280&gt;='13_Setting'!$H$7,"Tercapai",IF(J280&gt;='13_Setting'!$H$6,"On Track","Tertinggal")))</f>
        <v/>
      </c>
      <c r="N280" s="24"/>
    </row>
    <row r="281" spans="1:14">
      <c r="A281" s="24"/>
      <c r="B281" s="24"/>
      <c r="C281" s="25"/>
      <c r="D281" s="24"/>
      <c r="E281" s="26" t="str">
        <f>IFERROR(VLOOKUP(D281,'04_Master Karyawan'!$A$5:$F$50,2,FALSE),"")</f>
        <v/>
      </c>
      <c r="F281" s="24"/>
      <c r="G281" s="26" t="str">
        <f>IFERROR(VLOOKUP(F281,'05_Master KPI'!$B$5:$G$100,2,FALSE)&amp;" ("&amp;VLOOKUP(F281,'05_Master KPI'!$B$5:$G$100,3,FALSE)&amp;")","")</f>
        <v/>
      </c>
      <c r="H281" s="26">
        <f>IFERROR(IF(B281&lt;&gt;'06_Target KPI'!$B$3,0,IF(VLOOKUP(F281,'05_Master KPI'!$B$5:$G$100,6,FALSE)="Kumulatif",INDEX('06_Target KPI'!$E$5:$P$100,MATCH(F281,'06_Target KPI'!$B$5:$B$100,0),MATCH(A281,'06_Target KPI'!$E$4:$P$4,0))*DAY(C281)/DAY(EOMONTH(C281,0)),INDEX('06_Target KPI'!$E$5:$P$100,MATCH(F281,'06_Target KPI'!$B$5:$B$100,0),MATCH(A281,'06_Target KPI'!$E$4:$P$4,0)))),0)</f>
        <v>0</v>
      </c>
      <c r="I281" s="24"/>
      <c r="J281" s="27">
        <f>IFERROR(MIN(IF(VLOOKUP(F281,'05_Master KPI'!$B$5:$G$100,5,FALSE)="Lower",H281/I281,I281/H281),1),0)</f>
        <v>0</v>
      </c>
      <c r="K281" s="26">
        <f>IFERROR(VLOOKUP(F281,'05_Master KPI'!$B$5:$G$100,4,FALSE),0)</f>
        <v>0</v>
      </c>
      <c r="L281" s="28">
        <f t="shared" si="4"/>
        <v>0</v>
      </c>
      <c r="M281" s="26" t="str">
        <f>IF(D281="","",IF(J281&gt;='13_Setting'!$H$7,"Tercapai",IF(J281&gt;='13_Setting'!$H$6,"On Track","Tertinggal")))</f>
        <v/>
      </c>
      <c r="N281" s="24"/>
    </row>
    <row r="282" spans="1:14">
      <c r="A282" s="24"/>
      <c r="B282" s="24"/>
      <c r="C282" s="25"/>
      <c r="D282" s="24"/>
      <c r="E282" s="26" t="str">
        <f>IFERROR(VLOOKUP(D282,'04_Master Karyawan'!$A$5:$F$50,2,FALSE),"")</f>
        <v/>
      </c>
      <c r="F282" s="24"/>
      <c r="G282" s="26" t="str">
        <f>IFERROR(VLOOKUP(F282,'05_Master KPI'!$B$5:$G$100,2,FALSE)&amp;" ("&amp;VLOOKUP(F282,'05_Master KPI'!$B$5:$G$100,3,FALSE)&amp;")","")</f>
        <v/>
      </c>
      <c r="H282" s="26">
        <f>IFERROR(IF(B282&lt;&gt;'06_Target KPI'!$B$3,0,IF(VLOOKUP(F282,'05_Master KPI'!$B$5:$G$100,6,FALSE)="Kumulatif",INDEX('06_Target KPI'!$E$5:$P$100,MATCH(F282,'06_Target KPI'!$B$5:$B$100,0),MATCH(A282,'06_Target KPI'!$E$4:$P$4,0))*DAY(C282)/DAY(EOMONTH(C282,0)),INDEX('06_Target KPI'!$E$5:$P$100,MATCH(F282,'06_Target KPI'!$B$5:$B$100,0),MATCH(A282,'06_Target KPI'!$E$4:$P$4,0)))),0)</f>
        <v>0</v>
      </c>
      <c r="I282" s="24"/>
      <c r="J282" s="27">
        <f>IFERROR(MIN(IF(VLOOKUP(F282,'05_Master KPI'!$B$5:$G$100,5,FALSE)="Lower",H282/I282,I282/H282),1),0)</f>
        <v>0</v>
      </c>
      <c r="K282" s="26">
        <f>IFERROR(VLOOKUP(F282,'05_Master KPI'!$B$5:$G$100,4,FALSE),0)</f>
        <v>0</v>
      </c>
      <c r="L282" s="28">
        <f t="shared" si="4"/>
        <v>0</v>
      </c>
      <c r="M282" s="26" t="str">
        <f>IF(D282="","",IF(J282&gt;='13_Setting'!$H$7,"Tercapai",IF(J282&gt;='13_Setting'!$H$6,"On Track","Tertinggal")))</f>
        <v/>
      </c>
      <c r="N282" s="24"/>
    </row>
    <row r="283" spans="1:14">
      <c r="A283" s="24"/>
      <c r="B283" s="24"/>
      <c r="C283" s="25"/>
      <c r="D283" s="24"/>
      <c r="E283" s="26" t="str">
        <f>IFERROR(VLOOKUP(D283,'04_Master Karyawan'!$A$5:$F$50,2,FALSE),"")</f>
        <v/>
      </c>
      <c r="F283" s="24"/>
      <c r="G283" s="26" t="str">
        <f>IFERROR(VLOOKUP(F283,'05_Master KPI'!$B$5:$G$100,2,FALSE)&amp;" ("&amp;VLOOKUP(F283,'05_Master KPI'!$B$5:$G$100,3,FALSE)&amp;")","")</f>
        <v/>
      </c>
      <c r="H283" s="26">
        <f>IFERROR(IF(B283&lt;&gt;'06_Target KPI'!$B$3,0,IF(VLOOKUP(F283,'05_Master KPI'!$B$5:$G$100,6,FALSE)="Kumulatif",INDEX('06_Target KPI'!$E$5:$P$100,MATCH(F283,'06_Target KPI'!$B$5:$B$100,0),MATCH(A283,'06_Target KPI'!$E$4:$P$4,0))*DAY(C283)/DAY(EOMONTH(C283,0)),INDEX('06_Target KPI'!$E$5:$P$100,MATCH(F283,'06_Target KPI'!$B$5:$B$100,0),MATCH(A283,'06_Target KPI'!$E$4:$P$4,0)))),0)</f>
        <v>0</v>
      </c>
      <c r="I283" s="24"/>
      <c r="J283" s="27">
        <f>IFERROR(MIN(IF(VLOOKUP(F283,'05_Master KPI'!$B$5:$G$100,5,FALSE)="Lower",H283/I283,I283/H283),1),0)</f>
        <v>0</v>
      </c>
      <c r="K283" s="26">
        <f>IFERROR(VLOOKUP(F283,'05_Master KPI'!$B$5:$G$100,4,FALSE),0)</f>
        <v>0</v>
      </c>
      <c r="L283" s="28">
        <f t="shared" si="4"/>
        <v>0</v>
      </c>
      <c r="M283" s="26" t="str">
        <f>IF(D283="","",IF(J283&gt;='13_Setting'!$H$7,"Tercapai",IF(J283&gt;='13_Setting'!$H$6,"On Track","Tertinggal")))</f>
        <v/>
      </c>
      <c r="N283" s="24"/>
    </row>
    <row r="284" spans="1:14">
      <c r="A284" s="24"/>
      <c r="B284" s="24"/>
      <c r="C284" s="25"/>
      <c r="D284" s="24"/>
      <c r="E284" s="26" t="str">
        <f>IFERROR(VLOOKUP(D284,'04_Master Karyawan'!$A$5:$F$50,2,FALSE),"")</f>
        <v/>
      </c>
      <c r="F284" s="24"/>
      <c r="G284" s="26" t="str">
        <f>IFERROR(VLOOKUP(F284,'05_Master KPI'!$B$5:$G$100,2,FALSE)&amp;" ("&amp;VLOOKUP(F284,'05_Master KPI'!$B$5:$G$100,3,FALSE)&amp;")","")</f>
        <v/>
      </c>
      <c r="H284" s="26">
        <f>IFERROR(IF(B284&lt;&gt;'06_Target KPI'!$B$3,0,IF(VLOOKUP(F284,'05_Master KPI'!$B$5:$G$100,6,FALSE)="Kumulatif",INDEX('06_Target KPI'!$E$5:$P$100,MATCH(F284,'06_Target KPI'!$B$5:$B$100,0),MATCH(A284,'06_Target KPI'!$E$4:$P$4,0))*DAY(C284)/DAY(EOMONTH(C284,0)),INDEX('06_Target KPI'!$E$5:$P$100,MATCH(F284,'06_Target KPI'!$B$5:$B$100,0),MATCH(A284,'06_Target KPI'!$E$4:$P$4,0)))),0)</f>
        <v>0</v>
      </c>
      <c r="I284" s="24"/>
      <c r="J284" s="27">
        <f>IFERROR(MIN(IF(VLOOKUP(F284,'05_Master KPI'!$B$5:$G$100,5,FALSE)="Lower",H284/I284,I284/H284),1),0)</f>
        <v>0</v>
      </c>
      <c r="K284" s="26">
        <f>IFERROR(VLOOKUP(F284,'05_Master KPI'!$B$5:$G$100,4,FALSE),0)</f>
        <v>0</v>
      </c>
      <c r="L284" s="28">
        <f t="shared" si="4"/>
        <v>0</v>
      </c>
      <c r="M284" s="26" t="str">
        <f>IF(D284="","",IF(J284&gt;='13_Setting'!$H$7,"Tercapai",IF(J284&gt;='13_Setting'!$H$6,"On Track","Tertinggal")))</f>
        <v/>
      </c>
      <c r="N284" s="24"/>
    </row>
    <row r="285" spans="1:14">
      <c r="A285" s="24"/>
      <c r="B285" s="24"/>
      <c r="C285" s="25"/>
      <c r="D285" s="24"/>
      <c r="E285" s="26" t="str">
        <f>IFERROR(VLOOKUP(D285,'04_Master Karyawan'!$A$5:$F$50,2,FALSE),"")</f>
        <v/>
      </c>
      <c r="F285" s="24"/>
      <c r="G285" s="26" t="str">
        <f>IFERROR(VLOOKUP(F285,'05_Master KPI'!$B$5:$G$100,2,FALSE)&amp;" ("&amp;VLOOKUP(F285,'05_Master KPI'!$B$5:$G$100,3,FALSE)&amp;")","")</f>
        <v/>
      </c>
      <c r="H285" s="26">
        <f>IFERROR(IF(B285&lt;&gt;'06_Target KPI'!$B$3,0,IF(VLOOKUP(F285,'05_Master KPI'!$B$5:$G$100,6,FALSE)="Kumulatif",INDEX('06_Target KPI'!$E$5:$P$100,MATCH(F285,'06_Target KPI'!$B$5:$B$100,0),MATCH(A285,'06_Target KPI'!$E$4:$P$4,0))*DAY(C285)/DAY(EOMONTH(C285,0)),INDEX('06_Target KPI'!$E$5:$P$100,MATCH(F285,'06_Target KPI'!$B$5:$B$100,0),MATCH(A285,'06_Target KPI'!$E$4:$P$4,0)))),0)</f>
        <v>0</v>
      </c>
      <c r="I285" s="24"/>
      <c r="J285" s="27">
        <f>IFERROR(MIN(IF(VLOOKUP(F285,'05_Master KPI'!$B$5:$G$100,5,FALSE)="Lower",H285/I285,I285/H285),1),0)</f>
        <v>0</v>
      </c>
      <c r="K285" s="26">
        <f>IFERROR(VLOOKUP(F285,'05_Master KPI'!$B$5:$G$100,4,FALSE),0)</f>
        <v>0</v>
      </c>
      <c r="L285" s="28">
        <f t="shared" si="4"/>
        <v>0</v>
      </c>
      <c r="M285" s="26" t="str">
        <f>IF(D285="","",IF(J285&gt;='13_Setting'!$H$7,"Tercapai",IF(J285&gt;='13_Setting'!$H$6,"On Track","Tertinggal")))</f>
        <v/>
      </c>
      <c r="N285" s="24"/>
    </row>
    <row r="286" spans="1:14">
      <c r="A286" s="24"/>
      <c r="B286" s="24"/>
      <c r="C286" s="25"/>
      <c r="D286" s="24"/>
      <c r="E286" s="26" t="str">
        <f>IFERROR(VLOOKUP(D286,'04_Master Karyawan'!$A$5:$F$50,2,FALSE),"")</f>
        <v/>
      </c>
      <c r="F286" s="24"/>
      <c r="G286" s="26" t="str">
        <f>IFERROR(VLOOKUP(F286,'05_Master KPI'!$B$5:$G$100,2,FALSE)&amp;" ("&amp;VLOOKUP(F286,'05_Master KPI'!$B$5:$G$100,3,FALSE)&amp;")","")</f>
        <v/>
      </c>
      <c r="H286" s="26">
        <f>IFERROR(IF(B286&lt;&gt;'06_Target KPI'!$B$3,0,IF(VLOOKUP(F286,'05_Master KPI'!$B$5:$G$100,6,FALSE)="Kumulatif",INDEX('06_Target KPI'!$E$5:$P$100,MATCH(F286,'06_Target KPI'!$B$5:$B$100,0),MATCH(A286,'06_Target KPI'!$E$4:$P$4,0))*DAY(C286)/DAY(EOMONTH(C286,0)),INDEX('06_Target KPI'!$E$5:$P$100,MATCH(F286,'06_Target KPI'!$B$5:$B$100,0),MATCH(A286,'06_Target KPI'!$E$4:$P$4,0)))),0)</f>
        <v>0</v>
      </c>
      <c r="I286" s="24"/>
      <c r="J286" s="27">
        <f>IFERROR(MIN(IF(VLOOKUP(F286,'05_Master KPI'!$B$5:$G$100,5,FALSE)="Lower",H286/I286,I286/H286),1),0)</f>
        <v>0</v>
      </c>
      <c r="K286" s="26">
        <f>IFERROR(VLOOKUP(F286,'05_Master KPI'!$B$5:$G$100,4,FALSE),0)</f>
        <v>0</v>
      </c>
      <c r="L286" s="28">
        <f t="shared" si="4"/>
        <v>0</v>
      </c>
      <c r="M286" s="26" t="str">
        <f>IF(D286="","",IF(J286&gt;='13_Setting'!$H$7,"Tercapai",IF(J286&gt;='13_Setting'!$H$6,"On Track","Tertinggal")))</f>
        <v/>
      </c>
      <c r="N286" s="24"/>
    </row>
    <row r="287" spans="1:14">
      <c r="A287" s="24"/>
      <c r="B287" s="24"/>
      <c r="C287" s="25"/>
      <c r="D287" s="24"/>
      <c r="E287" s="26" t="str">
        <f>IFERROR(VLOOKUP(D287,'04_Master Karyawan'!$A$5:$F$50,2,FALSE),"")</f>
        <v/>
      </c>
      <c r="F287" s="24"/>
      <c r="G287" s="26" t="str">
        <f>IFERROR(VLOOKUP(F287,'05_Master KPI'!$B$5:$G$100,2,FALSE)&amp;" ("&amp;VLOOKUP(F287,'05_Master KPI'!$B$5:$G$100,3,FALSE)&amp;")","")</f>
        <v/>
      </c>
      <c r="H287" s="26">
        <f>IFERROR(IF(B287&lt;&gt;'06_Target KPI'!$B$3,0,IF(VLOOKUP(F287,'05_Master KPI'!$B$5:$G$100,6,FALSE)="Kumulatif",INDEX('06_Target KPI'!$E$5:$P$100,MATCH(F287,'06_Target KPI'!$B$5:$B$100,0),MATCH(A287,'06_Target KPI'!$E$4:$P$4,0))*DAY(C287)/DAY(EOMONTH(C287,0)),INDEX('06_Target KPI'!$E$5:$P$100,MATCH(F287,'06_Target KPI'!$B$5:$B$100,0),MATCH(A287,'06_Target KPI'!$E$4:$P$4,0)))),0)</f>
        <v>0</v>
      </c>
      <c r="I287" s="24"/>
      <c r="J287" s="27">
        <f>IFERROR(MIN(IF(VLOOKUP(F287,'05_Master KPI'!$B$5:$G$100,5,FALSE)="Lower",H287/I287,I287/H287),1),0)</f>
        <v>0</v>
      </c>
      <c r="K287" s="26">
        <f>IFERROR(VLOOKUP(F287,'05_Master KPI'!$B$5:$G$100,4,FALSE),0)</f>
        <v>0</v>
      </c>
      <c r="L287" s="28">
        <f t="shared" si="4"/>
        <v>0</v>
      </c>
      <c r="M287" s="26" t="str">
        <f>IF(D287="","",IF(J287&gt;='13_Setting'!$H$7,"Tercapai",IF(J287&gt;='13_Setting'!$H$6,"On Track","Tertinggal")))</f>
        <v/>
      </c>
      <c r="N287" s="24"/>
    </row>
    <row r="288" spans="1:14">
      <c r="A288" s="24"/>
      <c r="B288" s="24"/>
      <c r="C288" s="25"/>
      <c r="D288" s="24"/>
      <c r="E288" s="26" t="str">
        <f>IFERROR(VLOOKUP(D288,'04_Master Karyawan'!$A$5:$F$50,2,FALSE),"")</f>
        <v/>
      </c>
      <c r="F288" s="24"/>
      <c r="G288" s="26" t="str">
        <f>IFERROR(VLOOKUP(F288,'05_Master KPI'!$B$5:$G$100,2,FALSE)&amp;" ("&amp;VLOOKUP(F288,'05_Master KPI'!$B$5:$G$100,3,FALSE)&amp;")","")</f>
        <v/>
      </c>
      <c r="H288" s="26">
        <f>IFERROR(IF(B288&lt;&gt;'06_Target KPI'!$B$3,0,IF(VLOOKUP(F288,'05_Master KPI'!$B$5:$G$100,6,FALSE)="Kumulatif",INDEX('06_Target KPI'!$E$5:$P$100,MATCH(F288,'06_Target KPI'!$B$5:$B$100,0),MATCH(A288,'06_Target KPI'!$E$4:$P$4,0))*DAY(C288)/DAY(EOMONTH(C288,0)),INDEX('06_Target KPI'!$E$5:$P$100,MATCH(F288,'06_Target KPI'!$B$5:$B$100,0),MATCH(A288,'06_Target KPI'!$E$4:$P$4,0)))),0)</f>
        <v>0</v>
      </c>
      <c r="I288" s="24"/>
      <c r="J288" s="27">
        <f>IFERROR(MIN(IF(VLOOKUP(F288,'05_Master KPI'!$B$5:$G$100,5,FALSE)="Lower",H288/I288,I288/H288),1),0)</f>
        <v>0</v>
      </c>
      <c r="K288" s="26">
        <f>IFERROR(VLOOKUP(F288,'05_Master KPI'!$B$5:$G$100,4,FALSE),0)</f>
        <v>0</v>
      </c>
      <c r="L288" s="28">
        <f t="shared" si="4"/>
        <v>0</v>
      </c>
      <c r="M288" s="26" t="str">
        <f>IF(D288="","",IF(J288&gt;='13_Setting'!$H$7,"Tercapai",IF(J288&gt;='13_Setting'!$H$6,"On Track","Tertinggal")))</f>
        <v/>
      </c>
      <c r="N288" s="24"/>
    </row>
    <row r="289" spans="1:14">
      <c r="A289" s="24"/>
      <c r="B289" s="24"/>
      <c r="C289" s="25"/>
      <c r="D289" s="24"/>
      <c r="E289" s="26" t="str">
        <f>IFERROR(VLOOKUP(D289,'04_Master Karyawan'!$A$5:$F$50,2,FALSE),"")</f>
        <v/>
      </c>
      <c r="F289" s="24"/>
      <c r="G289" s="26" t="str">
        <f>IFERROR(VLOOKUP(F289,'05_Master KPI'!$B$5:$G$100,2,FALSE)&amp;" ("&amp;VLOOKUP(F289,'05_Master KPI'!$B$5:$G$100,3,FALSE)&amp;")","")</f>
        <v/>
      </c>
      <c r="H289" s="26">
        <f>IFERROR(IF(B289&lt;&gt;'06_Target KPI'!$B$3,0,IF(VLOOKUP(F289,'05_Master KPI'!$B$5:$G$100,6,FALSE)="Kumulatif",INDEX('06_Target KPI'!$E$5:$P$100,MATCH(F289,'06_Target KPI'!$B$5:$B$100,0),MATCH(A289,'06_Target KPI'!$E$4:$P$4,0))*DAY(C289)/DAY(EOMONTH(C289,0)),INDEX('06_Target KPI'!$E$5:$P$100,MATCH(F289,'06_Target KPI'!$B$5:$B$100,0),MATCH(A289,'06_Target KPI'!$E$4:$P$4,0)))),0)</f>
        <v>0</v>
      </c>
      <c r="I289" s="24"/>
      <c r="J289" s="27">
        <f>IFERROR(MIN(IF(VLOOKUP(F289,'05_Master KPI'!$B$5:$G$100,5,FALSE)="Lower",H289/I289,I289/H289),1),0)</f>
        <v>0</v>
      </c>
      <c r="K289" s="26">
        <f>IFERROR(VLOOKUP(F289,'05_Master KPI'!$B$5:$G$100,4,FALSE),0)</f>
        <v>0</v>
      </c>
      <c r="L289" s="28">
        <f t="shared" si="4"/>
        <v>0</v>
      </c>
      <c r="M289" s="26" t="str">
        <f>IF(D289="","",IF(J289&gt;='13_Setting'!$H$7,"Tercapai",IF(J289&gt;='13_Setting'!$H$6,"On Track","Tertinggal")))</f>
        <v/>
      </c>
      <c r="N289" s="24"/>
    </row>
    <row r="290" spans="1:14">
      <c r="A290" s="24"/>
      <c r="B290" s="24"/>
      <c r="C290" s="25"/>
      <c r="D290" s="24"/>
      <c r="E290" s="26" t="str">
        <f>IFERROR(VLOOKUP(D290,'04_Master Karyawan'!$A$5:$F$50,2,FALSE),"")</f>
        <v/>
      </c>
      <c r="F290" s="24"/>
      <c r="G290" s="26" t="str">
        <f>IFERROR(VLOOKUP(F290,'05_Master KPI'!$B$5:$G$100,2,FALSE)&amp;" ("&amp;VLOOKUP(F290,'05_Master KPI'!$B$5:$G$100,3,FALSE)&amp;")","")</f>
        <v/>
      </c>
      <c r="H290" s="26">
        <f>IFERROR(IF(B290&lt;&gt;'06_Target KPI'!$B$3,0,IF(VLOOKUP(F290,'05_Master KPI'!$B$5:$G$100,6,FALSE)="Kumulatif",INDEX('06_Target KPI'!$E$5:$P$100,MATCH(F290,'06_Target KPI'!$B$5:$B$100,0),MATCH(A290,'06_Target KPI'!$E$4:$P$4,0))*DAY(C290)/DAY(EOMONTH(C290,0)),INDEX('06_Target KPI'!$E$5:$P$100,MATCH(F290,'06_Target KPI'!$B$5:$B$100,0),MATCH(A290,'06_Target KPI'!$E$4:$P$4,0)))),0)</f>
        <v>0</v>
      </c>
      <c r="I290" s="24"/>
      <c r="J290" s="27">
        <f>IFERROR(MIN(IF(VLOOKUP(F290,'05_Master KPI'!$B$5:$G$100,5,FALSE)="Lower",H290/I290,I290/H290),1),0)</f>
        <v>0</v>
      </c>
      <c r="K290" s="26">
        <f>IFERROR(VLOOKUP(F290,'05_Master KPI'!$B$5:$G$100,4,FALSE),0)</f>
        <v>0</v>
      </c>
      <c r="L290" s="28">
        <f t="shared" si="4"/>
        <v>0</v>
      </c>
      <c r="M290" s="26" t="str">
        <f>IF(D290="","",IF(J290&gt;='13_Setting'!$H$7,"Tercapai",IF(J290&gt;='13_Setting'!$H$6,"On Track","Tertinggal")))</f>
        <v/>
      </c>
      <c r="N290" s="24"/>
    </row>
    <row r="291" spans="1:14">
      <c r="A291" s="24"/>
      <c r="B291" s="24"/>
      <c r="C291" s="25"/>
      <c r="D291" s="24"/>
      <c r="E291" s="26" t="str">
        <f>IFERROR(VLOOKUP(D291,'04_Master Karyawan'!$A$5:$F$50,2,FALSE),"")</f>
        <v/>
      </c>
      <c r="F291" s="24"/>
      <c r="G291" s="26" t="str">
        <f>IFERROR(VLOOKUP(F291,'05_Master KPI'!$B$5:$G$100,2,FALSE)&amp;" ("&amp;VLOOKUP(F291,'05_Master KPI'!$B$5:$G$100,3,FALSE)&amp;")","")</f>
        <v/>
      </c>
      <c r="H291" s="26">
        <f>IFERROR(IF(B291&lt;&gt;'06_Target KPI'!$B$3,0,IF(VLOOKUP(F291,'05_Master KPI'!$B$5:$G$100,6,FALSE)="Kumulatif",INDEX('06_Target KPI'!$E$5:$P$100,MATCH(F291,'06_Target KPI'!$B$5:$B$100,0),MATCH(A291,'06_Target KPI'!$E$4:$P$4,0))*DAY(C291)/DAY(EOMONTH(C291,0)),INDEX('06_Target KPI'!$E$5:$P$100,MATCH(F291,'06_Target KPI'!$B$5:$B$100,0),MATCH(A291,'06_Target KPI'!$E$4:$P$4,0)))),0)</f>
        <v>0</v>
      </c>
      <c r="I291" s="24"/>
      <c r="J291" s="27">
        <f>IFERROR(MIN(IF(VLOOKUP(F291,'05_Master KPI'!$B$5:$G$100,5,FALSE)="Lower",H291/I291,I291/H291),1),0)</f>
        <v>0</v>
      </c>
      <c r="K291" s="26">
        <f>IFERROR(VLOOKUP(F291,'05_Master KPI'!$B$5:$G$100,4,FALSE),0)</f>
        <v>0</v>
      </c>
      <c r="L291" s="28">
        <f t="shared" si="4"/>
        <v>0</v>
      </c>
      <c r="M291" s="26" t="str">
        <f>IF(D291="","",IF(J291&gt;='13_Setting'!$H$7,"Tercapai",IF(J291&gt;='13_Setting'!$H$6,"On Track","Tertinggal")))</f>
        <v/>
      </c>
      <c r="N291" s="24"/>
    </row>
    <row r="292" spans="1:14">
      <c r="A292" s="24"/>
      <c r="B292" s="24"/>
      <c r="C292" s="25"/>
      <c r="D292" s="24"/>
      <c r="E292" s="26" t="str">
        <f>IFERROR(VLOOKUP(D292,'04_Master Karyawan'!$A$5:$F$50,2,FALSE),"")</f>
        <v/>
      </c>
      <c r="F292" s="24"/>
      <c r="G292" s="26" t="str">
        <f>IFERROR(VLOOKUP(F292,'05_Master KPI'!$B$5:$G$100,2,FALSE)&amp;" ("&amp;VLOOKUP(F292,'05_Master KPI'!$B$5:$G$100,3,FALSE)&amp;")","")</f>
        <v/>
      </c>
      <c r="H292" s="26">
        <f>IFERROR(IF(B292&lt;&gt;'06_Target KPI'!$B$3,0,IF(VLOOKUP(F292,'05_Master KPI'!$B$5:$G$100,6,FALSE)="Kumulatif",INDEX('06_Target KPI'!$E$5:$P$100,MATCH(F292,'06_Target KPI'!$B$5:$B$100,0),MATCH(A292,'06_Target KPI'!$E$4:$P$4,0))*DAY(C292)/DAY(EOMONTH(C292,0)),INDEX('06_Target KPI'!$E$5:$P$100,MATCH(F292,'06_Target KPI'!$B$5:$B$100,0),MATCH(A292,'06_Target KPI'!$E$4:$P$4,0)))),0)</f>
        <v>0</v>
      </c>
      <c r="I292" s="24"/>
      <c r="J292" s="27">
        <f>IFERROR(MIN(IF(VLOOKUP(F292,'05_Master KPI'!$B$5:$G$100,5,FALSE)="Lower",H292/I292,I292/H292),1),0)</f>
        <v>0</v>
      </c>
      <c r="K292" s="26">
        <f>IFERROR(VLOOKUP(F292,'05_Master KPI'!$B$5:$G$100,4,FALSE),0)</f>
        <v>0</v>
      </c>
      <c r="L292" s="28">
        <f t="shared" si="4"/>
        <v>0</v>
      </c>
      <c r="M292" s="26" t="str">
        <f>IF(D292="","",IF(J292&gt;='13_Setting'!$H$7,"Tercapai",IF(J292&gt;='13_Setting'!$H$6,"On Track","Tertinggal")))</f>
        <v/>
      </c>
      <c r="N292" s="24"/>
    </row>
    <row r="293" spans="1:14">
      <c r="A293" s="24"/>
      <c r="B293" s="24"/>
      <c r="C293" s="25"/>
      <c r="D293" s="24"/>
      <c r="E293" s="26" t="str">
        <f>IFERROR(VLOOKUP(D293,'04_Master Karyawan'!$A$5:$F$50,2,FALSE),"")</f>
        <v/>
      </c>
      <c r="F293" s="24"/>
      <c r="G293" s="26" t="str">
        <f>IFERROR(VLOOKUP(F293,'05_Master KPI'!$B$5:$G$100,2,FALSE)&amp;" ("&amp;VLOOKUP(F293,'05_Master KPI'!$B$5:$G$100,3,FALSE)&amp;")","")</f>
        <v/>
      </c>
      <c r="H293" s="26">
        <f>IFERROR(IF(B293&lt;&gt;'06_Target KPI'!$B$3,0,IF(VLOOKUP(F293,'05_Master KPI'!$B$5:$G$100,6,FALSE)="Kumulatif",INDEX('06_Target KPI'!$E$5:$P$100,MATCH(F293,'06_Target KPI'!$B$5:$B$100,0),MATCH(A293,'06_Target KPI'!$E$4:$P$4,0))*DAY(C293)/DAY(EOMONTH(C293,0)),INDEX('06_Target KPI'!$E$5:$P$100,MATCH(F293,'06_Target KPI'!$B$5:$B$100,0),MATCH(A293,'06_Target KPI'!$E$4:$P$4,0)))),0)</f>
        <v>0</v>
      </c>
      <c r="I293" s="24"/>
      <c r="J293" s="27">
        <f>IFERROR(MIN(IF(VLOOKUP(F293,'05_Master KPI'!$B$5:$G$100,5,FALSE)="Lower",H293/I293,I293/H293),1),0)</f>
        <v>0</v>
      </c>
      <c r="K293" s="26">
        <f>IFERROR(VLOOKUP(F293,'05_Master KPI'!$B$5:$G$100,4,FALSE),0)</f>
        <v>0</v>
      </c>
      <c r="L293" s="28">
        <f t="shared" si="4"/>
        <v>0</v>
      </c>
      <c r="M293" s="26" t="str">
        <f>IF(D293="","",IF(J293&gt;='13_Setting'!$H$7,"Tercapai",IF(J293&gt;='13_Setting'!$H$6,"On Track","Tertinggal")))</f>
        <v/>
      </c>
      <c r="N293" s="24"/>
    </row>
    <row r="294" spans="1:14">
      <c r="A294" s="24"/>
      <c r="B294" s="24"/>
      <c r="C294" s="25"/>
      <c r="D294" s="24"/>
      <c r="E294" s="26" t="str">
        <f>IFERROR(VLOOKUP(D294,'04_Master Karyawan'!$A$5:$F$50,2,FALSE),"")</f>
        <v/>
      </c>
      <c r="F294" s="24"/>
      <c r="G294" s="26" t="str">
        <f>IFERROR(VLOOKUP(F294,'05_Master KPI'!$B$5:$G$100,2,FALSE)&amp;" ("&amp;VLOOKUP(F294,'05_Master KPI'!$B$5:$G$100,3,FALSE)&amp;")","")</f>
        <v/>
      </c>
      <c r="H294" s="26">
        <f>IFERROR(IF(B294&lt;&gt;'06_Target KPI'!$B$3,0,IF(VLOOKUP(F294,'05_Master KPI'!$B$5:$G$100,6,FALSE)="Kumulatif",INDEX('06_Target KPI'!$E$5:$P$100,MATCH(F294,'06_Target KPI'!$B$5:$B$100,0),MATCH(A294,'06_Target KPI'!$E$4:$P$4,0))*DAY(C294)/DAY(EOMONTH(C294,0)),INDEX('06_Target KPI'!$E$5:$P$100,MATCH(F294,'06_Target KPI'!$B$5:$B$100,0),MATCH(A294,'06_Target KPI'!$E$4:$P$4,0)))),0)</f>
        <v>0</v>
      </c>
      <c r="I294" s="24"/>
      <c r="J294" s="27">
        <f>IFERROR(MIN(IF(VLOOKUP(F294,'05_Master KPI'!$B$5:$G$100,5,FALSE)="Lower",H294/I294,I294/H294),1),0)</f>
        <v>0</v>
      </c>
      <c r="K294" s="26">
        <f>IFERROR(VLOOKUP(F294,'05_Master KPI'!$B$5:$G$100,4,FALSE),0)</f>
        <v>0</v>
      </c>
      <c r="L294" s="28">
        <f t="shared" si="4"/>
        <v>0</v>
      </c>
      <c r="M294" s="26" t="str">
        <f>IF(D294="","",IF(J294&gt;='13_Setting'!$H$7,"Tercapai",IF(J294&gt;='13_Setting'!$H$6,"On Track","Tertinggal")))</f>
        <v/>
      </c>
      <c r="N294" s="24"/>
    </row>
    <row r="295" spans="1:14">
      <c r="A295" s="24"/>
      <c r="B295" s="24"/>
      <c r="C295" s="25"/>
      <c r="D295" s="24"/>
      <c r="E295" s="26" t="str">
        <f>IFERROR(VLOOKUP(D295,'04_Master Karyawan'!$A$5:$F$50,2,FALSE),"")</f>
        <v/>
      </c>
      <c r="F295" s="24"/>
      <c r="G295" s="26" t="str">
        <f>IFERROR(VLOOKUP(F295,'05_Master KPI'!$B$5:$G$100,2,FALSE)&amp;" ("&amp;VLOOKUP(F295,'05_Master KPI'!$B$5:$G$100,3,FALSE)&amp;")","")</f>
        <v/>
      </c>
      <c r="H295" s="26">
        <f>IFERROR(IF(B295&lt;&gt;'06_Target KPI'!$B$3,0,IF(VLOOKUP(F295,'05_Master KPI'!$B$5:$G$100,6,FALSE)="Kumulatif",INDEX('06_Target KPI'!$E$5:$P$100,MATCH(F295,'06_Target KPI'!$B$5:$B$100,0),MATCH(A295,'06_Target KPI'!$E$4:$P$4,0))*DAY(C295)/DAY(EOMONTH(C295,0)),INDEX('06_Target KPI'!$E$5:$P$100,MATCH(F295,'06_Target KPI'!$B$5:$B$100,0),MATCH(A295,'06_Target KPI'!$E$4:$P$4,0)))),0)</f>
        <v>0</v>
      </c>
      <c r="I295" s="24"/>
      <c r="J295" s="27">
        <f>IFERROR(MIN(IF(VLOOKUP(F295,'05_Master KPI'!$B$5:$G$100,5,FALSE)="Lower",H295/I295,I295/H295),1),0)</f>
        <v>0</v>
      </c>
      <c r="K295" s="26">
        <f>IFERROR(VLOOKUP(F295,'05_Master KPI'!$B$5:$G$100,4,FALSE),0)</f>
        <v>0</v>
      </c>
      <c r="L295" s="28">
        <f t="shared" si="4"/>
        <v>0</v>
      </c>
      <c r="M295" s="26" t="str">
        <f>IF(D295="","",IF(J295&gt;='13_Setting'!$H$7,"Tercapai",IF(J295&gt;='13_Setting'!$H$6,"On Track","Tertinggal")))</f>
        <v/>
      </c>
      <c r="N295" s="24"/>
    </row>
    <row r="296" spans="1:14">
      <c r="A296" s="24"/>
      <c r="B296" s="24"/>
      <c r="C296" s="25"/>
      <c r="D296" s="24"/>
      <c r="E296" s="26" t="str">
        <f>IFERROR(VLOOKUP(D296,'04_Master Karyawan'!$A$5:$F$50,2,FALSE),"")</f>
        <v/>
      </c>
      <c r="F296" s="24"/>
      <c r="G296" s="26" t="str">
        <f>IFERROR(VLOOKUP(F296,'05_Master KPI'!$B$5:$G$100,2,FALSE)&amp;" ("&amp;VLOOKUP(F296,'05_Master KPI'!$B$5:$G$100,3,FALSE)&amp;")","")</f>
        <v/>
      </c>
      <c r="H296" s="26">
        <f>IFERROR(IF(B296&lt;&gt;'06_Target KPI'!$B$3,0,IF(VLOOKUP(F296,'05_Master KPI'!$B$5:$G$100,6,FALSE)="Kumulatif",INDEX('06_Target KPI'!$E$5:$P$100,MATCH(F296,'06_Target KPI'!$B$5:$B$100,0),MATCH(A296,'06_Target KPI'!$E$4:$P$4,0))*DAY(C296)/DAY(EOMONTH(C296,0)),INDEX('06_Target KPI'!$E$5:$P$100,MATCH(F296,'06_Target KPI'!$B$5:$B$100,0),MATCH(A296,'06_Target KPI'!$E$4:$P$4,0)))),0)</f>
        <v>0</v>
      </c>
      <c r="I296" s="24"/>
      <c r="J296" s="27">
        <f>IFERROR(MIN(IF(VLOOKUP(F296,'05_Master KPI'!$B$5:$G$100,5,FALSE)="Lower",H296/I296,I296/H296),1),0)</f>
        <v>0</v>
      </c>
      <c r="K296" s="26">
        <f>IFERROR(VLOOKUP(F296,'05_Master KPI'!$B$5:$G$100,4,FALSE),0)</f>
        <v>0</v>
      </c>
      <c r="L296" s="28">
        <f t="shared" si="4"/>
        <v>0</v>
      </c>
      <c r="M296" s="26" t="str">
        <f>IF(D296="","",IF(J296&gt;='13_Setting'!$H$7,"Tercapai",IF(J296&gt;='13_Setting'!$H$6,"On Track","Tertinggal")))</f>
        <v/>
      </c>
      <c r="N296" s="24"/>
    </row>
    <row r="297" spans="1:14">
      <c r="A297" s="24"/>
      <c r="B297" s="24"/>
      <c r="C297" s="25"/>
      <c r="D297" s="24"/>
      <c r="E297" s="26" t="str">
        <f>IFERROR(VLOOKUP(D297,'04_Master Karyawan'!$A$5:$F$50,2,FALSE),"")</f>
        <v/>
      </c>
      <c r="F297" s="24"/>
      <c r="G297" s="26" t="str">
        <f>IFERROR(VLOOKUP(F297,'05_Master KPI'!$B$5:$G$100,2,FALSE)&amp;" ("&amp;VLOOKUP(F297,'05_Master KPI'!$B$5:$G$100,3,FALSE)&amp;")","")</f>
        <v/>
      </c>
      <c r="H297" s="26">
        <f>IFERROR(IF(B297&lt;&gt;'06_Target KPI'!$B$3,0,IF(VLOOKUP(F297,'05_Master KPI'!$B$5:$G$100,6,FALSE)="Kumulatif",INDEX('06_Target KPI'!$E$5:$P$100,MATCH(F297,'06_Target KPI'!$B$5:$B$100,0),MATCH(A297,'06_Target KPI'!$E$4:$P$4,0))*DAY(C297)/DAY(EOMONTH(C297,0)),INDEX('06_Target KPI'!$E$5:$P$100,MATCH(F297,'06_Target KPI'!$B$5:$B$100,0),MATCH(A297,'06_Target KPI'!$E$4:$P$4,0)))),0)</f>
        <v>0</v>
      </c>
      <c r="I297" s="24"/>
      <c r="J297" s="27">
        <f>IFERROR(MIN(IF(VLOOKUP(F297,'05_Master KPI'!$B$5:$G$100,5,FALSE)="Lower",H297/I297,I297/H297),1),0)</f>
        <v>0</v>
      </c>
      <c r="K297" s="26">
        <f>IFERROR(VLOOKUP(F297,'05_Master KPI'!$B$5:$G$100,4,FALSE),0)</f>
        <v>0</v>
      </c>
      <c r="L297" s="28">
        <f t="shared" si="4"/>
        <v>0</v>
      </c>
      <c r="M297" s="26" t="str">
        <f>IF(D297="","",IF(J297&gt;='13_Setting'!$H$7,"Tercapai",IF(J297&gt;='13_Setting'!$H$6,"On Track","Tertinggal")))</f>
        <v/>
      </c>
      <c r="N297" s="24"/>
    </row>
    <row r="298" spans="1:14">
      <c r="A298" s="24"/>
      <c r="B298" s="24"/>
      <c r="C298" s="25"/>
      <c r="D298" s="24"/>
      <c r="E298" s="26" t="str">
        <f>IFERROR(VLOOKUP(D298,'04_Master Karyawan'!$A$5:$F$50,2,FALSE),"")</f>
        <v/>
      </c>
      <c r="F298" s="24"/>
      <c r="G298" s="26" t="str">
        <f>IFERROR(VLOOKUP(F298,'05_Master KPI'!$B$5:$G$100,2,FALSE)&amp;" ("&amp;VLOOKUP(F298,'05_Master KPI'!$B$5:$G$100,3,FALSE)&amp;")","")</f>
        <v/>
      </c>
      <c r="H298" s="26">
        <f>IFERROR(IF(B298&lt;&gt;'06_Target KPI'!$B$3,0,IF(VLOOKUP(F298,'05_Master KPI'!$B$5:$G$100,6,FALSE)="Kumulatif",INDEX('06_Target KPI'!$E$5:$P$100,MATCH(F298,'06_Target KPI'!$B$5:$B$100,0),MATCH(A298,'06_Target KPI'!$E$4:$P$4,0))*DAY(C298)/DAY(EOMONTH(C298,0)),INDEX('06_Target KPI'!$E$5:$P$100,MATCH(F298,'06_Target KPI'!$B$5:$B$100,0),MATCH(A298,'06_Target KPI'!$E$4:$P$4,0)))),0)</f>
        <v>0</v>
      </c>
      <c r="I298" s="24"/>
      <c r="J298" s="27">
        <f>IFERROR(MIN(IF(VLOOKUP(F298,'05_Master KPI'!$B$5:$G$100,5,FALSE)="Lower",H298/I298,I298/H298),1),0)</f>
        <v>0</v>
      </c>
      <c r="K298" s="26">
        <f>IFERROR(VLOOKUP(F298,'05_Master KPI'!$B$5:$G$100,4,FALSE),0)</f>
        <v>0</v>
      </c>
      <c r="L298" s="28">
        <f t="shared" si="4"/>
        <v>0</v>
      </c>
      <c r="M298" s="26" t="str">
        <f>IF(D298="","",IF(J298&gt;='13_Setting'!$H$7,"Tercapai",IF(J298&gt;='13_Setting'!$H$6,"On Track","Tertinggal")))</f>
        <v/>
      </c>
      <c r="N298" s="24"/>
    </row>
    <row r="299" spans="1:14">
      <c r="A299" s="24"/>
      <c r="B299" s="24"/>
      <c r="C299" s="25"/>
      <c r="D299" s="24"/>
      <c r="E299" s="26" t="str">
        <f>IFERROR(VLOOKUP(D299,'04_Master Karyawan'!$A$5:$F$50,2,FALSE),"")</f>
        <v/>
      </c>
      <c r="F299" s="24"/>
      <c r="G299" s="26" t="str">
        <f>IFERROR(VLOOKUP(F299,'05_Master KPI'!$B$5:$G$100,2,FALSE)&amp;" ("&amp;VLOOKUP(F299,'05_Master KPI'!$B$5:$G$100,3,FALSE)&amp;")","")</f>
        <v/>
      </c>
      <c r="H299" s="26">
        <f>IFERROR(IF(B299&lt;&gt;'06_Target KPI'!$B$3,0,IF(VLOOKUP(F299,'05_Master KPI'!$B$5:$G$100,6,FALSE)="Kumulatif",INDEX('06_Target KPI'!$E$5:$P$100,MATCH(F299,'06_Target KPI'!$B$5:$B$100,0),MATCH(A299,'06_Target KPI'!$E$4:$P$4,0))*DAY(C299)/DAY(EOMONTH(C299,0)),INDEX('06_Target KPI'!$E$5:$P$100,MATCH(F299,'06_Target KPI'!$B$5:$B$100,0),MATCH(A299,'06_Target KPI'!$E$4:$P$4,0)))),0)</f>
        <v>0</v>
      </c>
      <c r="I299" s="24"/>
      <c r="J299" s="27">
        <f>IFERROR(MIN(IF(VLOOKUP(F299,'05_Master KPI'!$B$5:$G$100,5,FALSE)="Lower",H299/I299,I299/H299),1),0)</f>
        <v>0</v>
      </c>
      <c r="K299" s="26">
        <f>IFERROR(VLOOKUP(F299,'05_Master KPI'!$B$5:$G$100,4,FALSE),0)</f>
        <v>0</v>
      </c>
      <c r="L299" s="28">
        <f t="shared" si="4"/>
        <v>0</v>
      </c>
      <c r="M299" s="26" t="str">
        <f>IF(D299="","",IF(J299&gt;='13_Setting'!$H$7,"Tercapai",IF(J299&gt;='13_Setting'!$H$6,"On Track","Tertinggal")))</f>
        <v/>
      </c>
      <c r="N299" s="24"/>
    </row>
    <row r="300" spans="1:14">
      <c r="A300" s="24"/>
      <c r="B300" s="24"/>
      <c r="C300" s="25"/>
      <c r="D300" s="24"/>
      <c r="E300" s="26" t="str">
        <f>IFERROR(VLOOKUP(D300,'04_Master Karyawan'!$A$5:$F$50,2,FALSE),"")</f>
        <v/>
      </c>
      <c r="F300" s="24"/>
      <c r="G300" s="26" t="str">
        <f>IFERROR(VLOOKUP(F300,'05_Master KPI'!$B$5:$G$100,2,FALSE)&amp;" ("&amp;VLOOKUP(F300,'05_Master KPI'!$B$5:$G$100,3,FALSE)&amp;")","")</f>
        <v/>
      </c>
      <c r="H300" s="26">
        <f>IFERROR(IF(B300&lt;&gt;'06_Target KPI'!$B$3,0,IF(VLOOKUP(F300,'05_Master KPI'!$B$5:$G$100,6,FALSE)="Kumulatif",INDEX('06_Target KPI'!$E$5:$P$100,MATCH(F300,'06_Target KPI'!$B$5:$B$100,0),MATCH(A300,'06_Target KPI'!$E$4:$P$4,0))*DAY(C300)/DAY(EOMONTH(C300,0)),INDEX('06_Target KPI'!$E$5:$P$100,MATCH(F300,'06_Target KPI'!$B$5:$B$100,0),MATCH(A300,'06_Target KPI'!$E$4:$P$4,0)))),0)</f>
        <v>0</v>
      </c>
      <c r="I300" s="24"/>
      <c r="J300" s="27">
        <f>IFERROR(MIN(IF(VLOOKUP(F300,'05_Master KPI'!$B$5:$G$100,5,FALSE)="Lower",H300/I300,I300/H300),1),0)</f>
        <v>0</v>
      </c>
      <c r="K300" s="26">
        <f>IFERROR(VLOOKUP(F300,'05_Master KPI'!$B$5:$G$100,4,FALSE),0)</f>
        <v>0</v>
      </c>
      <c r="L300" s="28">
        <f t="shared" si="4"/>
        <v>0</v>
      </c>
      <c r="M300" s="26" t="str">
        <f>IF(D300="","",IF(J300&gt;='13_Setting'!$H$7,"Tercapai",IF(J300&gt;='13_Setting'!$H$6,"On Track","Tertinggal")))</f>
        <v/>
      </c>
      <c r="N300" s="24"/>
    </row>
    <row r="301" spans="1:14">
      <c r="A301" s="24"/>
      <c r="B301" s="24"/>
      <c r="C301" s="25"/>
      <c r="D301" s="24"/>
      <c r="E301" s="26" t="str">
        <f>IFERROR(VLOOKUP(D301,'04_Master Karyawan'!$A$5:$F$50,2,FALSE),"")</f>
        <v/>
      </c>
      <c r="F301" s="24"/>
      <c r="G301" s="26" t="str">
        <f>IFERROR(VLOOKUP(F301,'05_Master KPI'!$B$5:$G$100,2,FALSE)&amp;" ("&amp;VLOOKUP(F301,'05_Master KPI'!$B$5:$G$100,3,FALSE)&amp;")","")</f>
        <v/>
      </c>
      <c r="H301" s="26">
        <f>IFERROR(IF(B301&lt;&gt;'06_Target KPI'!$B$3,0,IF(VLOOKUP(F301,'05_Master KPI'!$B$5:$G$100,6,FALSE)="Kumulatif",INDEX('06_Target KPI'!$E$5:$P$100,MATCH(F301,'06_Target KPI'!$B$5:$B$100,0),MATCH(A301,'06_Target KPI'!$E$4:$P$4,0))*DAY(C301)/DAY(EOMONTH(C301,0)),INDEX('06_Target KPI'!$E$5:$P$100,MATCH(F301,'06_Target KPI'!$B$5:$B$100,0),MATCH(A301,'06_Target KPI'!$E$4:$P$4,0)))),0)</f>
        <v>0</v>
      </c>
      <c r="I301" s="24"/>
      <c r="J301" s="27">
        <f>IFERROR(MIN(IF(VLOOKUP(F301,'05_Master KPI'!$B$5:$G$100,5,FALSE)="Lower",H301/I301,I301/H301),1),0)</f>
        <v>0</v>
      </c>
      <c r="K301" s="26">
        <f>IFERROR(VLOOKUP(F301,'05_Master KPI'!$B$5:$G$100,4,FALSE),0)</f>
        <v>0</v>
      </c>
      <c r="L301" s="28">
        <f t="shared" si="4"/>
        <v>0</v>
      </c>
      <c r="M301" s="26" t="str">
        <f>IF(D301="","",IF(J301&gt;='13_Setting'!$H$7,"Tercapai",IF(J301&gt;='13_Setting'!$H$6,"On Track","Tertinggal")))</f>
        <v/>
      </c>
      <c r="N301" s="24"/>
    </row>
    <row r="302" spans="1:14">
      <c r="A302" s="24"/>
      <c r="B302" s="24"/>
      <c r="C302" s="25"/>
      <c r="D302" s="24"/>
      <c r="E302" s="26" t="str">
        <f>IFERROR(VLOOKUP(D302,'04_Master Karyawan'!$A$5:$F$50,2,FALSE),"")</f>
        <v/>
      </c>
      <c r="F302" s="24"/>
      <c r="G302" s="26" t="str">
        <f>IFERROR(VLOOKUP(F302,'05_Master KPI'!$B$5:$G$100,2,FALSE)&amp;" ("&amp;VLOOKUP(F302,'05_Master KPI'!$B$5:$G$100,3,FALSE)&amp;")","")</f>
        <v/>
      </c>
      <c r="H302" s="26">
        <f>IFERROR(IF(B302&lt;&gt;'06_Target KPI'!$B$3,0,IF(VLOOKUP(F302,'05_Master KPI'!$B$5:$G$100,6,FALSE)="Kumulatif",INDEX('06_Target KPI'!$E$5:$P$100,MATCH(F302,'06_Target KPI'!$B$5:$B$100,0),MATCH(A302,'06_Target KPI'!$E$4:$P$4,0))*DAY(C302)/DAY(EOMONTH(C302,0)),INDEX('06_Target KPI'!$E$5:$P$100,MATCH(F302,'06_Target KPI'!$B$5:$B$100,0),MATCH(A302,'06_Target KPI'!$E$4:$P$4,0)))),0)</f>
        <v>0</v>
      </c>
      <c r="I302" s="24"/>
      <c r="J302" s="27">
        <f>IFERROR(MIN(IF(VLOOKUP(F302,'05_Master KPI'!$B$5:$G$100,5,FALSE)="Lower",H302/I302,I302/H302),1),0)</f>
        <v>0</v>
      </c>
      <c r="K302" s="26">
        <f>IFERROR(VLOOKUP(F302,'05_Master KPI'!$B$5:$G$100,4,FALSE),0)</f>
        <v>0</v>
      </c>
      <c r="L302" s="28">
        <f t="shared" si="4"/>
        <v>0</v>
      </c>
      <c r="M302" s="26" t="str">
        <f>IF(D302="","",IF(J302&gt;='13_Setting'!$H$7,"Tercapai",IF(J302&gt;='13_Setting'!$H$6,"On Track","Tertinggal")))</f>
        <v/>
      </c>
      <c r="N302" s="24"/>
    </row>
    <row r="303" spans="1:14">
      <c r="A303" s="24"/>
      <c r="B303" s="24"/>
      <c r="C303" s="25"/>
      <c r="D303" s="24"/>
      <c r="E303" s="26" t="str">
        <f>IFERROR(VLOOKUP(D303,'04_Master Karyawan'!$A$5:$F$50,2,FALSE),"")</f>
        <v/>
      </c>
      <c r="F303" s="24"/>
      <c r="G303" s="26" t="str">
        <f>IFERROR(VLOOKUP(F303,'05_Master KPI'!$B$5:$G$100,2,FALSE)&amp;" ("&amp;VLOOKUP(F303,'05_Master KPI'!$B$5:$G$100,3,FALSE)&amp;")","")</f>
        <v/>
      </c>
      <c r="H303" s="26">
        <f>IFERROR(IF(B303&lt;&gt;'06_Target KPI'!$B$3,0,IF(VLOOKUP(F303,'05_Master KPI'!$B$5:$G$100,6,FALSE)="Kumulatif",INDEX('06_Target KPI'!$E$5:$P$100,MATCH(F303,'06_Target KPI'!$B$5:$B$100,0),MATCH(A303,'06_Target KPI'!$E$4:$P$4,0))*DAY(C303)/DAY(EOMONTH(C303,0)),INDEX('06_Target KPI'!$E$5:$P$100,MATCH(F303,'06_Target KPI'!$B$5:$B$100,0),MATCH(A303,'06_Target KPI'!$E$4:$P$4,0)))),0)</f>
        <v>0</v>
      </c>
      <c r="I303" s="24"/>
      <c r="J303" s="27">
        <f>IFERROR(MIN(IF(VLOOKUP(F303,'05_Master KPI'!$B$5:$G$100,5,FALSE)="Lower",H303/I303,I303/H303),1),0)</f>
        <v>0</v>
      </c>
      <c r="K303" s="26">
        <f>IFERROR(VLOOKUP(F303,'05_Master KPI'!$B$5:$G$100,4,FALSE),0)</f>
        <v>0</v>
      </c>
      <c r="L303" s="28">
        <f t="shared" si="4"/>
        <v>0</v>
      </c>
      <c r="M303" s="26" t="str">
        <f>IF(D303="","",IF(J303&gt;='13_Setting'!$H$7,"Tercapai",IF(J303&gt;='13_Setting'!$H$6,"On Track","Tertinggal")))</f>
        <v/>
      </c>
      <c r="N303" s="24"/>
    </row>
    <row r="304" spans="1:14">
      <c r="A304" s="29"/>
      <c r="B304" s="29"/>
      <c r="C304" s="30"/>
      <c r="D304" s="29"/>
      <c r="E304" s="31" t="str">
        <f>IFERROR(VLOOKUP(D304,'04_Master Karyawan'!$A$5:$F$50,2,FALSE),"")</f>
        <v/>
      </c>
      <c r="F304" s="29"/>
      <c r="G304" s="31" t="str">
        <f>IFERROR(VLOOKUP(F304,'05_Master KPI'!$B$5:$G$100,2,FALSE)&amp;" ("&amp;VLOOKUP(F304,'05_Master KPI'!$B$5:$G$100,3,FALSE)&amp;")","")</f>
        <v/>
      </c>
      <c r="H304" s="31">
        <f>IFERROR(IF(B304&lt;&gt;'06_Target KPI'!$B$3,0,IF(VLOOKUP(F304,'05_Master KPI'!$B$5:$G$100,6,FALSE)="Kumulatif",INDEX('06_Target KPI'!$E$5:$P$100,MATCH(F304,'06_Target KPI'!$B$5:$B$100,0),MATCH(A304,'06_Target KPI'!$E$4:$P$4,0))*DAY(C304)/DAY(EOMONTH(C304,0)),INDEX('06_Target KPI'!$E$5:$P$100,MATCH(F304,'06_Target KPI'!$B$5:$B$100,0),MATCH(A304,'06_Target KPI'!$E$4:$P$4,0)))),0)</f>
        <v>0</v>
      </c>
      <c r="I304" s="29"/>
      <c r="J304" s="32">
        <f>IFERROR(MIN(IF(VLOOKUP(F304,'05_Master KPI'!$B$5:$G$100,5,FALSE)="Lower",H304/I304,I304/H304),1),0)</f>
        <v>0</v>
      </c>
      <c r="K304" s="31">
        <f>IFERROR(VLOOKUP(F304,'05_Master KPI'!$B$5:$G$100,4,FALSE),0)</f>
        <v>0</v>
      </c>
      <c r="L304" s="33">
        <f t="shared" si="4"/>
        <v>0</v>
      </c>
      <c r="M304" s="31" t="str">
        <f>IF(D304="","",IF(J304&gt;='13_Setting'!$H$7,"Tercapai",IF(J304&gt;='13_Setting'!$H$6,"On Track","Tertinggal")))</f>
        <v/>
      </c>
      <c r="N304" s="29"/>
    </row>
  </sheetData>
  <mergeCells count="2">
    <mergeCell ref="A1:N1"/>
    <mergeCell ref="A2:N2"/>
  </mergeCells>
  <conditionalFormatting sqref="M5:M304">
    <cfRule type="containsText" dxfId="9" priority="1" operator="containsText" text="Tercapai"/>
    <cfRule type="containsText" dxfId="8" priority="2" operator="containsText" text="On Track"/>
    <cfRule type="containsText" dxfId="7" priority="3" operator="containsText" text="Tertinggal"/>
  </conditionalFormatting>
  <dataValidations count="2">
    <dataValidation type="list" sqref="D5:D304" xr:uid="{00000000-0002-0000-0900-000002000000}">
      <formula1>"EMP005"</formula1>
    </dataValidation>
    <dataValidation type="list" sqref="F5:F304" xr:uid="{00000000-0002-0000-0900-000003000000}">
      <formula1>"DSG01,DSG02,DSG03,DSG04,DSG05"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xr:uid="{00000000-0002-0000-0900-000000000000}">
          <x14:formula1>
            <xm:f>'13_Setting'!$A$5:$A$16</xm:f>
          </x14:formula1>
          <xm:sqref>A5:A304</xm:sqref>
        </x14:dataValidation>
        <x14:dataValidation type="list" xr:uid="{00000000-0002-0000-0900-000001000000}">
          <x14:formula1>
            <xm:f>'13_Setting'!$D$5:$D$9</xm:f>
          </x14:formula1>
          <xm:sqref>B5:B304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Z304"/>
  <sheetViews>
    <sheetView showGridLines="0" workbookViewId="0"/>
  </sheetViews>
  <sheetFormatPr defaultRowHeight="13.8"/>
  <cols>
    <col min="1" max="1" width="14" customWidth="1"/>
    <col min="2" max="2" width="9" customWidth="1"/>
    <col min="3" max="3" width="14" customWidth="1"/>
    <col min="4" max="4" width="12" customWidth="1"/>
    <col min="5" max="5" width="28" customWidth="1"/>
    <col min="6" max="6" width="12" customWidth="1"/>
    <col min="7" max="7" width="30" customWidth="1"/>
    <col min="8" max="13" width="14" customWidth="1"/>
    <col min="14" max="14" width="30" customWidth="1"/>
  </cols>
  <sheetData>
    <row r="1" spans="1:26" ht="34.049999999999997" customHeight="1">
      <c r="A1" s="55" t="s">
        <v>216</v>
      </c>
      <c r="B1" s="55" t="s">
        <v>216</v>
      </c>
      <c r="C1" s="55" t="s">
        <v>216</v>
      </c>
      <c r="D1" s="55" t="s">
        <v>216</v>
      </c>
      <c r="E1" s="55" t="s">
        <v>216</v>
      </c>
      <c r="F1" s="55" t="s">
        <v>216</v>
      </c>
      <c r="G1" s="55" t="s">
        <v>216</v>
      </c>
      <c r="H1" s="55" t="s">
        <v>216</v>
      </c>
      <c r="I1" s="55" t="s">
        <v>216</v>
      </c>
      <c r="J1" s="55" t="s">
        <v>216</v>
      </c>
      <c r="K1" s="55" t="s">
        <v>216</v>
      </c>
      <c r="L1" s="55" t="s">
        <v>216</v>
      </c>
      <c r="M1" s="55" t="s">
        <v>216</v>
      </c>
      <c r="N1" s="55" t="s">
        <v>216</v>
      </c>
      <c r="O1" s="1"/>
      <c r="P1" s="1"/>
      <c r="Q1" s="1"/>
      <c r="R1" s="1"/>
      <c r="S1" s="1"/>
      <c r="T1" s="1"/>
      <c r="U1" s="1"/>
      <c r="V1" s="1"/>
      <c r="W1" s="1"/>
      <c r="X1" s="1"/>
      <c r="Y1" s="1"/>
      <c r="Z1" s="1"/>
    </row>
    <row r="2" spans="1:26" ht="24" customHeight="1">
      <c r="A2" s="56" t="s">
        <v>203</v>
      </c>
      <c r="B2" s="56" t="s">
        <v>203</v>
      </c>
      <c r="C2" s="56" t="s">
        <v>203</v>
      </c>
      <c r="D2" s="56" t="s">
        <v>203</v>
      </c>
      <c r="E2" s="56" t="s">
        <v>203</v>
      </c>
      <c r="F2" s="56" t="s">
        <v>203</v>
      </c>
      <c r="G2" s="56" t="s">
        <v>203</v>
      </c>
      <c r="H2" s="56" t="s">
        <v>203</v>
      </c>
      <c r="I2" s="56" t="s">
        <v>203</v>
      </c>
      <c r="J2" s="56" t="s">
        <v>203</v>
      </c>
      <c r="K2" s="56" t="s">
        <v>203</v>
      </c>
      <c r="L2" s="56" t="s">
        <v>203</v>
      </c>
      <c r="M2" s="56" t="s">
        <v>203</v>
      </c>
      <c r="N2" s="56" t="s">
        <v>203</v>
      </c>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204</v>
      </c>
      <c r="D4" s="6" t="s">
        <v>83</v>
      </c>
      <c r="E4" s="6" t="s">
        <v>34</v>
      </c>
      <c r="F4" s="6" t="s">
        <v>108</v>
      </c>
      <c r="G4" s="6" t="s">
        <v>205</v>
      </c>
      <c r="H4" s="6" t="s">
        <v>206</v>
      </c>
      <c r="I4" s="6" t="s">
        <v>207</v>
      </c>
      <c r="J4" s="6" t="s">
        <v>208</v>
      </c>
      <c r="K4" s="6" t="s">
        <v>111</v>
      </c>
      <c r="L4" s="6" t="s">
        <v>209</v>
      </c>
      <c r="M4" s="6" t="s">
        <v>85</v>
      </c>
      <c r="N4" s="3" t="s">
        <v>210</v>
      </c>
      <c r="O4" s="1"/>
      <c r="P4" s="1"/>
      <c r="Q4" s="1"/>
      <c r="R4" s="1"/>
      <c r="S4" s="1"/>
      <c r="T4" s="1"/>
      <c r="U4" s="1"/>
      <c r="V4" s="1"/>
      <c r="W4" s="1"/>
      <c r="X4" s="1"/>
      <c r="Y4" s="1"/>
      <c r="Z4" s="1"/>
    </row>
    <row r="5" spans="1:26">
      <c r="A5" s="16" t="s">
        <v>192</v>
      </c>
      <c r="B5" s="16">
        <v>2026</v>
      </c>
      <c r="C5" s="17">
        <v>46053</v>
      </c>
      <c r="D5" s="16" t="s">
        <v>102</v>
      </c>
      <c r="E5" s="8" t="str">
        <f>IFERROR(VLOOKUP(D5,'04_Master Karyawan'!$A$5:$F$50,2,FALSE),"")</f>
        <v>HR Staff (Ganti Nama)</v>
      </c>
      <c r="F5" s="16" t="s">
        <v>168</v>
      </c>
      <c r="G5" s="8" t="str">
        <f>IFERROR(VLOOKUP(F5,'05_Master KPI'!$B$5:$G$100,2,FALSE)&amp;" ("&amp;VLOOKUP(F5,'05_Master KPI'!$B$5:$G$100,3,FALSE)&amp;")","")</f>
        <v>Recruitment Fulfillment (%)</v>
      </c>
      <c r="H5" s="8">
        <f>IFERROR(IF(B5&lt;&gt;'06_Target KPI'!$B$3,0,IF(VLOOKUP(F5,'05_Master KPI'!$B$5:$G$100,6,FALSE)="Kumulatif",INDEX('06_Target KPI'!$E$5:$P$100,MATCH(F5,'06_Target KPI'!$B$5:$B$100,0),MATCH(A5,'06_Target KPI'!$E$4:$P$4,0))*DAY(C5)/DAY(EOMONTH(C5,0)),INDEX('06_Target KPI'!$E$5:$P$100,MATCH(F5,'06_Target KPI'!$B$5:$B$100,0),MATCH(A5,'06_Target KPI'!$E$4:$P$4,0)))),0)</f>
        <v>90</v>
      </c>
      <c r="I5" s="16">
        <v>73.599999999999994</v>
      </c>
      <c r="J5" s="18">
        <f>IFERROR(MIN(IF(VLOOKUP(F5,'05_Master KPI'!$B$5:$G$100,5,FALSE)="Lower",H5/I5,I5/H5),1),0)</f>
        <v>0.81777777777777771</v>
      </c>
      <c r="K5" s="8">
        <f>IFERROR(VLOOKUP(F5,'05_Master KPI'!$B$5:$G$100,4,FALSE),0)</f>
        <v>20</v>
      </c>
      <c r="L5" s="19">
        <f t="shared" ref="L5:L68" si="0">J5*K5</f>
        <v>16.355555555555554</v>
      </c>
      <c r="M5" s="8" t="str">
        <f>IF(D5="","",IF(J5&gt;='13_Setting'!$H$7,"Tercapai",IF(J5&gt;='13_Setting'!$H$6,"On Track","Tertinggal")))</f>
        <v>Tertinggal</v>
      </c>
      <c r="N5" s="16" t="s">
        <v>211</v>
      </c>
      <c r="O5" s="1"/>
      <c r="P5" s="1"/>
      <c r="Q5" s="1"/>
      <c r="R5" s="1"/>
      <c r="S5" s="1"/>
      <c r="T5" s="1"/>
      <c r="U5" s="1"/>
      <c r="V5" s="1"/>
      <c r="W5" s="1"/>
      <c r="X5" s="1"/>
      <c r="Y5" s="1"/>
      <c r="Z5" s="1"/>
    </row>
    <row r="6" spans="1:26">
      <c r="A6" s="20" t="s">
        <v>192</v>
      </c>
      <c r="B6" s="20">
        <v>2026</v>
      </c>
      <c r="C6" s="21">
        <v>46053</v>
      </c>
      <c r="D6" s="20" t="s">
        <v>102</v>
      </c>
      <c r="E6" s="9" t="str">
        <f>IFERROR(VLOOKUP(D6,'04_Master Karyawan'!$A$5:$F$50,2,FALSE),"")</f>
        <v>HR Staff (Ganti Nama)</v>
      </c>
      <c r="F6" s="20" t="s">
        <v>170</v>
      </c>
      <c r="G6" s="9" t="str">
        <f>IFERROR(VLOOKUP(F6,'05_Master KPI'!$B$5:$G$100,2,FALSE)&amp;" ("&amp;VLOOKUP(F6,'05_Master KPI'!$B$5:$G$100,3,FALSE)&amp;")","")</f>
        <v>Payroll Accuracy (%)</v>
      </c>
      <c r="H6" s="9">
        <f>IFERROR(IF(B6&lt;&gt;'06_Target KPI'!$B$3,0,IF(VLOOKUP(F6,'05_Master KPI'!$B$5:$G$100,6,FALSE)="Kumulatif",INDEX('06_Target KPI'!$E$5:$P$100,MATCH(F6,'06_Target KPI'!$B$5:$B$100,0),MATCH(A6,'06_Target KPI'!$E$4:$P$4,0))*DAY(C6)/DAY(EOMONTH(C6,0)),INDEX('06_Target KPI'!$E$5:$P$100,MATCH(F6,'06_Target KPI'!$B$5:$B$100,0),MATCH(A6,'06_Target KPI'!$E$4:$P$4,0)))),0)</f>
        <v>100</v>
      </c>
      <c r="I6" s="20">
        <v>81.8</v>
      </c>
      <c r="J6" s="22">
        <f>IFERROR(MIN(IF(VLOOKUP(F6,'05_Master KPI'!$B$5:$G$100,5,FALSE)="Lower",H6/I6,I6/H6),1),0)</f>
        <v>0.81799999999999995</v>
      </c>
      <c r="K6" s="9">
        <f>IFERROR(VLOOKUP(F6,'05_Master KPI'!$B$5:$G$100,4,FALSE),0)</f>
        <v>20</v>
      </c>
      <c r="L6" s="23">
        <f t="shared" si="0"/>
        <v>16.36</v>
      </c>
      <c r="M6" s="9" t="str">
        <f>IF(D6="","",IF(J6&gt;='13_Setting'!$H$7,"Tercapai",IF(J6&gt;='13_Setting'!$H$6,"On Track","Tertinggal")))</f>
        <v>Tertinggal</v>
      </c>
      <c r="N6" s="20" t="s">
        <v>211</v>
      </c>
      <c r="O6" s="1"/>
      <c r="P6" s="1"/>
      <c r="Q6" s="1"/>
      <c r="R6" s="1"/>
      <c r="S6" s="1"/>
      <c r="T6" s="1"/>
      <c r="U6" s="1"/>
      <c r="V6" s="1"/>
      <c r="W6" s="1"/>
      <c r="X6" s="1"/>
      <c r="Y6" s="1"/>
      <c r="Z6" s="1"/>
    </row>
    <row r="7" spans="1:26">
      <c r="A7" s="20" t="s">
        <v>192</v>
      </c>
      <c r="B7" s="20">
        <v>2026</v>
      </c>
      <c r="C7" s="21">
        <v>46053</v>
      </c>
      <c r="D7" s="20" t="s">
        <v>102</v>
      </c>
      <c r="E7" s="9" t="str">
        <f>IFERROR(VLOOKUP(D7,'04_Master Karyawan'!$A$5:$F$50,2,FALSE),"")</f>
        <v>HR Staff (Ganti Nama)</v>
      </c>
      <c r="F7" s="20" t="s">
        <v>172</v>
      </c>
      <c r="G7" s="9" t="str">
        <f>IFERROR(VLOOKUP(F7,'05_Master KPI'!$B$5:$G$100,2,FALSE)&amp;" ("&amp;VLOOKUP(F7,'05_Master KPI'!$B$5:$G$100,3,FALSE)&amp;")","")</f>
        <v>Administrasi Absensi (%)</v>
      </c>
      <c r="H7" s="9">
        <f>IFERROR(IF(B7&lt;&gt;'06_Target KPI'!$B$3,0,IF(VLOOKUP(F7,'05_Master KPI'!$B$5:$G$100,6,FALSE)="Kumulatif",INDEX('06_Target KPI'!$E$5:$P$100,MATCH(F7,'06_Target KPI'!$B$5:$B$100,0),MATCH(A7,'06_Target KPI'!$E$4:$P$4,0))*DAY(C7)/DAY(EOMONTH(C7,0)),INDEX('06_Target KPI'!$E$5:$P$100,MATCH(F7,'06_Target KPI'!$B$5:$B$100,0),MATCH(A7,'06_Target KPI'!$E$4:$P$4,0)))),0)</f>
        <v>100</v>
      </c>
      <c r="I7" s="20">
        <v>81.8</v>
      </c>
      <c r="J7" s="22">
        <f>IFERROR(MIN(IF(VLOOKUP(F7,'05_Master KPI'!$B$5:$G$100,5,FALSE)="Lower",H7/I7,I7/H7),1),0)</f>
        <v>0.81799999999999995</v>
      </c>
      <c r="K7" s="9">
        <f>IFERROR(VLOOKUP(F7,'05_Master KPI'!$B$5:$G$100,4,FALSE),0)</f>
        <v>15</v>
      </c>
      <c r="L7" s="23">
        <f t="shared" si="0"/>
        <v>12.27</v>
      </c>
      <c r="M7" s="9" t="str">
        <f>IF(D7="","",IF(J7&gt;='13_Setting'!$H$7,"Tercapai",IF(J7&gt;='13_Setting'!$H$6,"On Track","Tertinggal")))</f>
        <v>Tertinggal</v>
      </c>
      <c r="N7" s="20" t="s">
        <v>211</v>
      </c>
      <c r="O7" s="1"/>
      <c r="P7" s="1"/>
      <c r="Q7" s="1"/>
      <c r="R7" s="1"/>
      <c r="S7" s="1"/>
      <c r="T7" s="1"/>
      <c r="U7" s="1"/>
      <c r="V7" s="1"/>
      <c r="W7" s="1"/>
      <c r="X7" s="1"/>
      <c r="Y7" s="1"/>
      <c r="Z7" s="1"/>
    </row>
    <row r="8" spans="1:26">
      <c r="A8" s="20" t="s">
        <v>192</v>
      </c>
      <c r="B8" s="20">
        <v>2026</v>
      </c>
      <c r="C8" s="21">
        <v>46053</v>
      </c>
      <c r="D8" s="20" t="s">
        <v>102</v>
      </c>
      <c r="E8" s="9" t="str">
        <f>IFERROR(VLOOKUP(D8,'04_Master Karyawan'!$A$5:$F$50,2,FALSE),"")</f>
        <v>HR Staff (Ganti Nama)</v>
      </c>
      <c r="F8" s="20" t="s">
        <v>174</v>
      </c>
      <c r="G8" s="9" t="str">
        <f>IFERROR(VLOOKUP(F8,'05_Master KPI'!$B$5:$G$100,2,FALSE)&amp;" ("&amp;VLOOKUP(F8,'05_Master KPI'!$B$5:$G$100,3,FALSE)&amp;")","")</f>
        <v>Administrasi Personalia (%)</v>
      </c>
      <c r="H8" s="9">
        <f>IFERROR(IF(B8&lt;&gt;'06_Target KPI'!$B$3,0,IF(VLOOKUP(F8,'05_Master KPI'!$B$5:$G$100,6,FALSE)="Kumulatif",INDEX('06_Target KPI'!$E$5:$P$100,MATCH(F8,'06_Target KPI'!$B$5:$B$100,0),MATCH(A8,'06_Target KPI'!$E$4:$P$4,0))*DAY(C8)/DAY(EOMONTH(C8,0)),INDEX('06_Target KPI'!$E$5:$P$100,MATCH(F8,'06_Target KPI'!$B$5:$B$100,0),MATCH(A8,'06_Target KPI'!$E$4:$P$4,0)))),0)</f>
        <v>100</v>
      </c>
      <c r="I8" s="20">
        <v>81.8</v>
      </c>
      <c r="J8" s="22">
        <f>IFERROR(MIN(IF(VLOOKUP(F8,'05_Master KPI'!$B$5:$G$100,5,FALSE)="Lower",H8/I8,I8/H8),1),0)</f>
        <v>0.81799999999999995</v>
      </c>
      <c r="K8" s="9">
        <f>IFERROR(VLOOKUP(F8,'05_Master KPI'!$B$5:$G$100,4,FALSE),0)</f>
        <v>15</v>
      </c>
      <c r="L8" s="23">
        <f t="shared" si="0"/>
        <v>12.27</v>
      </c>
      <c r="M8" s="9" t="str">
        <f>IF(D8="","",IF(J8&gt;='13_Setting'!$H$7,"Tercapai",IF(J8&gt;='13_Setting'!$H$6,"On Track","Tertinggal")))</f>
        <v>Tertinggal</v>
      </c>
      <c r="N8" s="20" t="s">
        <v>211</v>
      </c>
      <c r="O8" s="1"/>
      <c r="P8" s="1"/>
      <c r="Q8" s="1"/>
      <c r="R8" s="1"/>
      <c r="S8" s="1"/>
      <c r="T8" s="1"/>
      <c r="U8" s="1"/>
      <c r="V8" s="1"/>
      <c r="W8" s="1"/>
      <c r="X8" s="1"/>
      <c r="Y8" s="1"/>
      <c r="Z8" s="1"/>
    </row>
    <row r="9" spans="1:26">
      <c r="A9" s="20" t="s">
        <v>192</v>
      </c>
      <c r="B9" s="20">
        <v>2026</v>
      </c>
      <c r="C9" s="21">
        <v>46053</v>
      </c>
      <c r="D9" s="20" t="s">
        <v>102</v>
      </c>
      <c r="E9" s="9" t="str">
        <f>IFERROR(VLOOKUP(D9,'04_Master Karyawan'!$A$5:$F$50,2,FALSE),"")</f>
        <v>HR Staff (Ganti Nama)</v>
      </c>
      <c r="F9" s="20" t="s">
        <v>176</v>
      </c>
      <c r="G9" s="9" t="str">
        <f>IFERROR(VLOOKUP(F9,'05_Master KPI'!$B$5:$G$100,2,FALSE)&amp;" ("&amp;VLOOKUP(F9,'05_Master KPI'!$B$5:$G$100,3,FALSE)&amp;")","")</f>
        <v>Evaluasi Karyawan (%)</v>
      </c>
      <c r="H9" s="9">
        <f>IFERROR(IF(B9&lt;&gt;'06_Target KPI'!$B$3,0,IF(VLOOKUP(F9,'05_Master KPI'!$B$5:$G$100,6,FALSE)="Kumulatif",INDEX('06_Target KPI'!$E$5:$P$100,MATCH(F9,'06_Target KPI'!$B$5:$B$100,0),MATCH(A9,'06_Target KPI'!$E$4:$P$4,0))*DAY(C9)/DAY(EOMONTH(C9,0)),INDEX('06_Target KPI'!$E$5:$P$100,MATCH(F9,'06_Target KPI'!$B$5:$B$100,0),MATCH(A9,'06_Target KPI'!$E$4:$P$4,0)))),0)</f>
        <v>100</v>
      </c>
      <c r="I9" s="20">
        <v>81.8</v>
      </c>
      <c r="J9" s="22">
        <f>IFERROR(MIN(IF(VLOOKUP(F9,'05_Master KPI'!$B$5:$G$100,5,FALSE)="Lower",H9/I9,I9/H9),1),0)</f>
        <v>0.81799999999999995</v>
      </c>
      <c r="K9" s="9">
        <f>IFERROR(VLOOKUP(F9,'05_Master KPI'!$B$5:$G$100,4,FALSE),0)</f>
        <v>15</v>
      </c>
      <c r="L9" s="23">
        <f t="shared" si="0"/>
        <v>12.27</v>
      </c>
      <c r="M9" s="9" t="str">
        <f>IF(D9="","",IF(J9&gt;='13_Setting'!$H$7,"Tercapai",IF(J9&gt;='13_Setting'!$H$6,"On Track","Tertinggal")))</f>
        <v>Tertinggal</v>
      </c>
      <c r="N9" s="20" t="s">
        <v>211</v>
      </c>
      <c r="O9" s="1"/>
      <c r="P9" s="1"/>
      <c r="Q9" s="1"/>
      <c r="R9" s="1"/>
      <c r="S9" s="1"/>
      <c r="T9" s="1"/>
      <c r="U9" s="1"/>
      <c r="V9" s="1"/>
      <c r="W9" s="1"/>
      <c r="X9" s="1"/>
      <c r="Y9" s="1"/>
      <c r="Z9" s="1"/>
    </row>
    <row r="10" spans="1:26">
      <c r="A10" s="20" t="s">
        <v>192</v>
      </c>
      <c r="B10" s="20">
        <v>2026</v>
      </c>
      <c r="C10" s="21">
        <v>46053</v>
      </c>
      <c r="D10" s="20" t="s">
        <v>102</v>
      </c>
      <c r="E10" s="9" t="str">
        <f>IFERROR(VLOOKUP(D10,'04_Master Karyawan'!$A$5:$F$50,2,FALSE),"")</f>
        <v>HR Staff (Ganti Nama)</v>
      </c>
      <c r="F10" s="20" t="s">
        <v>178</v>
      </c>
      <c r="G10" s="9" t="str">
        <f>IFERROR(VLOOKUP(F10,'05_Master KPI'!$B$5:$G$100,2,FALSE)&amp;" ("&amp;VLOOKUP(F10,'05_Master KPI'!$B$5:$G$100,3,FALSE)&amp;")","")</f>
        <v>Onboarding Completion (%)</v>
      </c>
      <c r="H10" s="9">
        <f>IFERROR(IF(B10&lt;&gt;'06_Target KPI'!$B$3,0,IF(VLOOKUP(F10,'05_Master KPI'!$B$5:$G$100,6,FALSE)="Kumulatif",INDEX('06_Target KPI'!$E$5:$P$100,MATCH(F10,'06_Target KPI'!$B$5:$B$100,0),MATCH(A10,'06_Target KPI'!$E$4:$P$4,0))*DAY(C10)/DAY(EOMONTH(C10,0)),INDEX('06_Target KPI'!$E$5:$P$100,MATCH(F10,'06_Target KPI'!$B$5:$B$100,0),MATCH(A10,'06_Target KPI'!$E$4:$P$4,0)))),0)</f>
        <v>100</v>
      </c>
      <c r="I10" s="20">
        <v>81.8</v>
      </c>
      <c r="J10" s="22">
        <f>IFERROR(MIN(IF(VLOOKUP(F10,'05_Master KPI'!$B$5:$G$100,5,FALSE)="Lower",H10/I10,I10/H10),1),0)</f>
        <v>0.81799999999999995</v>
      </c>
      <c r="K10" s="9">
        <f>IFERROR(VLOOKUP(F10,'05_Master KPI'!$B$5:$G$100,4,FALSE),0)</f>
        <v>15</v>
      </c>
      <c r="L10" s="23">
        <f t="shared" si="0"/>
        <v>12.27</v>
      </c>
      <c r="M10" s="9" t="str">
        <f>IF(D10="","",IF(J10&gt;='13_Setting'!$H$7,"Tercapai",IF(J10&gt;='13_Setting'!$H$6,"On Track","Tertinggal")))</f>
        <v>Tertinggal</v>
      </c>
      <c r="N10" s="20" t="s">
        <v>211</v>
      </c>
      <c r="O10" s="1"/>
      <c r="P10" s="1"/>
      <c r="Q10" s="1"/>
      <c r="R10" s="1"/>
      <c r="S10" s="1"/>
      <c r="T10" s="1"/>
      <c r="U10" s="1"/>
      <c r="V10" s="1"/>
      <c r="W10" s="1"/>
      <c r="X10" s="1"/>
      <c r="Y10" s="1"/>
      <c r="Z10" s="1"/>
    </row>
    <row r="11" spans="1:26">
      <c r="A11" s="20" t="s">
        <v>193</v>
      </c>
      <c r="B11" s="20">
        <v>2026</v>
      </c>
      <c r="C11" s="21">
        <v>46081</v>
      </c>
      <c r="D11" s="20" t="s">
        <v>102</v>
      </c>
      <c r="E11" s="9" t="str">
        <f>IFERROR(VLOOKUP(D11,'04_Master Karyawan'!$A$5:$F$50,2,FALSE),"")</f>
        <v>HR Staff (Ganti Nama)</v>
      </c>
      <c r="F11" s="20" t="s">
        <v>168</v>
      </c>
      <c r="G11" s="9" t="str">
        <f>IFERROR(VLOOKUP(F11,'05_Master KPI'!$B$5:$G$100,2,FALSE)&amp;" ("&amp;VLOOKUP(F11,'05_Master KPI'!$B$5:$G$100,3,FALSE)&amp;")","")</f>
        <v>Recruitment Fulfillment (%)</v>
      </c>
      <c r="H11" s="9">
        <f>IFERROR(IF(B11&lt;&gt;'06_Target KPI'!$B$3,0,IF(VLOOKUP(F11,'05_Master KPI'!$B$5:$G$100,6,FALSE)="Kumulatif",INDEX('06_Target KPI'!$E$5:$P$100,MATCH(F11,'06_Target KPI'!$B$5:$B$100,0),MATCH(A11,'06_Target KPI'!$E$4:$P$4,0))*DAY(C11)/DAY(EOMONTH(C11,0)),INDEX('06_Target KPI'!$E$5:$P$100,MATCH(F11,'06_Target KPI'!$B$5:$B$100,0),MATCH(A11,'06_Target KPI'!$E$4:$P$4,0)))),0)</f>
        <v>90</v>
      </c>
      <c r="I11" s="20">
        <v>77.2</v>
      </c>
      <c r="J11" s="22">
        <f>IFERROR(MIN(IF(VLOOKUP(F11,'05_Master KPI'!$B$5:$G$100,5,FALSE)="Lower",H11/I11,I11/H11),1),0)</f>
        <v>0.85777777777777786</v>
      </c>
      <c r="K11" s="9">
        <f>IFERROR(VLOOKUP(F11,'05_Master KPI'!$B$5:$G$100,4,FALSE),0)</f>
        <v>20</v>
      </c>
      <c r="L11" s="23">
        <f t="shared" si="0"/>
        <v>17.155555555555559</v>
      </c>
      <c r="M11" s="9" t="str">
        <f>IF(D11="","",IF(J11&gt;='13_Setting'!$H$7,"Tercapai",IF(J11&gt;='13_Setting'!$H$6,"On Track","Tertinggal")))</f>
        <v>On Track</v>
      </c>
      <c r="N11" s="20" t="s">
        <v>211</v>
      </c>
      <c r="O11" s="1"/>
      <c r="P11" s="1"/>
      <c r="Q11" s="1"/>
      <c r="R11" s="1"/>
      <c r="S11" s="1"/>
      <c r="T11" s="1"/>
      <c r="U11" s="1"/>
      <c r="V11" s="1"/>
      <c r="W11" s="1"/>
      <c r="X11" s="1"/>
      <c r="Y11" s="1"/>
      <c r="Z11" s="1"/>
    </row>
    <row r="12" spans="1:26">
      <c r="A12" s="20" t="s">
        <v>193</v>
      </c>
      <c r="B12" s="20">
        <v>2026</v>
      </c>
      <c r="C12" s="21">
        <v>46081</v>
      </c>
      <c r="D12" s="20" t="s">
        <v>102</v>
      </c>
      <c r="E12" s="9" t="str">
        <f>IFERROR(VLOOKUP(D12,'04_Master Karyawan'!$A$5:$F$50,2,FALSE),"")</f>
        <v>HR Staff (Ganti Nama)</v>
      </c>
      <c r="F12" s="20" t="s">
        <v>170</v>
      </c>
      <c r="G12" s="9" t="str">
        <f>IFERROR(VLOOKUP(F12,'05_Master KPI'!$B$5:$G$100,2,FALSE)&amp;" ("&amp;VLOOKUP(F12,'05_Master KPI'!$B$5:$G$100,3,FALSE)&amp;")","")</f>
        <v>Payroll Accuracy (%)</v>
      </c>
      <c r="H12" s="9">
        <f>IFERROR(IF(B12&lt;&gt;'06_Target KPI'!$B$3,0,IF(VLOOKUP(F12,'05_Master KPI'!$B$5:$G$100,6,FALSE)="Kumulatif",INDEX('06_Target KPI'!$E$5:$P$100,MATCH(F12,'06_Target KPI'!$B$5:$B$100,0),MATCH(A12,'06_Target KPI'!$E$4:$P$4,0))*DAY(C12)/DAY(EOMONTH(C12,0)),INDEX('06_Target KPI'!$E$5:$P$100,MATCH(F12,'06_Target KPI'!$B$5:$B$100,0),MATCH(A12,'06_Target KPI'!$E$4:$P$4,0)))),0)</f>
        <v>100</v>
      </c>
      <c r="I12" s="20">
        <v>85.8</v>
      </c>
      <c r="J12" s="22">
        <f>IFERROR(MIN(IF(VLOOKUP(F12,'05_Master KPI'!$B$5:$G$100,5,FALSE)="Lower",H12/I12,I12/H12),1),0)</f>
        <v>0.85799999999999998</v>
      </c>
      <c r="K12" s="9">
        <f>IFERROR(VLOOKUP(F12,'05_Master KPI'!$B$5:$G$100,4,FALSE),0)</f>
        <v>20</v>
      </c>
      <c r="L12" s="23">
        <f t="shared" si="0"/>
        <v>17.16</v>
      </c>
      <c r="M12" s="9" t="str">
        <f>IF(D12="","",IF(J12&gt;='13_Setting'!$H$7,"Tercapai",IF(J12&gt;='13_Setting'!$H$6,"On Track","Tertinggal")))</f>
        <v>On Track</v>
      </c>
      <c r="N12" s="20" t="s">
        <v>211</v>
      </c>
      <c r="O12" s="1"/>
      <c r="P12" s="1"/>
      <c r="Q12" s="1"/>
      <c r="R12" s="1"/>
      <c r="S12" s="1"/>
      <c r="T12" s="1"/>
      <c r="U12" s="1"/>
      <c r="V12" s="1"/>
      <c r="W12" s="1"/>
      <c r="X12" s="1"/>
      <c r="Y12" s="1"/>
      <c r="Z12" s="1"/>
    </row>
    <row r="13" spans="1:26">
      <c r="A13" s="20" t="s">
        <v>193</v>
      </c>
      <c r="B13" s="20">
        <v>2026</v>
      </c>
      <c r="C13" s="21">
        <v>46081</v>
      </c>
      <c r="D13" s="20" t="s">
        <v>102</v>
      </c>
      <c r="E13" s="9" t="str">
        <f>IFERROR(VLOOKUP(D13,'04_Master Karyawan'!$A$5:$F$50,2,FALSE),"")</f>
        <v>HR Staff (Ganti Nama)</v>
      </c>
      <c r="F13" s="20" t="s">
        <v>172</v>
      </c>
      <c r="G13" s="9" t="str">
        <f>IFERROR(VLOOKUP(F13,'05_Master KPI'!$B$5:$G$100,2,FALSE)&amp;" ("&amp;VLOOKUP(F13,'05_Master KPI'!$B$5:$G$100,3,FALSE)&amp;")","")</f>
        <v>Administrasi Absensi (%)</v>
      </c>
      <c r="H13" s="9">
        <f>IFERROR(IF(B13&lt;&gt;'06_Target KPI'!$B$3,0,IF(VLOOKUP(F13,'05_Master KPI'!$B$5:$G$100,6,FALSE)="Kumulatif",INDEX('06_Target KPI'!$E$5:$P$100,MATCH(F13,'06_Target KPI'!$B$5:$B$100,0),MATCH(A13,'06_Target KPI'!$E$4:$P$4,0))*DAY(C13)/DAY(EOMONTH(C13,0)),INDEX('06_Target KPI'!$E$5:$P$100,MATCH(F13,'06_Target KPI'!$B$5:$B$100,0),MATCH(A13,'06_Target KPI'!$E$4:$P$4,0)))),0)</f>
        <v>100</v>
      </c>
      <c r="I13" s="20">
        <v>85.8</v>
      </c>
      <c r="J13" s="22">
        <f>IFERROR(MIN(IF(VLOOKUP(F13,'05_Master KPI'!$B$5:$G$100,5,FALSE)="Lower",H13/I13,I13/H13),1),0)</f>
        <v>0.85799999999999998</v>
      </c>
      <c r="K13" s="9">
        <f>IFERROR(VLOOKUP(F13,'05_Master KPI'!$B$5:$G$100,4,FALSE),0)</f>
        <v>15</v>
      </c>
      <c r="L13" s="23">
        <f t="shared" si="0"/>
        <v>12.87</v>
      </c>
      <c r="M13" s="9" t="str">
        <f>IF(D13="","",IF(J13&gt;='13_Setting'!$H$7,"Tercapai",IF(J13&gt;='13_Setting'!$H$6,"On Track","Tertinggal")))</f>
        <v>On Track</v>
      </c>
      <c r="N13" s="20" t="s">
        <v>211</v>
      </c>
      <c r="O13" s="1"/>
      <c r="P13" s="1"/>
      <c r="Q13" s="1"/>
      <c r="R13" s="1"/>
      <c r="S13" s="1"/>
      <c r="T13" s="1"/>
      <c r="U13" s="1"/>
      <c r="V13" s="1"/>
      <c r="W13" s="1"/>
      <c r="X13" s="1"/>
      <c r="Y13" s="1"/>
      <c r="Z13" s="1"/>
    </row>
    <row r="14" spans="1:26">
      <c r="A14" s="20" t="s">
        <v>193</v>
      </c>
      <c r="B14" s="20">
        <v>2026</v>
      </c>
      <c r="C14" s="21">
        <v>46081</v>
      </c>
      <c r="D14" s="20" t="s">
        <v>102</v>
      </c>
      <c r="E14" s="9" t="str">
        <f>IFERROR(VLOOKUP(D14,'04_Master Karyawan'!$A$5:$F$50,2,FALSE),"")</f>
        <v>HR Staff (Ganti Nama)</v>
      </c>
      <c r="F14" s="20" t="s">
        <v>174</v>
      </c>
      <c r="G14" s="9" t="str">
        <f>IFERROR(VLOOKUP(F14,'05_Master KPI'!$B$5:$G$100,2,FALSE)&amp;" ("&amp;VLOOKUP(F14,'05_Master KPI'!$B$5:$G$100,3,FALSE)&amp;")","")</f>
        <v>Administrasi Personalia (%)</v>
      </c>
      <c r="H14" s="9">
        <f>IFERROR(IF(B14&lt;&gt;'06_Target KPI'!$B$3,0,IF(VLOOKUP(F14,'05_Master KPI'!$B$5:$G$100,6,FALSE)="Kumulatif",INDEX('06_Target KPI'!$E$5:$P$100,MATCH(F14,'06_Target KPI'!$B$5:$B$100,0),MATCH(A14,'06_Target KPI'!$E$4:$P$4,0))*DAY(C14)/DAY(EOMONTH(C14,0)),INDEX('06_Target KPI'!$E$5:$P$100,MATCH(F14,'06_Target KPI'!$B$5:$B$100,0),MATCH(A14,'06_Target KPI'!$E$4:$P$4,0)))),0)</f>
        <v>100</v>
      </c>
      <c r="I14" s="20">
        <v>85.8</v>
      </c>
      <c r="J14" s="22">
        <f>IFERROR(MIN(IF(VLOOKUP(F14,'05_Master KPI'!$B$5:$G$100,5,FALSE)="Lower",H14/I14,I14/H14),1),0)</f>
        <v>0.85799999999999998</v>
      </c>
      <c r="K14" s="9">
        <f>IFERROR(VLOOKUP(F14,'05_Master KPI'!$B$5:$G$100,4,FALSE),0)</f>
        <v>15</v>
      </c>
      <c r="L14" s="23">
        <f t="shared" si="0"/>
        <v>12.87</v>
      </c>
      <c r="M14" s="9" t="str">
        <f>IF(D14="","",IF(J14&gt;='13_Setting'!$H$7,"Tercapai",IF(J14&gt;='13_Setting'!$H$6,"On Track","Tertinggal")))</f>
        <v>On Track</v>
      </c>
      <c r="N14" s="20" t="s">
        <v>211</v>
      </c>
      <c r="O14" s="1"/>
      <c r="P14" s="1"/>
      <c r="Q14" s="1"/>
      <c r="R14" s="1"/>
      <c r="S14" s="1"/>
      <c r="T14" s="1"/>
      <c r="U14" s="1"/>
      <c r="V14" s="1"/>
      <c r="W14" s="1"/>
      <c r="X14" s="1"/>
      <c r="Y14" s="1"/>
      <c r="Z14" s="1"/>
    </row>
    <row r="15" spans="1:26">
      <c r="A15" s="20" t="s">
        <v>193</v>
      </c>
      <c r="B15" s="20">
        <v>2026</v>
      </c>
      <c r="C15" s="21">
        <v>46081</v>
      </c>
      <c r="D15" s="20" t="s">
        <v>102</v>
      </c>
      <c r="E15" s="9" t="str">
        <f>IFERROR(VLOOKUP(D15,'04_Master Karyawan'!$A$5:$F$50,2,FALSE),"")</f>
        <v>HR Staff (Ganti Nama)</v>
      </c>
      <c r="F15" s="20" t="s">
        <v>176</v>
      </c>
      <c r="G15" s="9" t="str">
        <f>IFERROR(VLOOKUP(F15,'05_Master KPI'!$B$5:$G$100,2,FALSE)&amp;" ("&amp;VLOOKUP(F15,'05_Master KPI'!$B$5:$G$100,3,FALSE)&amp;")","")</f>
        <v>Evaluasi Karyawan (%)</v>
      </c>
      <c r="H15" s="9">
        <f>IFERROR(IF(B15&lt;&gt;'06_Target KPI'!$B$3,0,IF(VLOOKUP(F15,'05_Master KPI'!$B$5:$G$100,6,FALSE)="Kumulatif",INDEX('06_Target KPI'!$E$5:$P$100,MATCH(F15,'06_Target KPI'!$B$5:$B$100,0),MATCH(A15,'06_Target KPI'!$E$4:$P$4,0))*DAY(C15)/DAY(EOMONTH(C15,0)),INDEX('06_Target KPI'!$E$5:$P$100,MATCH(F15,'06_Target KPI'!$B$5:$B$100,0),MATCH(A15,'06_Target KPI'!$E$4:$P$4,0)))),0)</f>
        <v>100</v>
      </c>
      <c r="I15" s="20">
        <v>85.8</v>
      </c>
      <c r="J15" s="22">
        <f>IFERROR(MIN(IF(VLOOKUP(F15,'05_Master KPI'!$B$5:$G$100,5,FALSE)="Lower",H15/I15,I15/H15),1),0)</f>
        <v>0.85799999999999998</v>
      </c>
      <c r="K15" s="9">
        <f>IFERROR(VLOOKUP(F15,'05_Master KPI'!$B$5:$G$100,4,FALSE),0)</f>
        <v>15</v>
      </c>
      <c r="L15" s="23">
        <f t="shared" si="0"/>
        <v>12.87</v>
      </c>
      <c r="M15" s="9" t="str">
        <f>IF(D15="","",IF(J15&gt;='13_Setting'!$H$7,"Tercapai",IF(J15&gt;='13_Setting'!$H$6,"On Track","Tertinggal")))</f>
        <v>On Track</v>
      </c>
      <c r="N15" s="20" t="s">
        <v>211</v>
      </c>
      <c r="O15" s="1"/>
      <c r="P15" s="1"/>
      <c r="Q15" s="1"/>
      <c r="R15" s="1"/>
      <c r="S15" s="1"/>
      <c r="T15" s="1"/>
      <c r="U15" s="1"/>
      <c r="V15" s="1"/>
      <c r="W15" s="1"/>
      <c r="X15" s="1"/>
      <c r="Y15" s="1"/>
      <c r="Z15" s="1"/>
    </row>
    <row r="16" spans="1:26">
      <c r="A16" s="20" t="s">
        <v>193</v>
      </c>
      <c r="B16" s="20">
        <v>2026</v>
      </c>
      <c r="C16" s="21">
        <v>46081</v>
      </c>
      <c r="D16" s="20" t="s">
        <v>102</v>
      </c>
      <c r="E16" s="9" t="str">
        <f>IFERROR(VLOOKUP(D16,'04_Master Karyawan'!$A$5:$F$50,2,FALSE),"")</f>
        <v>HR Staff (Ganti Nama)</v>
      </c>
      <c r="F16" s="20" t="s">
        <v>178</v>
      </c>
      <c r="G16" s="9" t="str">
        <f>IFERROR(VLOOKUP(F16,'05_Master KPI'!$B$5:$G$100,2,FALSE)&amp;" ("&amp;VLOOKUP(F16,'05_Master KPI'!$B$5:$G$100,3,FALSE)&amp;")","")</f>
        <v>Onboarding Completion (%)</v>
      </c>
      <c r="H16" s="9">
        <f>IFERROR(IF(B16&lt;&gt;'06_Target KPI'!$B$3,0,IF(VLOOKUP(F16,'05_Master KPI'!$B$5:$G$100,6,FALSE)="Kumulatif",INDEX('06_Target KPI'!$E$5:$P$100,MATCH(F16,'06_Target KPI'!$B$5:$B$100,0),MATCH(A16,'06_Target KPI'!$E$4:$P$4,0))*DAY(C16)/DAY(EOMONTH(C16,0)),INDEX('06_Target KPI'!$E$5:$P$100,MATCH(F16,'06_Target KPI'!$B$5:$B$100,0),MATCH(A16,'06_Target KPI'!$E$4:$P$4,0)))),0)</f>
        <v>100</v>
      </c>
      <c r="I16" s="20">
        <v>85.8</v>
      </c>
      <c r="J16" s="22">
        <f>IFERROR(MIN(IF(VLOOKUP(F16,'05_Master KPI'!$B$5:$G$100,5,FALSE)="Lower",H16/I16,I16/H16),1),0)</f>
        <v>0.85799999999999998</v>
      </c>
      <c r="K16" s="9">
        <f>IFERROR(VLOOKUP(F16,'05_Master KPI'!$B$5:$G$100,4,FALSE),0)</f>
        <v>15</v>
      </c>
      <c r="L16" s="23">
        <f t="shared" si="0"/>
        <v>12.87</v>
      </c>
      <c r="M16" s="9" t="str">
        <f>IF(D16="","",IF(J16&gt;='13_Setting'!$H$7,"Tercapai",IF(J16&gt;='13_Setting'!$H$6,"On Track","Tertinggal")))</f>
        <v>On Track</v>
      </c>
      <c r="N16" s="20" t="s">
        <v>211</v>
      </c>
      <c r="O16" s="1"/>
      <c r="P16" s="1"/>
      <c r="Q16" s="1"/>
      <c r="R16" s="1"/>
      <c r="S16" s="1"/>
      <c r="T16" s="1"/>
      <c r="U16" s="1"/>
      <c r="V16" s="1"/>
      <c r="W16" s="1"/>
      <c r="X16" s="1"/>
      <c r="Y16" s="1"/>
      <c r="Z16" s="1"/>
    </row>
    <row r="17" spans="1:26">
      <c r="A17" s="20" t="s">
        <v>194</v>
      </c>
      <c r="B17" s="20">
        <v>2026</v>
      </c>
      <c r="C17" s="21">
        <v>46112</v>
      </c>
      <c r="D17" s="20" t="s">
        <v>102</v>
      </c>
      <c r="E17" s="9" t="str">
        <f>IFERROR(VLOOKUP(D17,'04_Master Karyawan'!$A$5:$F$50,2,FALSE),"")</f>
        <v>HR Staff (Ganti Nama)</v>
      </c>
      <c r="F17" s="20" t="s">
        <v>168</v>
      </c>
      <c r="G17" s="9" t="str">
        <f>IFERROR(VLOOKUP(F17,'05_Master KPI'!$B$5:$G$100,2,FALSE)&amp;" ("&amp;VLOOKUP(F17,'05_Master KPI'!$B$5:$G$100,3,FALSE)&amp;")","")</f>
        <v>Recruitment Fulfillment (%)</v>
      </c>
      <c r="H17" s="9">
        <f>IFERROR(IF(B17&lt;&gt;'06_Target KPI'!$B$3,0,IF(VLOOKUP(F17,'05_Master KPI'!$B$5:$G$100,6,FALSE)="Kumulatif",INDEX('06_Target KPI'!$E$5:$P$100,MATCH(F17,'06_Target KPI'!$B$5:$B$100,0),MATCH(A17,'06_Target KPI'!$E$4:$P$4,0))*DAY(C17)/DAY(EOMONTH(C17,0)),INDEX('06_Target KPI'!$E$5:$P$100,MATCH(F17,'06_Target KPI'!$B$5:$B$100,0),MATCH(A17,'06_Target KPI'!$E$4:$P$4,0)))),0)</f>
        <v>90</v>
      </c>
      <c r="I17" s="20">
        <v>79</v>
      </c>
      <c r="J17" s="22">
        <f>IFERROR(MIN(IF(VLOOKUP(F17,'05_Master KPI'!$B$5:$G$100,5,FALSE)="Lower",H17/I17,I17/H17),1),0)</f>
        <v>0.87777777777777777</v>
      </c>
      <c r="K17" s="9">
        <f>IFERROR(VLOOKUP(F17,'05_Master KPI'!$B$5:$G$100,4,FALSE),0)</f>
        <v>20</v>
      </c>
      <c r="L17" s="23">
        <f t="shared" si="0"/>
        <v>17.555555555555557</v>
      </c>
      <c r="M17" s="9" t="str">
        <f>IF(D17="","",IF(J17&gt;='13_Setting'!$H$7,"Tercapai",IF(J17&gt;='13_Setting'!$H$6,"On Track","Tertinggal")))</f>
        <v>On Track</v>
      </c>
      <c r="N17" s="20" t="s">
        <v>211</v>
      </c>
      <c r="O17" s="1"/>
      <c r="P17" s="1"/>
      <c r="Q17" s="1"/>
      <c r="R17" s="1"/>
      <c r="S17" s="1"/>
      <c r="T17" s="1"/>
      <c r="U17" s="1"/>
      <c r="V17" s="1"/>
      <c r="W17" s="1"/>
      <c r="X17" s="1"/>
      <c r="Y17" s="1"/>
      <c r="Z17" s="1"/>
    </row>
    <row r="18" spans="1:26">
      <c r="A18" s="20" t="s">
        <v>194</v>
      </c>
      <c r="B18" s="20">
        <v>2026</v>
      </c>
      <c r="C18" s="21">
        <v>46112</v>
      </c>
      <c r="D18" s="20" t="s">
        <v>102</v>
      </c>
      <c r="E18" s="9" t="str">
        <f>IFERROR(VLOOKUP(D18,'04_Master Karyawan'!$A$5:$F$50,2,FALSE),"")</f>
        <v>HR Staff (Ganti Nama)</v>
      </c>
      <c r="F18" s="20" t="s">
        <v>170</v>
      </c>
      <c r="G18" s="9" t="str">
        <f>IFERROR(VLOOKUP(F18,'05_Master KPI'!$B$5:$G$100,2,FALSE)&amp;" ("&amp;VLOOKUP(F18,'05_Master KPI'!$B$5:$G$100,3,FALSE)&amp;")","")</f>
        <v>Payroll Accuracy (%)</v>
      </c>
      <c r="H18" s="9">
        <f>IFERROR(IF(B18&lt;&gt;'06_Target KPI'!$B$3,0,IF(VLOOKUP(F18,'05_Master KPI'!$B$5:$G$100,6,FALSE)="Kumulatif",INDEX('06_Target KPI'!$E$5:$P$100,MATCH(F18,'06_Target KPI'!$B$5:$B$100,0),MATCH(A18,'06_Target KPI'!$E$4:$P$4,0))*DAY(C18)/DAY(EOMONTH(C18,0)),INDEX('06_Target KPI'!$E$5:$P$100,MATCH(F18,'06_Target KPI'!$B$5:$B$100,0),MATCH(A18,'06_Target KPI'!$E$4:$P$4,0)))),0)</f>
        <v>100</v>
      </c>
      <c r="I18" s="20">
        <v>87.8</v>
      </c>
      <c r="J18" s="22">
        <f>IFERROR(MIN(IF(VLOOKUP(F18,'05_Master KPI'!$B$5:$G$100,5,FALSE)="Lower",H18/I18,I18/H18),1),0)</f>
        <v>0.878</v>
      </c>
      <c r="K18" s="9">
        <f>IFERROR(VLOOKUP(F18,'05_Master KPI'!$B$5:$G$100,4,FALSE),0)</f>
        <v>20</v>
      </c>
      <c r="L18" s="23">
        <f t="shared" si="0"/>
        <v>17.559999999999999</v>
      </c>
      <c r="M18" s="9" t="str">
        <f>IF(D18="","",IF(J18&gt;='13_Setting'!$H$7,"Tercapai",IF(J18&gt;='13_Setting'!$H$6,"On Track","Tertinggal")))</f>
        <v>On Track</v>
      </c>
      <c r="N18" s="20" t="s">
        <v>211</v>
      </c>
      <c r="O18" s="1"/>
      <c r="P18" s="1"/>
      <c r="Q18" s="1"/>
      <c r="R18" s="1"/>
      <c r="S18" s="1"/>
      <c r="T18" s="1"/>
      <c r="U18" s="1"/>
      <c r="V18" s="1"/>
      <c r="W18" s="1"/>
      <c r="X18" s="1"/>
      <c r="Y18" s="1"/>
      <c r="Z18" s="1"/>
    </row>
    <row r="19" spans="1:26">
      <c r="A19" s="20" t="s">
        <v>194</v>
      </c>
      <c r="B19" s="20">
        <v>2026</v>
      </c>
      <c r="C19" s="21">
        <v>46112</v>
      </c>
      <c r="D19" s="20" t="s">
        <v>102</v>
      </c>
      <c r="E19" s="9" t="str">
        <f>IFERROR(VLOOKUP(D19,'04_Master Karyawan'!$A$5:$F$50,2,FALSE),"")</f>
        <v>HR Staff (Ganti Nama)</v>
      </c>
      <c r="F19" s="20" t="s">
        <v>172</v>
      </c>
      <c r="G19" s="9" t="str">
        <f>IFERROR(VLOOKUP(F19,'05_Master KPI'!$B$5:$G$100,2,FALSE)&amp;" ("&amp;VLOOKUP(F19,'05_Master KPI'!$B$5:$G$100,3,FALSE)&amp;")","")</f>
        <v>Administrasi Absensi (%)</v>
      </c>
      <c r="H19" s="9">
        <f>IFERROR(IF(B19&lt;&gt;'06_Target KPI'!$B$3,0,IF(VLOOKUP(F19,'05_Master KPI'!$B$5:$G$100,6,FALSE)="Kumulatif",INDEX('06_Target KPI'!$E$5:$P$100,MATCH(F19,'06_Target KPI'!$B$5:$B$100,0),MATCH(A19,'06_Target KPI'!$E$4:$P$4,0))*DAY(C19)/DAY(EOMONTH(C19,0)),INDEX('06_Target KPI'!$E$5:$P$100,MATCH(F19,'06_Target KPI'!$B$5:$B$100,0),MATCH(A19,'06_Target KPI'!$E$4:$P$4,0)))),0)</f>
        <v>100</v>
      </c>
      <c r="I19" s="20">
        <v>87.8</v>
      </c>
      <c r="J19" s="22">
        <f>IFERROR(MIN(IF(VLOOKUP(F19,'05_Master KPI'!$B$5:$G$100,5,FALSE)="Lower",H19/I19,I19/H19),1),0)</f>
        <v>0.878</v>
      </c>
      <c r="K19" s="9">
        <f>IFERROR(VLOOKUP(F19,'05_Master KPI'!$B$5:$G$100,4,FALSE),0)</f>
        <v>15</v>
      </c>
      <c r="L19" s="23">
        <f t="shared" si="0"/>
        <v>13.17</v>
      </c>
      <c r="M19" s="9" t="str">
        <f>IF(D19="","",IF(J19&gt;='13_Setting'!$H$7,"Tercapai",IF(J19&gt;='13_Setting'!$H$6,"On Track","Tertinggal")))</f>
        <v>On Track</v>
      </c>
      <c r="N19" s="20" t="s">
        <v>211</v>
      </c>
      <c r="O19" s="1"/>
      <c r="P19" s="1"/>
      <c r="Q19" s="1"/>
      <c r="R19" s="1"/>
      <c r="S19" s="1"/>
      <c r="T19" s="1"/>
      <c r="U19" s="1"/>
      <c r="V19" s="1"/>
      <c r="W19" s="1"/>
      <c r="X19" s="1"/>
      <c r="Y19" s="1"/>
      <c r="Z19" s="1"/>
    </row>
    <row r="20" spans="1:26">
      <c r="A20" s="20" t="s">
        <v>194</v>
      </c>
      <c r="B20" s="20">
        <v>2026</v>
      </c>
      <c r="C20" s="21">
        <v>46112</v>
      </c>
      <c r="D20" s="20" t="s">
        <v>102</v>
      </c>
      <c r="E20" s="9" t="str">
        <f>IFERROR(VLOOKUP(D20,'04_Master Karyawan'!$A$5:$F$50,2,FALSE),"")</f>
        <v>HR Staff (Ganti Nama)</v>
      </c>
      <c r="F20" s="20" t="s">
        <v>174</v>
      </c>
      <c r="G20" s="9" t="str">
        <f>IFERROR(VLOOKUP(F20,'05_Master KPI'!$B$5:$G$100,2,FALSE)&amp;" ("&amp;VLOOKUP(F20,'05_Master KPI'!$B$5:$G$100,3,FALSE)&amp;")","")</f>
        <v>Administrasi Personalia (%)</v>
      </c>
      <c r="H20" s="9">
        <f>IFERROR(IF(B20&lt;&gt;'06_Target KPI'!$B$3,0,IF(VLOOKUP(F20,'05_Master KPI'!$B$5:$G$100,6,FALSE)="Kumulatif",INDEX('06_Target KPI'!$E$5:$P$100,MATCH(F20,'06_Target KPI'!$B$5:$B$100,0),MATCH(A20,'06_Target KPI'!$E$4:$P$4,0))*DAY(C20)/DAY(EOMONTH(C20,0)),INDEX('06_Target KPI'!$E$5:$P$100,MATCH(F20,'06_Target KPI'!$B$5:$B$100,0),MATCH(A20,'06_Target KPI'!$E$4:$P$4,0)))),0)</f>
        <v>100</v>
      </c>
      <c r="I20" s="20">
        <v>87.8</v>
      </c>
      <c r="J20" s="22">
        <f>IFERROR(MIN(IF(VLOOKUP(F20,'05_Master KPI'!$B$5:$G$100,5,FALSE)="Lower",H20/I20,I20/H20),1),0)</f>
        <v>0.878</v>
      </c>
      <c r="K20" s="9">
        <f>IFERROR(VLOOKUP(F20,'05_Master KPI'!$B$5:$G$100,4,FALSE),0)</f>
        <v>15</v>
      </c>
      <c r="L20" s="23">
        <f t="shared" si="0"/>
        <v>13.17</v>
      </c>
      <c r="M20" s="9" t="str">
        <f>IF(D20="","",IF(J20&gt;='13_Setting'!$H$7,"Tercapai",IF(J20&gt;='13_Setting'!$H$6,"On Track","Tertinggal")))</f>
        <v>On Track</v>
      </c>
      <c r="N20" s="20" t="s">
        <v>211</v>
      </c>
      <c r="O20" s="1"/>
      <c r="P20" s="1"/>
      <c r="Q20" s="1"/>
      <c r="R20" s="1"/>
      <c r="S20" s="1"/>
      <c r="T20" s="1"/>
      <c r="U20" s="1"/>
      <c r="V20" s="1"/>
      <c r="W20" s="1"/>
      <c r="X20" s="1"/>
      <c r="Y20" s="1"/>
      <c r="Z20" s="1"/>
    </row>
    <row r="21" spans="1:26">
      <c r="A21" s="20" t="s">
        <v>194</v>
      </c>
      <c r="B21" s="20">
        <v>2026</v>
      </c>
      <c r="C21" s="21">
        <v>46112</v>
      </c>
      <c r="D21" s="20" t="s">
        <v>102</v>
      </c>
      <c r="E21" s="9" t="str">
        <f>IFERROR(VLOOKUP(D21,'04_Master Karyawan'!$A$5:$F$50,2,FALSE),"")</f>
        <v>HR Staff (Ganti Nama)</v>
      </c>
      <c r="F21" s="20" t="s">
        <v>176</v>
      </c>
      <c r="G21" s="9" t="str">
        <f>IFERROR(VLOOKUP(F21,'05_Master KPI'!$B$5:$G$100,2,FALSE)&amp;" ("&amp;VLOOKUP(F21,'05_Master KPI'!$B$5:$G$100,3,FALSE)&amp;")","")</f>
        <v>Evaluasi Karyawan (%)</v>
      </c>
      <c r="H21" s="9">
        <f>IFERROR(IF(B21&lt;&gt;'06_Target KPI'!$B$3,0,IF(VLOOKUP(F21,'05_Master KPI'!$B$5:$G$100,6,FALSE)="Kumulatif",INDEX('06_Target KPI'!$E$5:$P$100,MATCH(F21,'06_Target KPI'!$B$5:$B$100,0),MATCH(A21,'06_Target KPI'!$E$4:$P$4,0))*DAY(C21)/DAY(EOMONTH(C21,0)),INDEX('06_Target KPI'!$E$5:$P$100,MATCH(F21,'06_Target KPI'!$B$5:$B$100,0),MATCH(A21,'06_Target KPI'!$E$4:$P$4,0)))),0)</f>
        <v>100</v>
      </c>
      <c r="I21" s="20">
        <v>87.8</v>
      </c>
      <c r="J21" s="22">
        <f>IFERROR(MIN(IF(VLOOKUP(F21,'05_Master KPI'!$B$5:$G$100,5,FALSE)="Lower",H21/I21,I21/H21),1),0)</f>
        <v>0.878</v>
      </c>
      <c r="K21" s="9">
        <f>IFERROR(VLOOKUP(F21,'05_Master KPI'!$B$5:$G$100,4,FALSE),0)</f>
        <v>15</v>
      </c>
      <c r="L21" s="23">
        <f t="shared" si="0"/>
        <v>13.17</v>
      </c>
      <c r="M21" s="9" t="str">
        <f>IF(D21="","",IF(J21&gt;='13_Setting'!$H$7,"Tercapai",IF(J21&gt;='13_Setting'!$H$6,"On Track","Tertinggal")))</f>
        <v>On Track</v>
      </c>
      <c r="N21" s="20" t="s">
        <v>211</v>
      </c>
      <c r="O21" s="1"/>
      <c r="P21" s="1"/>
      <c r="Q21" s="1"/>
      <c r="R21" s="1"/>
      <c r="S21" s="1"/>
      <c r="T21" s="1"/>
      <c r="U21" s="1"/>
      <c r="V21" s="1"/>
      <c r="W21" s="1"/>
      <c r="X21" s="1"/>
      <c r="Y21" s="1"/>
      <c r="Z21" s="1"/>
    </row>
    <row r="22" spans="1:26">
      <c r="A22" s="20" t="s">
        <v>194</v>
      </c>
      <c r="B22" s="20">
        <v>2026</v>
      </c>
      <c r="C22" s="21">
        <v>46112</v>
      </c>
      <c r="D22" s="20" t="s">
        <v>102</v>
      </c>
      <c r="E22" s="9" t="str">
        <f>IFERROR(VLOOKUP(D22,'04_Master Karyawan'!$A$5:$F$50,2,FALSE),"")</f>
        <v>HR Staff (Ganti Nama)</v>
      </c>
      <c r="F22" s="20" t="s">
        <v>178</v>
      </c>
      <c r="G22" s="9" t="str">
        <f>IFERROR(VLOOKUP(F22,'05_Master KPI'!$B$5:$G$100,2,FALSE)&amp;" ("&amp;VLOOKUP(F22,'05_Master KPI'!$B$5:$G$100,3,FALSE)&amp;")","")</f>
        <v>Onboarding Completion (%)</v>
      </c>
      <c r="H22" s="9">
        <f>IFERROR(IF(B22&lt;&gt;'06_Target KPI'!$B$3,0,IF(VLOOKUP(F22,'05_Master KPI'!$B$5:$G$100,6,FALSE)="Kumulatif",INDEX('06_Target KPI'!$E$5:$P$100,MATCH(F22,'06_Target KPI'!$B$5:$B$100,0),MATCH(A22,'06_Target KPI'!$E$4:$P$4,0))*DAY(C22)/DAY(EOMONTH(C22,0)),INDEX('06_Target KPI'!$E$5:$P$100,MATCH(F22,'06_Target KPI'!$B$5:$B$100,0),MATCH(A22,'06_Target KPI'!$E$4:$P$4,0)))),0)</f>
        <v>100</v>
      </c>
      <c r="I22" s="20">
        <v>87.8</v>
      </c>
      <c r="J22" s="22">
        <f>IFERROR(MIN(IF(VLOOKUP(F22,'05_Master KPI'!$B$5:$G$100,5,FALSE)="Lower",H22/I22,I22/H22),1),0)</f>
        <v>0.878</v>
      </c>
      <c r="K22" s="9">
        <f>IFERROR(VLOOKUP(F22,'05_Master KPI'!$B$5:$G$100,4,FALSE),0)</f>
        <v>15</v>
      </c>
      <c r="L22" s="23">
        <f t="shared" si="0"/>
        <v>13.17</v>
      </c>
      <c r="M22" s="9" t="str">
        <f>IF(D22="","",IF(J22&gt;='13_Setting'!$H$7,"Tercapai",IF(J22&gt;='13_Setting'!$H$6,"On Track","Tertinggal")))</f>
        <v>On Track</v>
      </c>
      <c r="N22" s="20" t="s">
        <v>211</v>
      </c>
      <c r="O22" s="1"/>
      <c r="P22" s="1"/>
      <c r="Q22" s="1"/>
      <c r="R22" s="1"/>
      <c r="S22" s="1"/>
      <c r="T22" s="1"/>
      <c r="U22" s="1"/>
      <c r="V22" s="1"/>
      <c r="W22" s="1"/>
      <c r="X22" s="1"/>
      <c r="Y22" s="1"/>
      <c r="Z22" s="1"/>
    </row>
    <row r="23" spans="1:26">
      <c r="A23" s="20" t="s">
        <v>195</v>
      </c>
      <c r="B23" s="20">
        <v>2026</v>
      </c>
      <c r="C23" s="21">
        <v>46142</v>
      </c>
      <c r="D23" s="20" t="s">
        <v>102</v>
      </c>
      <c r="E23" s="9" t="str">
        <f>IFERROR(VLOOKUP(D23,'04_Master Karyawan'!$A$5:$F$50,2,FALSE),"")</f>
        <v>HR Staff (Ganti Nama)</v>
      </c>
      <c r="F23" s="20" t="s">
        <v>168</v>
      </c>
      <c r="G23" s="9" t="str">
        <f>IFERROR(VLOOKUP(F23,'05_Master KPI'!$B$5:$G$100,2,FALSE)&amp;" ("&amp;VLOOKUP(F23,'05_Master KPI'!$B$5:$G$100,3,FALSE)&amp;")","")</f>
        <v>Recruitment Fulfillment (%)</v>
      </c>
      <c r="H23" s="9">
        <f>IFERROR(IF(B23&lt;&gt;'06_Target KPI'!$B$3,0,IF(VLOOKUP(F23,'05_Master KPI'!$B$5:$G$100,6,FALSE)="Kumulatif",INDEX('06_Target KPI'!$E$5:$P$100,MATCH(F23,'06_Target KPI'!$B$5:$B$100,0),MATCH(A23,'06_Target KPI'!$E$4:$P$4,0))*DAY(C23)/DAY(EOMONTH(C23,0)),INDEX('06_Target KPI'!$E$5:$P$100,MATCH(F23,'06_Target KPI'!$B$5:$B$100,0),MATCH(A23,'06_Target KPI'!$E$4:$P$4,0)))),0)</f>
        <v>90</v>
      </c>
      <c r="I23" s="20">
        <v>81.7</v>
      </c>
      <c r="J23" s="22">
        <f>IFERROR(MIN(IF(VLOOKUP(F23,'05_Master KPI'!$B$5:$G$100,5,FALSE)="Lower",H23/I23,I23/H23),1),0)</f>
        <v>0.90777777777777779</v>
      </c>
      <c r="K23" s="9">
        <f>IFERROR(VLOOKUP(F23,'05_Master KPI'!$B$5:$G$100,4,FALSE),0)</f>
        <v>20</v>
      </c>
      <c r="L23" s="23">
        <f t="shared" si="0"/>
        <v>18.155555555555555</v>
      </c>
      <c r="M23" s="9" t="str">
        <f>IF(D23="","",IF(J23&gt;='13_Setting'!$H$7,"Tercapai",IF(J23&gt;='13_Setting'!$H$6,"On Track","Tertinggal")))</f>
        <v>On Track</v>
      </c>
      <c r="N23" s="20" t="s">
        <v>211</v>
      </c>
      <c r="O23" s="1"/>
      <c r="P23" s="1"/>
      <c r="Q23" s="1"/>
      <c r="R23" s="1"/>
      <c r="S23" s="1"/>
      <c r="T23" s="1"/>
      <c r="U23" s="1"/>
      <c r="V23" s="1"/>
      <c r="W23" s="1"/>
      <c r="X23" s="1"/>
      <c r="Y23" s="1"/>
      <c r="Z23" s="1"/>
    </row>
    <row r="24" spans="1:26">
      <c r="A24" s="20" t="s">
        <v>195</v>
      </c>
      <c r="B24" s="20">
        <v>2026</v>
      </c>
      <c r="C24" s="21">
        <v>46142</v>
      </c>
      <c r="D24" s="20" t="s">
        <v>102</v>
      </c>
      <c r="E24" s="9" t="str">
        <f>IFERROR(VLOOKUP(D24,'04_Master Karyawan'!$A$5:$F$50,2,FALSE),"")</f>
        <v>HR Staff (Ganti Nama)</v>
      </c>
      <c r="F24" s="20" t="s">
        <v>170</v>
      </c>
      <c r="G24" s="9" t="str">
        <f>IFERROR(VLOOKUP(F24,'05_Master KPI'!$B$5:$G$100,2,FALSE)&amp;" ("&amp;VLOOKUP(F24,'05_Master KPI'!$B$5:$G$100,3,FALSE)&amp;")","")</f>
        <v>Payroll Accuracy (%)</v>
      </c>
      <c r="H24" s="9">
        <f>IFERROR(IF(B24&lt;&gt;'06_Target KPI'!$B$3,0,IF(VLOOKUP(F24,'05_Master KPI'!$B$5:$G$100,6,FALSE)="Kumulatif",INDEX('06_Target KPI'!$E$5:$P$100,MATCH(F24,'06_Target KPI'!$B$5:$B$100,0),MATCH(A24,'06_Target KPI'!$E$4:$P$4,0))*DAY(C24)/DAY(EOMONTH(C24,0)),INDEX('06_Target KPI'!$E$5:$P$100,MATCH(F24,'06_Target KPI'!$B$5:$B$100,0),MATCH(A24,'06_Target KPI'!$E$4:$P$4,0)))),0)</f>
        <v>100</v>
      </c>
      <c r="I24" s="20">
        <v>90.8</v>
      </c>
      <c r="J24" s="22">
        <f>IFERROR(MIN(IF(VLOOKUP(F24,'05_Master KPI'!$B$5:$G$100,5,FALSE)="Lower",H24/I24,I24/H24),1),0)</f>
        <v>0.90799999999999992</v>
      </c>
      <c r="K24" s="9">
        <f>IFERROR(VLOOKUP(F24,'05_Master KPI'!$B$5:$G$100,4,FALSE),0)</f>
        <v>20</v>
      </c>
      <c r="L24" s="23">
        <f t="shared" si="0"/>
        <v>18.159999999999997</v>
      </c>
      <c r="M24" s="9" t="str">
        <f>IF(D24="","",IF(J24&gt;='13_Setting'!$H$7,"Tercapai",IF(J24&gt;='13_Setting'!$H$6,"On Track","Tertinggal")))</f>
        <v>On Track</v>
      </c>
      <c r="N24" s="20" t="s">
        <v>211</v>
      </c>
      <c r="O24" s="1"/>
      <c r="P24" s="1"/>
      <c r="Q24" s="1"/>
      <c r="R24" s="1"/>
      <c r="S24" s="1"/>
      <c r="T24" s="1"/>
      <c r="U24" s="1"/>
      <c r="V24" s="1"/>
      <c r="W24" s="1"/>
      <c r="X24" s="1"/>
      <c r="Y24" s="1"/>
      <c r="Z24" s="1"/>
    </row>
    <row r="25" spans="1:26">
      <c r="A25" s="20" t="s">
        <v>195</v>
      </c>
      <c r="B25" s="20">
        <v>2026</v>
      </c>
      <c r="C25" s="21">
        <v>46142</v>
      </c>
      <c r="D25" s="20" t="s">
        <v>102</v>
      </c>
      <c r="E25" s="9" t="str">
        <f>IFERROR(VLOOKUP(D25,'04_Master Karyawan'!$A$5:$F$50,2,FALSE),"")</f>
        <v>HR Staff (Ganti Nama)</v>
      </c>
      <c r="F25" s="20" t="s">
        <v>172</v>
      </c>
      <c r="G25" s="9" t="str">
        <f>IFERROR(VLOOKUP(F25,'05_Master KPI'!$B$5:$G$100,2,FALSE)&amp;" ("&amp;VLOOKUP(F25,'05_Master KPI'!$B$5:$G$100,3,FALSE)&amp;")","")</f>
        <v>Administrasi Absensi (%)</v>
      </c>
      <c r="H25" s="9">
        <f>IFERROR(IF(B25&lt;&gt;'06_Target KPI'!$B$3,0,IF(VLOOKUP(F25,'05_Master KPI'!$B$5:$G$100,6,FALSE)="Kumulatif",INDEX('06_Target KPI'!$E$5:$P$100,MATCH(F25,'06_Target KPI'!$B$5:$B$100,0),MATCH(A25,'06_Target KPI'!$E$4:$P$4,0))*DAY(C25)/DAY(EOMONTH(C25,0)),INDEX('06_Target KPI'!$E$5:$P$100,MATCH(F25,'06_Target KPI'!$B$5:$B$100,0),MATCH(A25,'06_Target KPI'!$E$4:$P$4,0)))),0)</f>
        <v>100</v>
      </c>
      <c r="I25" s="20">
        <v>90.8</v>
      </c>
      <c r="J25" s="22">
        <f>IFERROR(MIN(IF(VLOOKUP(F25,'05_Master KPI'!$B$5:$G$100,5,FALSE)="Lower",H25/I25,I25/H25),1),0)</f>
        <v>0.90799999999999992</v>
      </c>
      <c r="K25" s="9">
        <f>IFERROR(VLOOKUP(F25,'05_Master KPI'!$B$5:$G$100,4,FALSE),0)</f>
        <v>15</v>
      </c>
      <c r="L25" s="23">
        <f t="shared" si="0"/>
        <v>13.62</v>
      </c>
      <c r="M25" s="9" t="str">
        <f>IF(D25="","",IF(J25&gt;='13_Setting'!$H$7,"Tercapai",IF(J25&gt;='13_Setting'!$H$6,"On Track","Tertinggal")))</f>
        <v>On Track</v>
      </c>
      <c r="N25" s="20" t="s">
        <v>211</v>
      </c>
      <c r="O25" s="1"/>
      <c r="P25" s="1"/>
      <c r="Q25" s="1"/>
      <c r="R25" s="1"/>
      <c r="S25" s="1"/>
      <c r="T25" s="1"/>
      <c r="U25" s="1"/>
      <c r="V25" s="1"/>
      <c r="W25" s="1"/>
      <c r="X25" s="1"/>
      <c r="Y25" s="1"/>
      <c r="Z25" s="1"/>
    </row>
    <row r="26" spans="1:26">
      <c r="A26" s="20" t="s">
        <v>195</v>
      </c>
      <c r="B26" s="20">
        <v>2026</v>
      </c>
      <c r="C26" s="21">
        <v>46142</v>
      </c>
      <c r="D26" s="20" t="s">
        <v>102</v>
      </c>
      <c r="E26" s="9" t="str">
        <f>IFERROR(VLOOKUP(D26,'04_Master Karyawan'!$A$5:$F$50,2,FALSE),"")</f>
        <v>HR Staff (Ganti Nama)</v>
      </c>
      <c r="F26" s="20" t="s">
        <v>174</v>
      </c>
      <c r="G26" s="9" t="str">
        <f>IFERROR(VLOOKUP(F26,'05_Master KPI'!$B$5:$G$100,2,FALSE)&amp;" ("&amp;VLOOKUP(F26,'05_Master KPI'!$B$5:$G$100,3,FALSE)&amp;")","")</f>
        <v>Administrasi Personalia (%)</v>
      </c>
      <c r="H26" s="9">
        <f>IFERROR(IF(B26&lt;&gt;'06_Target KPI'!$B$3,0,IF(VLOOKUP(F26,'05_Master KPI'!$B$5:$G$100,6,FALSE)="Kumulatif",INDEX('06_Target KPI'!$E$5:$P$100,MATCH(F26,'06_Target KPI'!$B$5:$B$100,0),MATCH(A26,'06_Target KPI'!$E$4:$P$4,0))*DAY(C26)/DAY(EOMONTH(C26,0)),INDEX('06_Target KPI'!$E$5:$P$100,MATCH(F26,'06_Target KPI'!$B$5:$B$100,0),MATCH(A26,'06_Target KPI'!$E$4:$P$4,0)))),0)</f>
        <v>100</v>
      </c>
      <c r="I26" s="20">
        <v>90.8</v>
      </c>
      <c r="J26" s="22">
        <f>IFERROR(MIN(IF(VLOOKUP(F26,'05_Master KPI'!$B$5:$G$100,5,FALSE)="Lower",H26/I26,I26/H26),1),0)</f>
        <v>0.90799999999999992</v>
      </c>
      <c r="K26" s="9">
        <f>IFERROR(VLOOKUP(F26,'05_Master KPI'!$B$5:$G$100,4,FALSE),0)</f>
        <v>15</v>
      </c>
      <c r="L26" s="23">
        <f t="shared" si="0"/>
        <v>13.62</v>
      </c>
      <c r="M26" s="9" t="str">
        <f>IF(D26="","",IF(J26&gt;='13_Setting'!$H$7,"Tercapai",IF(J26&gt;='13_Setting'!$H$6,"On Track","Tertinggal")))</f>
        <v>On Track</v>
      </c>
      <c r="N26" s="20" t="s">
        <v>211</v>
      </c>
      <c r="O26" s="1"/>
      <c r="P26" s="1"/>
      <c r="Q26" s="1"/>
      <c r="R26" s="1"/>
      <c r="S26" s="1"/>
      <c r="T26" s="1"/>
      <c r="U26" s="1"/>
      <c r="V26" s="1"/>
      <c r="W26" s="1"/>
      <c r="X26" s="1"/>
      <c r="Y26" s="1"/>
      <c r="Z26" s="1"/>
    </row>
    <row r="27" spans="1:26">
      <c r="A27" s="20" t="s">
        <v>195</v>
      </c>
      <c r="B27" s="20">
        <v>2026</v>
      </c>
      <c r="C27" s="21">
        <v>46142</v>
      </c>
      <c r="D27" s="20" t="s">
        <v>102</v>
      </c>
      <c r="E27" s="9" t="str">
        <f>IFERROR(VLOOKUP(D27,'04_Master Karyawan'!$A$5:$F$50,2,FALSE),"")</f>
        <v>HR Staff (Ganti Nama)</v>
      </c>
      <c r="F27" s="20" t="s">
        <v>176</v>
      </c>
      <c r="G27" s="9" t="str">
        <f>IFERROR(VLOOKUP(F27,'05_Master KPI'!$B$5:$G$100,2,FALSE)&amp;" ("&amp;VLOOKUP(F27,'05_Master KPI'!$B$5:$G$100,3,FALSE)&amp;")","")</f>
        <v>Evaluasi Karyawan (%)</v>
      </c>
      <c r="H27" s="9">
        <f>IFERROR(IF(B27&lt;&gt;'06_Target KPI'!$B$3,0,IF(VLOOKUP(F27,'05_Master KPI'!$B$5:$G$100,6,FALSE)="Kumulatif",INDEX('06_Target KPI'!$E$5:$P$100,MATCH(F27,'06_Target KPI'!$B$5:$B$100,0),MATCH(A27,'06_Target KPI'!$E$4:$P$4,0))*DAY(C27)/DAY(EOMONTH(C27,0)),INDEX('06_Target KPI'!$E$5:$P$100,MATCH(F27,'06_Target KPI'!$B$5:$B$100,0),MATCH(A27,'06_Target KPI'!$E$4:$P$4,0)))),0)</f>
        <v>100</v>
      </c>
      <c r="I27" s="20">
        <v>90.8</v>
      </c>
      <c r="J27" s="22">
        <f>IFERROR(MIN(IF(VLOOKUP(F27,'05_Master KPI'!$B$5:$G$100,5,FALSE)="Lower",H27/I27,I27/H27),1),0)</f>
        <v>0.90799999999999992</v>
      </c>
      <c r="K27" s="9">
        <f>IFERROR(VLOOKUP(F27,'05_Master KPI'!$B$5:$G$100,4,FALSE),0)</f>
        <v>15</v>
      </c>
      <c r="L27" s="23">
        <f t="shared" si="0"/>
        <v>13.62</v>
      </c>
      <c r="M27" s="9" t="str">
        <f>IF(D27="","",IF(J27&gt;='13_Setting'!$H$7,"Tercapai",IF(J27&gt;='13_Setting'!$H$6,"On Track","Tertinggal")))</f>
        <v>On Track</v>
      </c>
      <c r="N27" s="20" t="s">
        <v>211</v>
      </c>
      <c r="O27" s="1"/>
      <c r="P27" s="1"/>
      <c r="Q27" s="1"/>
      <c r="R27" s="1"/>
      <c r="S27" s="1"/>
      <c r="T27" s="1"/>
      <c r="U27" s="1"/>
      <c r="V27" s="1"/>
      <c r="W27" s="1"/>
      <c r="X27" s="1"/>
      <c r="Y27" s="1"/>
      <c r="Z27" s="1"/>
    </row>
    <row r="28" spans="1:26">
      <c r="A28" s="20" t="s">
        <v>195</v>
      </c>
      <c r="B28" s="20">
        <v>2026</v>
      </c>
      <c r="C28" s="21">
        <v>46142</v>
      </c>
      <c r="D28" s="20" t="s">
        <v>102</v>
      </c>
      <c r="E28" s="9" t="str">
        <f>IFERROR(VLOOKUP(D28,'04_Master Karyawan'!$A$5:$F$50,2,FALSE),"")</f>
        <v>HR Staff (Ganti Nama)</v>
      </c>
      <c r="F28" s="20" t="s">
        <v>178</v>
      </c>
      <c r="G28" s="9" t="str">
        <f>IFERROR(VLOOKUP(F28,'05_Master KPI'!$B$5:$G$100,2,FALSE)&amp;" ("&amp;VLOOKUP(F28,'05_Master KPI'!$B$5:$G$100,3,FALSE)&amp;")","")</f>
        <v>Onboarding Completion (%)</v>
      </c>
      <c r="H28" s="9">
        <f>IFERROR(IF(B28&lt;&gt;'06_Target KPI'!$B$3,0,IF(VLOOKUP(F28,'05_Master KPI'!$B$5:$G$100,6,FALSE)="Kumulatif",INDEX('06_Target KPI'!$E$5:$P$100,MATCH(F28,'06_Target KPI'!$B$5:$B$100,0),MATCH(A28,'06_Target KPI'!$E$4:$P$4,0))*DAY(C28)/DAY(EOMONTH(C28,0)),INDEX('06_Target KPI'!$E$5:$P$100,MATCH(F28,'06_Target KPI'!$B$5:$B$100,0),MATCH(A28,'06_Target KPI'!$E$4:$P$4,0)))),0)</f>
        <v>100</v>
      </c>
      <c r="I28" s="20">
        <v>90.8</v>
      </c>
      <c r="J28" s="22">
        <f>IFERROR(MIN(IF(VLOOKUP(F28,'05_Master KPI'!$B$5:$G$100,5,FALSE)="Lower",H28/I28,I28/H28),1),0)</f>
        <v>0.90799999999999992</v>
      </c>
      <c r="K28" s="9">
        <f>IFERROR(VLOOKUP(F28,'05_Master KPI'!$B$5:$G$100,4,FALSE),0)</f>
        <v>15</v>
      </c>
      <c r="L28" s="23">
        <f t="shared" si="0"/>
        <v>13.62</v>
      </c>
      <c r="M28" s="9" t="str">
        <f>IF(D28="","",IF(J28&gt;='13_Setting'!$H$7,"Tercapai",IF(J28&gt;='13_Setting'!$H$6,"On Track","Tertinggal")))</f>
        <v>On Track</v>
      </c>
      <c r="N28" s="20" t="s">
        <v>211</v>
      </c>
      <c r="O28" s="1"/>
      <c r="P28" s="1"/>
      <c r="Q28" s="1"/>
      <c r="R28" s="1"/>
      <c r="S28" s="1"/>
      <c r="T28" s="1"/>
      <c r="U28" s="1"/>
      <c r="V28" s="1"/>
      <c r="W28" s="1"/>
      <c r="X28" s="1"/>
      <c r="Y28" s="1"/>
      <c r="Z28" s="1"/>
    </row>
    <row r="29" spans="1:26">
      <c r="A29" s="20" t="s">
        <v>40</v>
      </c>
      <c r="B29" s="20">
        <v>2026</v>
      </c>
      <c r="C29" s="21">
        <v>46173</v>
      </c>
      <c r="D29" s="20" t="s">
        <v>102</v>
      </c>
      <c r="E29" s="9" t="str">
        <f>IFERROR(VLOOKUP(D29,'04_Master Karyawan'!$A$5:$F$50,2,FALSE),"")</f>
        <v>HR Staff (Ganti Nama)</v>
      </c>
      <c r="F29" s="20" t="s">
        <v>168</v>
      </c>
      <c r="G29" s="9" t="str">
        <f>IFERROR(VLOOKUP(F29,'05_Master KPI'!$B$5:$G$100,2,FALSE)&amp;" ("&amp;VLOOKUP(F29,'05_Master KPI'!$B$5:$G$100,3,FALSE)&amp;")","")</f>
        <v>Recruitment Fulfillment (%)</v>
      </c>
      <c r="H29" s="9">
        <f>IFERROR(IF(B29&lt;&gt;'06_Target KPI'!$B$3,0,IF(VLOOKUP(F29,'05_Master KPI'!$B$5:$G$100,6,FALSE)="Kumulatif",INDEX('06_Target KPI'!$E$5:$P$100,MATCH(F29,'06_Target KPI'!$B$5:$B$100,0),MATCH(A29,'06_Target KPI'!$E$4:$P$4,0))*DAY(C29)/DAY(EOMONTH(C29,0)),INDEX('06_Target KPI'!$E$5:$P$100,MATCH(F29,'06_Target KPI'!$B$5:$B$100,0),MATCH(A29,'06_Target KPI'!$E$4:$P$4,0)))),0)</f>
        <v>90</v>
      </c>
      <c r="I29" s="20">
        <v>80.8</v>
      </c>
      <c r="J29" s="22">
        <f>IFERROR(MIN(IF(VLOOKUP(F29,'05_Master KPI'!$B$5:$G$100,5,FALSE)="Lower",H29/I29,I29/H29),1),0)</f>
        <v>0.89777777777777779</v>
      </c>
      <c r="K29" s="9">
        <f>IFERROR(VLOOKUP(F29,'05_Master KPI'!$B$5:$G$100,4,FALSE),0)</f>
        <v>20</v>
      </c>
      <c r="L29" s="23">
        <f t="shared" si="0"/>
        <v>17.955555555555556</v>
      </c>
      <c r="M29" s="9" t="str">
        <f>IF(D29="","",IF(J29&gt;='13_Setting'!$H$7,"Tercapai",IF(J29&gt;='13_Setting'!$H$6,"On Track","Tertinggal")))</f>
        <v>On Track</v>
      </c>
      <c r="N29" s="20" t="s">
        <v>211</v>
      </c>
      <c r="O29" s="1"/>
      <c r="P29" s="1"/>
      <c r="Q29" s="1"/>
      <c r="R29" s="1"/>
      <c r="S29" s="1"/>
      <c r="T29" s="1"/>
      <c r="U29" s="1"/>
      <c r="V29" s="1"/>
      <c r="W29" s="1"/>
      <c r="X29" s="1"/>
      <c r="Y29" s="1"/>
      <c r="Z29" s="1"/>
    </row>
    <row r="30" spans="1:26">
      <c r="A30" s="20" t="s">
        <v>40</v>
      </c>
      <c r="B30" s="20">
        <v>2026</v>
      </c>
      <c r="C30" s="21">
        <v>46173</v>
      </c>
      <c r="D30" s="20" t="s">
        <v>102</v>
      </c>
      <c r="E30" s="9" t="str">
        <f>IFERROR(VLOOKUP(D30,'04_Master Karyawan'!$A$5:$F$50,2,FALSE),"")</f>
        <v>HR Staff (Ganti Nama)</v>
      </c>
      <c r="F30" s="20" t="s">
        <v>170</v>
      </c>
      <c r="G30" s="9" t="str">
        <f>IFERROR(VLOOKUP(F30,'05_Master KPI'!$B$5:$G$100,2,FALSE)&amp;" ("&amp;VLOOKUP(F30,'05_Master KPI'!$B$5:$G$100,3,FALSE)&amp;")","")</f>
        <v>Payroll Accuracy (%)</v>
      </c>
      <c r="H30" s="9">
        <f>IFERROR(IF(B30&lt;&gt;'06_Target KPI'!$B$3,0,IF(VLOOKUP(F30,'05_Master KPI'!$B$5:$G$100,6,FALSE)="Kumulatif",INDEX('06_Target KPI'!$E$5:$P$100,MATCH(F30,'06_Target KPI'!$B$5:$B$100,0),MATCH(A30,'06_Target KPI'!$E$4:$P$4,0))*DAY(C30)/DAY(EOMONTH(C30,0)),INDEX('06_Target KPI'!$E$5:$P$100,MATCH(F30,'06_Target KPI'!$B$5:$B$100,0),MATCH(A30,'06_Target KPI'!$E$4:$P$4,0)))),0)</f>
        <v>100</v>
      </c>
      <c r="I30" s="20">
        <v>89.8</v>
      </c>
      <c r="J30" s="22">
        <f>IFERROR(MIN(IF(VLOOKUP(F30,'05_Master KPI'!$B$5:$G$100,5,FALSE)="Lower",H30/I30,I30/H30),1),0)</f>
        <v>0.89800000000000002</v>
      </c>
      <c r="K30" s="9">
        <f>IFERROR(VLOOKUP(F30,'05_Master KPI'!$B$5:$G$100,4,FALSE),0)</f>
        <v>20</v>
      </c>
      <c r="L30" s="23">
        <f t="shared" si="0"/>
        <v>17.96</v>
      </c>
      <c r="M30" s="9" t="str">
        <f>IF(D30="","",IF(J30&gt;='13_Setting'!$H$7,"Tercapai",IF(J30&gt;='13_Setting'!$H$6,"On Track","Tertinggal")))</f>
        <v>On Track</v>
      </c>
      <c r="N30" s="20" t="s">
        <v>211</v>
      </c>
      <c r="O30" s="1"/>
      <c r="P30" s="1"/>
      <c r="Q30" s="1"/>
      <c r="R30" s="1"/>
      <c r="S30" s="1"/>
      <c r="T30" s="1"/>
      <c r="U30" s="1"/>
      <c r="V30" s="1"/>
      <c r="W30" s="1"/>
      <c r="X30" s="1"/>
      <c r="Y30" s="1"/>
      <c r="Z30" s="1"/>
    </row>
    <row r="31" spans="1:26">
      <c r="A31" s="20" t="s">
        <v>40</v>
      </c>
      <c r="B31" s="20">
        <v>2026</v>
      </c>
      <c r="C31" s="21">
        <v>46173</v>
      </c>
      <c r="D31" s="20" t="s">
        <v>102</v>
      </c>
      <c r="E31" s="9" t="str">
        <f>IFERROR(VLOOKUP(D31,'04_Master Karyawan'!$A$5:$F$50,2,FALSE),"")</f>
        <v>HR Staff (Ganti Nama)</v>
      </c>
      <c r="F31" s="20" t="s">
        <v>172</v>
      </c>
      <c r="G31" s="9" t="str">
        <f>IFERROR(VLOOKUP(F31,'05_Master KPI'!$B$5:$G$100,2,FALSE)&amp;" ("&amp;VLOOKUP(F31,'05_Master KPI'!$B$5:$G$100,3,FALSE)&amp;")","")</f>
        <v>Administrasi Absensi (%)</v>
      </c>
      <c r="H31" s="9">
        <f>IFERROR(IF(B31&lt;&gt;'06_Target KPI'!$B$3,0,IF(VLOOKUP(F31,'05_Master KPI'!$B$5:$G$100,6,FALSE)="Kumulatif",INDEX('06_Target KPI'!$E$5:$P$100,MATCH(F31,'06_Target KPI'!$B$5:$B$100,0),MATCH(A31,'06_Target KPI'!$E$4:$P$4,0))*DAY(C31)/DAY(EOMONTH(C31,0)),INDEX('06_Target KPI'!$E$5:$P$100,MATCH(F31,'06_Target KPI'!$B$5:$B$100,0),MATCH(A31,'06_Target KPI'!$E$4:$P$4,0)))),0)</f>
        <v>100</v>
      </c>
      <c r="I31" s="20">
        <v>89.8</v>
      </c>
      <c r="J31" s="22">
        <f>IFERROR(MIN(IF(VLOOKUP(F31,'05_Master KPI'!$B$5:$G$100,5,FALSE)="Lower",H31/I31,I31/H31),1),0)</f>
        <v>0.89800000000000002</v>
      </c>
      <c r="K31" s="9">
        <f>IFERROR(VLOOKUP(F31,'05_Master KPI'!$B$5:$G$100,4,FALSE),0)</f>
        <v>15</v>
      </c>
      <c r="L31" s="23">
        <f t="shared" si="0"/>
        <v>13.47</v>
      </c>
      <c r="M31" s="9" t="str">
        <f>IF(D31="","",IF(J31&gt;='13_Setting'!$H$7,"Tercapai",IF(J31&gt;='13_Setting'!$H$6,"On Track","Tertinggal")))</f>
        <v>On Track</v>
      </c>
      <c r="N31" s="20" t="s">
        <v>211</v>
      </c>
      <c r="O31" s="1"/>
      <c r="P31" s="1"/>
      <c r="Q31" s="1"/>
      <c r="R31" s="1"/>
      <c r="S31" s="1"/>
      <c r="T31" s="1"/>
      <c r="U31" s="1"/>
      <c r="V31" s="1"/>
      <c r="W31" s="1"/>
      <c r="X31" s="1"/>
      <c r="Y31" s="1"/>
      <c r="Z31" s="1"/>
    </row>
    <row r="32" spans="1:26">
      <c r="A32" s="20" t="s">
        <v>40</v>
      </c>
      <c r="B32" s="20">
        <v>2026</v>
      </c>
      <c r="C32" s="21">
        <v>46173</v>
      </c>
      <c r="D32" s="20" t="s">
        <v>102</v>
      </c>
      <c r="E32" s="9" t="str">
        <f>IFERROR(VLOOKUP(D32,'04_Master Karyawan'!$A$5:$F$50,2,FALSE),"")</f>
        <v>HR Staff (Ganti Nama)</v>
      </c>
      <c r="F32" s="20" t="s">
        <v>174</v>
      </c>
      <c r="G32" s="9" t="str">
        <f>IFERROR(VLOOKUP(F32,'05_Master KPI'!$B$5:$G$100,2,FALSE)&amp;" ("&amp;VLOOKUP(F32,'05_Master KPI'!$B$5:$G$100,3,FALSE)&amp;")","")</f>
        <v>Administrasi Personalia (%)</v>
      </c>
      <c r="H32" s="9">
        <f>IFERROR(IF(B32&lt;&gt;'06_Target KPI'!$B$3,0,IF(VLOOKUP(F32,'05_Master KPI'!$B$5:$G$100,6,FALSE)="Kumulatif",INDEX('06_Target KPI'!$E$5:$P$100,MATCH(F32,'06_Target KPI'!$B$5:$B$100,0),MATCH(A32,'06_Target KPI'!$E$4:$P$4,0))*DAY(C32)/DAY(EOMONTH(C32,0)),INDEX('06_Target KPI'!$E$5:$P$100,MATCH(F32,'06_Target KPI'!$B$5:$B$100,0),MATCH(A32,'06_Target KPI'!$E$4:$P$4,0)))),0)</f>
        <v>100</v>
      </c>
      <c r="I32" s="20">
        <v>89.8</v>
      </c>
      <c r="J32" s="22">
        <f>IFERROR(MIN(IF(VLOOKUP(F32,'05_Master KPI'!$B$5:$G$100,5,FALSE)="Lower",H32/I32,I32/H32),1),0)</f>
        <v>0.89800000000000002</v>
      </c>
      <c r="K32" s="9">
        <f>IFERROR(VLOOKUP(F32,'05_Master KPI'!$B$5:$G$100,4,FALSE),0)</f>
        <v>15</v>
      </c>
      <c r="L32" s="23">
        <f t="shared" si="0"/>
        <v>13.47</v>
      </c>
      <c r="M32" s="9" t="str">
        <f>IF(D32="","",IF(J32&gt;='13_Setting'!$H$7,"Tercapai",IF(J32&gt;='13_Setting'!$H$6,"On Track","Tertinggal")))</f>
        <v>On Track</v>
      </c>
      <c r="N32" s="20" t="s">
        <v>211</v>
      </c>
      <c r="O32" s="1"/>
      <c r="P32" s="1"/>
      <c r="Q32" s="1"/>
      <c r="R32" s="1"/>
      <c r="S32" s="1"/>
      <c r="T32" s="1"/>
      <c r="U32" s="1"/>
      <c r="V32" s="1"/>
      <c r="W32" s="1"/>
      <c r="X32" s="1"/>
      <c r="Y32" s="1"/>
      <c r="Z32" s="1"/>
    </row>
    <row r="33" spans="1:26">
      <c r="A33" s="20" t="s">
        <v>40</v>
      </c>
      <c r="B33" s="20">
        <v>2026</v>
      </c>
      <c r="C33" s="21">
        <v>46173</v>
      </c>
      <c r="D33" s="20" t="s">
        <v>102</v>
      </c>
      <c r="E33" s="9" t="str">
        <f>IFERROR(VLOOKUP(D33,'04_Master Karyawan'!$A$5:$F$50,2,FALSE),"")</f>
        <v>HR Staff (Ganti Nama)</v>
      </c>
      <c r="F33" s="20" t="s">
        <v>176</v>
      </c>
      <c r="G33" s="9" t="str">
        <f>IFERROR(VLOOKUP(F33,'05_Master KPI'!$B$5:$G$100,2,FALSE)&amp;" ("&amp;VLOOKUP(F33,'05_Master KPI'!$B$5:$G$100,3,FALSE)&amp;")","")</f>
        <v>Evaluasi Karyawan (%)</v>
      </c>
      <c r="H33" s="9">
        <f>IFERROR(IF(B33&lt;&gt;'06_Target KPI'!$B$3,0,IF(VLOOKUP(F33,'05_Master KPI'!$B$5:$G$100,6,FALSE)="Kumulatif",INDEX('06_Target KPI'!$E$5:$P$100,MATCH(F33,'06_Target KPI'!$B$5:$B$100,0),MATCH(A33,'06_Target KPI'!$E$4:$P$4,0))*DAY(C33)/DAY(EOMONTH(C33,0)),INDEX('06_Target KPI'!$E$5:$P$100,MATCH(F33,'06_Target KPI'!$B$5:$B$100,0),MATCH(A33,'06_Target KPI'!$E$4:$P$4,0)))),0)</f>
        <v>100</v>
      </c>
      <c r="I33" s="20">
        <v>89.8</v>
      </c>
      <c r="J33" s="22">
        <f>IFERROR(MIN(IF(VLOOKUP(F33,'05_Master KPI'!$B$5:$G$100,5,FALSE)="Lower",H33/I33,I33/H33),1),0)</f>
        <v>0.89800000000000002</v>
      </c>
      <c r="K33" s="9">
        <f>IFERROR(VLOOKUP(F33,'05_Master KPI'!$B$5:$G$100,4,FALSE),0)</f>
        <v>15</v>
      </c>
      <c r="L33" s="23">
        <f t="shared" si="0"/>
        <v>13.47</v>
      </c>
      <c r="M33" s="9" t="str">
        <f>IF(D33="","",IF(J33&gt;='13_Setting'!$H$7,"Tercapai",IF(J33&gt;='13_Setting'!$H$6,"On Track","Tertinggal")))</f>
        <v>On Track</v>
      </c>
      <c r="N33" s="20" t="s">
        <v>211</v>
      </c>
      <c r="O33" s="1"/>
      <c r="P33" s="1"/>
      <c r="Q33" s="1"/>
      <c r="R33" s="1"/>
      <c r="S33" s="1"/>
      <c r="T33" s="1"/>
      <c r="U33" s="1"/>
      <c r="V33" s="1"/>
      <c r="W33" s="1"/>
      <c r="X33" s="1"/>
      <c r="Y33" s="1"/>
      <c r="Z33" s="1"/>
    </row>
    <row r="34" spans="1:26">
      <c r="A34" s="20" t="s">
        <v>40</v>
      </c>
      <c r="B34" s="20">
        <v>2026</v>
      </c>
      <c r="C34" s="21">
        <v>46173</v>
      </c>
      <c r="D34" s="20" t="s">
        <v>102</v>
      </c>
      <c r="E34" s="9" t="str">
        <f>IFERROR(VLOOKUP(D34,'04_Master Karyawan'!$A$5:$F$50,2,FALSE),"")</f>
        <v>HR Staff (Ganti Nama)</v>
      </c>
      <c r="F34" s="20" t="s">
        <v>178</v>
      </c>
      <c r="G34" s="9" t="str">
        <f>IFERROR(VLOOKUP(F34,'05_Master KPI'!$B$5:$G$100,2,FALSE)&amp;" ("&amp;VLOOKUP(F34,'05_Master KPI'!$B$5:$G$100,3,FALSE)&amp;")","")</f>
        <v>Onboarding Completion (%)</v>
      </c>
      <c r="H34" s="9">
        <f>IFERROR(IF(B34&lt;&gt;'06_Target KPI'!$B$3,0,IF(VLOOKUP(F34,'05_Master KPI'!$B$5:$G$100,6,FALSE)="Kumulatif",INDEX('06_Target KPI'!$E$5:$P$100,MATCH(F34,'06_Target KPI'!$B$5:$B$100,0),MATCH(A34,'06_Target KPI'!$E$4:$P$4,0))*DAY(C34)/DAY(EOMONTH(C34,0)),INDEX('06_Target KPI'!$E$5:$P$100,MATCH(F34,'06_Target KPI'!$B$5:$B$100,0),MATCH(A34,'06_Target KPI'!$E$4:$P$4,0)))),0)</f>
        <v>100</v>
      </c>
      <c r="I34" s="20">
        <v>89.8</v>
      </c>
      <c r="J34" s="22">
        <f>IFERROR(MIN(IF(VLOOKUP(F34,'05_Master KPI'!$B$5:$G$100,5,FALSE)="Lower",H34/I34,I34/H34),1),0)</f>
        <v>0.89800000000000002</v>
      </c>
      <c r="K34" s="9">
        <f>IFERROR(VLOOKUP(F34,'05_Master KPI'!$B$5:$G$100,4,FALSE),0)</f>
        <v>15</v>
      </c>
      <c r="L34" s="23">
        <f t="shared" si="0"/>
        <v>13.47</v>
      </c>
      <c r="M34" s="9" t="str">
        <f>IF(D34="","",IF(J34&gt;='13_Setting'!$H$7,"Tercapai",IF(J34&gt;='13_Setting'!$H$6,"On Track","Tertinggal")))</f>
        <v>On Track</v>
      </c>
      <c r="N34" s="20" t="s">
        <v>211</v>
      </c>
      <c r="O34" s="1"/>
      <c r="P34" s="1"/>
      <c r="Q34" s="1"/>
      <c r="R34" s="1"/>
      <c r="S34" s="1"/>
      <c r="T34" s="1"/>
      <c r="U34" s="1"/>
      <c r="V34" s="1"/>
      <c r="W34" s="1"/>
      <c r="X34" s="1"/>
      <c r="Y34" s="1"/>
      <c r="Z34" s="1"/>
    </row>
    <row r="35" spans="1:26">
      <c r="A35" s="20" t="s">
        <v>196</v>
      </c>
      <c r="B35" s="20">
        <v>2026</v>
      </c>
      <c r="C35" s="21">
        <v>46203</v>
      </c>
      <c r="D35" s="20" t="s">
        <v>102</v>
      </c>
      <c r="E35" s="9" t="str">
        <f>IFERROR(VLOOKUP(D35,'04_Master Karyawan'!$A$5:$F$50,2,FALSE),"")</f>
        <v>HR Staff (Ganti Nama)</v>
      </c>
      <c r="F35" s="20" t="s">
        <v>168</v>
      </c>
      <c r="G35" s="9" t="str">
        <f>IFERROR(VLOOKUP(F35,'05_Master KPI'!$B$5:$G$100,2,FALSE)&amp;" ("&amp;VLOOKUP(F35,'05_Master KPI'!$B$5:$G$100,3,FALSE)&amp;")","")</f>
        <v>Recruitment Fulfillment (%)</v>
      </c>
      <c r="H35" s="9">
        <f>IFERROR(IF(B35&lt;&gt;'06_Target KPI'!$B$3,0,IF(VLOOKUP(F35,'05_Master KPI'!$B$5:$G$100,6,FALSE)="Kumulatif",INDEX('06_Target KPI'!$E$5:$P$100,MATCH(F35,'06_Target KPI'!$B$5:$B$100,0),MATCH(A35,'06_Target KPI'!$E$4:$P$4,0))*DAY(C35)/DAY(EOMONTH(C35,0)),INDEX('06_Target KPI'!$E$5:$P$100,MATCH(F35,'06_Target KPI'!$B$5:$B$100,0),MATCH(A35,'06_Target KPI'!$E$4:$P$4,0)))),0)</f>
        <v>90</v>
      </c>
      <c r="I35" s="20">
        <v>83.5</v>
      </c>
      <c r="J35" s="22">
        <f>IFERROR(MIN(IF(VLOOKUP(F35,'05_Master KPI'!$B$5:$G$100,5,FALSE)="Lower",H35/I35,I35/H35),1),0)</f>
        <v>0.92777777777777781</v>
      </c>
      <c r="K35" s="9">
        <f>IFERROR(VLOOKUP(F35,'05_Master KPI'!$B$5:$G$100,4,FALSE),0)</f>
        <v>20</v>
      </c>
      <c r="L35" s="23">
        <f t="shared" si="0"/>
        <v>18.555555555555557</v>
      </c>
      <c r="M35" s="9" t="str">
        <f>IF(D35="","",IF(J35&gt;='13_Setting'!$H$7,"Tercapai",IF(J35&gt;='13_Setting'!$H$6,"On Track","Tertinggal")))</f>
        <v>On Track</v>
      </c>
      <c r="N35" s="20" t="s">
        <v>211</v>
      </c>
      <c r="O35" s="1"/>
      <c r="P35" s="1"/>
      <c r="Q35" s="1"/>
      <c r="R35" s="1"/>
      <c r="S35" s="1"/>
      <c r="T35" s="1"/>
      <c r="U35" s="1"/>
      <c r="V35" s="1"/>
      <c r="W35" s="1"/>
      <c r="X35" s="1"/>
      <c r="Y35" s="1"/>
      <c r="Z35" s="1"/>
    </row>
    <row r="36" spans="1:26">
      <c r="A36" s="20" t="s">
        <v>196</v>
      </c>
      <c r="B36" s="20">
        <v>2026</v>
      </c>
      <c r="C36" s="21">
        <v>46203</v>
      </c>
      <c r="D36" s="20" t="s">
        <v>102</v>
      </c>
      <c r="E36" s="9" t="str">
        <f>IFERROR(VLOOKUP(D36,'04_Master Karyawan'!$A$5:$F$50,2,FALSE),"")</f>
        <v>HR Staff (Ganti Nama)</v>
      </c>
      <c r="F36" s="20" t="s">
        <v>170</v>
      </c>
      <c r="G36" s="9" t="str">
        <f>IFERROR(VLOOKUP(F36,'05_Master KPI'!$B$5:$G$100,2,FALSE)&amp;" ("&amp;VLOOKUP(F36,'05_Master KPI'!$B$5:$G$100,3,FALSE)&amp;")","")</f>
        <v>Payroll Accuracy (%)</v>
      </c>
      <c r="H36" s="9">
        <f>IFERROR(IF(B36&lt;&gt;'06_Target KPI'!$B$3,0,IF(VLOOKUP(F36,'05_Master KPI'!$B$5:$G$100,6,FALSE)="Kumulatif",INDEX('06_Target KPI'!$E$5:$P$100,MATCH(F36,'06_Target KPI'!$B$5:$B$100,0),MATCH(A36,'06_Target KPI'!$E$4:$P$4,0))*DAY(C36)/DAY(EOMONTH(C36,0)),INDEX('06_Target KPI'!$E$5:$P$100,MATCH(F36,'06_Target KPI'!$B$5:$B$100,0),MATCH(A36,'06_Target KPI'!$E$4:$P$4,0)))),0)</f>
        <v>100</v>
      </c>
      <c r="I36" s="20">
        <v>92.8</v>
      </c>
      <c r="J36" s="22">
        <f>IFERROR(MIN(IF(VLOOKUP(F36,'05_Master KPI'!$B$5:$G$100,5,FALSE)="Lower",H36/I36,I36/H36),1),0)</f>
        <v>0.92799999999999994</v>
      </c>
      <c r="K36" s="9">
        <f>IFERROR(VLOOKUP(F36,'05_Master KPI'!$B$5:$G$100,4,FALSE),0)</f>
        <v>20</v>
      </c>
      <c r="L36" s="23">
        <f t="shared" si="0"/>
        <v>18.559999999999999</v>
      </c>
      <c r="M36" s="9" t="str">
        <f>IF(D36="","",IF(J36&gt;='13_Setting'!$H$7,"Tercapai",IF(J36&gt;='13_Setting'!$H$6,"On Track","Tertinggal")))</f>
        <v>On Track</v>
      </c>
      <c r="N36" s="20" t="s">
        <v>211</v>
      </c>
      <c r="O36" s="1"/>
      <c r="P36" s="1"/>
      <c r="Q36" s="1"/>
      <c r="R36" s="1"/>
      <c r="S36" s="1"/>
      <c r="T36" s="1"/>
      <c r="U36" s="1"/>
      <c r="V36" s="1"/>
      <c r="W36" s="1"/>
      <c r="X36" s="1"/>
      <c r="Y36" s="1"/>
      <c r="Z36" s="1"/>
    </row>
    <row r="37" spans="1:26">
      <c r="A37" s="20" t="s">
        <v>196</v>
      </c>
      <c r="B37" s="20">
        <v>2026</v>
      </c>
      <c r="C37" s="21">
        <v>46203</v>
      </c>
      <c r="D37" s="20" t="s">
        <v>102</v>
      </c>
      <c r="E37" s="9" t="str">
        <f>IFERROR(VLOOKUP(D37,'04_Master Karyawan'!$A$5:$F$50,2,FALSE),"")</f>
        <v>HR Staff (Ganti Nama)</v>
      </c>
      <c r="F37" s="20" t="s">
        <v>172</v>
      </c>
      <c r="G37" s="9" t="str">
        <f>IFERROR(VLOOKUP(F37,'05_Master KPI'!$B$5:$G$100,2,FALSE)&amp;" ("&amp;VLOOKUP(F37,'05_Master KPI'!$B$5:$G$100,3,FALSE)&amp;")","")</f>
        <v>Administrasi Absensi (%)</v>
      </c>
      <c r="H37" s="9">
        <f>IFERROR(IF(B37&lt;&gt;'06_Target KPI'!$B$3,0,IF(VLOOKUP(F37,'05_Master KPI'!$B$5:$G$100,6,FALSE)="Kumulatif",INDEX('06_Target KPI'!$E$5:$P$100,MATCH(F37,'06_Target KPI'!$B$5:$B$100,0),MATCH(A37,'06_Target KPI'!$E$4:$P$4,0))*DAY(C37)/DAY(EOMONTH(C37,0)),INDEX('06_Target KPI'!$E$5:$P$100,MATCH(F37,'06_Target KPI'!$B$5:$B$100,0),MATCH(A37,'06_Target KPI'!$E$4:$P$4,0)))),0)</f>
        <v>100</v>
      </c>
      <c r="I37" s="20">
        <v>92.8</v>
      </c>
      <c r="J37" s="22">
        <f>IFERROR(MIN(IF(VLOOKUP(F37,'05_Master KPI'!$B$5:$G$100,5,FALSE)="Lower",H37/I37,I37/H37),1),0)</f>
        <v>0.92799999999999994</v>
      </c>
      <c r="K37" s="9">
        <f>IFERROR(VLOOKUP(F37,'05_Master KPI'!$B$5:$G$100,4,FALSE),0)</f>
        <v>15</v>
      </c>
      <c r="L37" s="23">
        <f t="shared" si="0"/>
        <v>13.919999999999998</v>
      </c>
      <c r="M37" s="9" t="str">
        <f>IF(D37="","",IF(J37&gt;='13_Setting'!$H$7,"Tercapai",IF(J37&gt;='13_Setting'!$H$6,"On Track","Tertinggal")))</f>
        <v>On Track</v>
      </c>
      <c r="N37" s="20" t="s">
        <v>211</v>
      </c>
      <c r="O37" s="1"/>
      <c r="P37" s="1"/>
      <c r="Q37" s="1"/>
      <c r="R37" s="1"/>
      <c r="S37" s="1"/>
      <c r="T37" s="1"/>
      <c r="U37" s="1"/>
      <c r="V37" s="1"/>
      <c r="W37" s="1"/>
      <c r="X37" s="1"/>
      <c r="Y37" s="1"/>
      <c r="Z37" s="1"/>
    </row>
    <row r="38" spans="1:26">
      <c r="A38" s="20" t="s">
        <v>196</v>
      </c>
      <c r="B38" s="20">
        <v>2026</v>
      </c>
      <c r="C38" s="21">
        <v>46203</v>
      </c>
      <c r="D38" s="20" t="s">
        <v>102</v>
      </c>
      <c r="E38" s="9" t="str">
        <f>IFERROR(VLOOKUP(D38,'04_Master Karyawan'!$A$5:$F$50,2,FALSE),"")</f>
        <v>HR Staff (Ganti Nama)</v>
      </c>
      <c r="F38" s="20" t="s">
        <v>174</v>
      </c>
      <c r="G38" s="9" t="str">
        <f>IFERROR(VLOOKUP(F38,'05_Master KPI'!$B$5:$G$100,2,FALSE)&amp;" ("&amp;VLOOKUP(F38,'05_Master KPI'!$B$5:$G$100,3,FALSE)&amp;")","")</f>
        <v>Administrasi Personalia (%)</v>
      </c>
      <c r="H38" s="9">
        <f>IFERROR(IF(B38&lt;&gt;'06_Target KPI'!$B$3,0,IF(VLOOKUP(F38,'05_Master KPI'!$B$5:$G$100,6,FALSE)="Kumulatif",INDEX('06_Target KPI'!$E$5:$P$100,MATCH(F38,'06_Target KPI'!$B$5:$B$100,0),MATCH(A38,'06_Target KPI'!$E$4:$P$4,0))*DAY(C38)/DAY(EOMONTH(C38,0)),INDEX('06_Target KPI'!$E$5:$P$100,MATCH(F38,'06_Target KPI'!$B$5:$B$100,0),MATCH(A38,'06_Target KPI'!$E$4:$P$4,0)))),0)</f>
        <v>100</v>
      </c>
      <c r="I38" s="20">
        <v>92.8</v>
      </c>
      <c r="J38" s="22">
        <f>IFERROR(MIN(IF(VLOOKUP(F38,'05_Master KPI'!$B$5:$G$100,5,FALSE)="Lower",H38/I38,I38/H38),1),0)</f>
        <v>0.92799999999999994</v>
      </c>
      <c r="K38" s="9">
        <f>IFERROR(VLOOKUP(F38,'05_Master KPI'!$B$5:$G$100,4,FALSE),0)</f>
        <v>15</v>
      </c>
      <c r="L38" s="23">
        <f t="shared" si="0"/>
        <v>13.919999999999998</v>
      </c>
      <c r="M38" s="9" t="str">
        <f>IF(D38="","",IF(J38&gt;='13_Setting'!$H$7,"Tercapai",IF(J38&gt;='13_Setting'!$H$6,"On Track","Tertinggal")))</f>
        <v>On Track</v>
      </c>
      <c r="N38" s="20" t="s">
        <v>211</v>
      </c>
      <c r="O38" s="1"/>
      <c r="P38" s="1"/>
      <c r="Q38" s="1"/>
      <c r="R38" s="1"/>
      <c r="S38" s="1"/>
      <c r="T38" s="1"/>
      <c r="U38" s="1"/>
      <c r="V38" s="1"/>
      <c r="W38" s="1"/>
      <c r="X38" s="1"/>
      <c r="Y38" s="1"/>
      <c r="Z38" s="1"/>
    </row>
    <row r="39" spans="1:26">
      <c r="A39" s="20" t="s">
        <v>196</v>
      </c>
      <c r="B39" s="20">
        <v>2026</v>
      </c>
      <c r="C39" s="21">
        <v>46203</v>
      </c>
      <c r="D39" s="20" t="s">
        <v>102</v>
      </c>
      <c r="E39" s="9" t="str">
        <f>IFERROR(VLOOKUP(D39,'04_Master Karyawan'!$A$5:$F$50,2,FALSE),"")</f>
        <v>HR Staff (Ganti Nama)</v>
      </c>
      <c r="F39" s="20" t="s">
        <v>176</v>
      </c>
      <c r="G39" s="9" t="str">
        <f>IFERROR(VLOOKUP(F39,'05_Master KPI'!$B$5:$G$100,2,FALSE)&amp;" ("&amp;VLOOKUP(F39,'05_Master KPI'!$B$5:$G$100,3,FALSE)&amp;")","")</f>
        <v>Evaluasi Karyawan (%)</v>
      </c>
      <c r="H39" s="9">
        <f>IFERROR(IF(B39&lt;&gt;'06_Target KPI'!$B$3,0,IF(VLOOKUP(F39,'05_Master KPI'!$B$5:$G$100,6,FALSE)="Kumulatif",INDEX('06_Target KPI'!$E$5:$P$100,MATCH(F39,'06_Target KPI'!$B$5:$B$100,0),MATCH(A39,'06_Target KPI'!$E$4:$P$4,0))*DAY(C39)/DAY(EOMONTH(C39,0)),INDEX('06_Target KPI'!$E$5:$P$100,MATCH(F39,'06_Target KPI'!$B$5:$B$100,0),MATCH(A39,'06_Target KPI'!$E$4:$P$4,0)))),0)</f>
        <v>100</v>
      </c>
      <c r="I39" s="20">
        <v>92.8</v>
      </c>
      <c r="J39" s="22">
        <f>IFERROR(MIN(IF(VLOOKUP(F39,'05_Master KPI'!$B$5:$G$100,5,FALSE)="Lower",H39/I39,I39/H39),1),0)</f>
        <v>0.92799999999999994</v>
      </c>
      <c r="K39" s="9">
        <f>IFERROR(VLOOKUP(F39,'05_Master KPI'!$B$5:$G$100,4,FALSE),0)</f>
        <v>15</v>
      </c>
      <c r="L39" s="23">
        <f t="shared" si="0"/>
        <v>13.919999999999998</v>
      </c>
      <c r="M39" s="9" t="str">
        <f>IF(D39="","",IF(J39&gt;='13_Setting'!$H$7,"Tercapai",IF(J39&gt;='13_Setting'!$H$6,"On Track","Tertinggal")))</f>
        <v>On Track</v>
      </c>
      <c r="N39" s="20" t="s">
        <v>211</v>
      </c>
      <c r="O39" s="1"/>
      <c r="P39" s="1"/>
      <c r="Q39" s="1"/>
      <c r="R39" s="1"/>
      <c r="S39" s="1"/>
      <c r="T39" s="1"/>
      <c r="U39" s="1"/>
      <c r="V39" s="1"/>
      <c r="W39" s="1"/>
      <c r="X39" s="1"/>
      <c r="Y39" s="1"/>
      <c r="Z39" s="1"/>
    </row>
    <row r="40" spans="1:26">
      <c r="A40" s="20" t="s">
        <v>196</v>
      </c>
      <c r="B40" s="20">
        <v>2026</v>
      </c>
      <c r="C40" s="21">
        <v>46203</v>
      </c>
      <c r="D40" s="20" t="s">
        <v>102</v>
      </c>
      <c r="E40" s="9" t="str">
        <f>IFERROR(VLOOKUP(D40,'04_Master Karyawan'!$A$5:$F$50,2,FALSE),"")</f>
        <v>HR Staff (Ganti Nama)</v>
      </c>
      <c r="F40" s="20" t="s">
        <v>178</v>
      </c>
      <c r="G40" s="9" t="str">
        <f>IFERROR(VLOOKUP(F40,'05_Master KPI'!$B$5:$G$100,2,FALSE)&amp;" ("&amp;VLOOKUP(F40,'05_Master KPI'!$B$5:$G$100,3,FALSE)&amp;")","")</f>
        <v>Onboarding Completion (%)</v>
      </c>
      <c r="H40" s="9">
        <f>IFERROR(IF(B40&lt;&gt;'06_Target KPI'!$B$3,0,IF(VLOOKUP(F40,'05_Master KPI'!$B$5:$G$100,6,FALSE)="Kumulatif",INDEX('06_Target KPI'!$E$5:$P$100,MATCH(F40,'06_Target KPI'!$B$5:$B$100,0),MATCH(A40,'06_Target KPI'!$E$4:$P$4,0))*DAY(C40)/DAY(EOMONTH(C40,0)),INDEX('06_Target KPI'!$E$5:$P$100,MATCH(F40,'06_Target KPI'!$B$5:$B$100,0),MATCH(A40,'06_Target KPI'!$E$4:$P$4,0)))),0)</f>
        <v>100</v>
      </c>
      <c r="I40" s="20">
        <v>92.8</v>
      </c>
      <c r="J40" s="22">
        <f>IFERROR(MIN(IF(VLOOKUP(F40,'05_Master KPI'!$B$5:$G$100,5,FALSE)="Lower",H40/I40,I40/H40),1),0)</f>
        <v>0.92799999999999994</v>
      </c>
      <c r="K40" s="9">
        <f>IFERROR(VLOOKUP(F40,'05_Master KPI'!$B$5:$G$100,4,FALSE),0)</f>
        <v>15</v>
      </c>
      <c r="L40" s="23">
        <f t="shared" si="0"/>
        <v>13.919999999999998</v>
      </c>
      <c r="M40" s="9" t="str">
        <f>IF(D40="","",IF(J40&gt;='13_Setting'!$H$7,"Tercapai",IF(J40&gt;='13_Setting'!$H$6,"On Track","Tertinggal")))</f>
        <v>On Track</v>
      </c>
      <c r="N40" s="20" t="s">
        <v>211</v>
      </c>
      <c r="O40" s="1"/>
      <c r="P40" s="1"/>
      <c r="Q40" s="1"/>
      <c r="R40" s="1"/>
      <c r="S40" s="1"/>
      <c r="T40" s="1"/>
      <c r="U40" s="1"/>
      <c r="V40" s="1"/>
      <c r="W40" s="1"/>
      <c r="X40" s="1"/>
      <c r="Y40" s="1"/>
      <c r="Z40" s="1"/>
    </row>
    <row r="41" spans="1:26">
      <c r="A41" s="20" t="s">
        <v>197</v>
      </c>
      <c r="B41" s="20">
        <v>2026</v>
      </c>
      <c r="C41" s="21">
        <v>46234</v>
      </c>
      <c r="D41" s="20" t="s">
        <v>102</v>
      </c>
      <c r="E41" s="9" t="str">
        <f>IFERROR(VLOOKUP(D41,'04_Master Karyawan'!$A$5:$F$50,2,FALSE),"")</f>
        <v>HR Staff (Ganti Nama)</v>
      </c>
      <c r="F41" s="20" t="s">
        <v>168</v>
      </c>
      <c r="G41" s="9" t="str">
        <f>IFERROR(VLOOKUP(F41,'05_Master KPI'!$B$5:$G$100,2,FALSE)&amp;" ("&amp;VLOOKUP(F41,'05_Master KPI'!$B$5:$G$100,3,FALSE)&amp;")","")</f>
        <v>Recruitment Fulfillment (%)</v>
      </c>
      <c r="H41" s="9">
        <f>IFERROR(IF(B41&lt;&gt;'06_Target KPI'!$B$3,0,IF(VLOOKUP(F41,'05_Master KPI'!$B$5:$G$100,6,FALSE)="Kumulatif",INDEX('06_Target KPI'!$E$5:$P$100,MATCH(F41,'06_Target KPI'!$B$5:$B$100,0),MATCH(A41,'06_Target KPI'!$E$4:$P$4,0))*DAY(C41)/DAY(EOMONTH(C41,0)),INDEX('06_Target KPI'!$E$5:$P$100,MATCH(F41,'06_Target KPI'!$B$5:$B$100,0),MATCH(A41,'06_Target KPI'!$E$4:$P$4,0)))),0)</f>
        <v>90</v>
      </c>
      <c r="I41" s="20">
        <v>85.3</v>
      </c>
      <c r="J41" s="22">
        <f>IFERROR(MIN(IF(VLOOKUP(F41,'05_Master KPI'!$B$5:$G$100,5,FALSE)="Lower",H41/I41,I41/H41),1),0)</f>
        <v>0.94777777777777772</v>
      </c>
      <c r="K41" s="9">
        <f>IFERROR(VLOOKUP(F41,'05_Master KPI'!$B$5:$G$100,4,FALSE),0)</f>
        <v>20</v>
      </c>
      <c r="L41" s="23">
        <f t="shared" si="0"/>
        <v>18.955555555555556</v>
      </c>
      <c r="M41" s="9" t="str">
        <f>IF(D41="","",IF(J41&gt;='13_Setting'!$H$7,"Tercapai",IF(J41&gt;='13_Setting'!$H$6,"On Track","Tertinggal")))</f>
        <v>On Track</v>
      </c>
      <c r="N41" s="20" t="s">
        <v>211</v>
      </c>
      <c r="O41" s="1"/>
      <c r="P41" s="1"/>
      <c r="Q41" s="1"/>
      <c r="R41" s="1"/>
      <c r="S41" s="1"/>
      <c r="T41" s="1"/>
      <c r="U41" s="1"/>
      <c r="V41" s="1"/>
      <c r="W41" s="1"/>
      <c r="X41" s="1"/>
      <c r="Y41" s="1"/>
      <c r="Z41" s="1"/>
    </row>
    <row r="42" spans="1:26">
      <c r="A42" s="20" t="s">
        <v>197</v>
      </c>
      <c r="B42" s="20">
        <v>2026</v>
      </c>
      <c r="C42" s="21">
        <v>46234</v>
      </c>
      <c r="D42" s="20" t="s">
        <v>102</v>
      </c>
      <c r="E42" s="9" t="str">
        <f>IFERROR(VLOOKUP(D42,'04_Master Karyawan'!$A$5:$F$50,2,FALSE),"")</f>
        <v>HR Staff (Ganti Nama)</v>
      </c>
      <c r="F42" s="20" t="s">
        <v>170</v>
      </c>
      <c r="G42" s="9" t="str">
        <f>IFERROR(VLOOKUP(F42,'05_Master KPI'!$B$5:$G$100,2,FALSE)&amp;" ("&amp;VLOOKUP(F42,'05_Master KPI'!$B$5:$G$100,3,FALSE)&amp;")","")</f>
        <v>Payroll Accuracy (%)</v>
      </c>
      <c r="H42" s="9">
        <f>IFERROR(IF(B42&lt;&gt;'06_Target KPI'!$B$3,0,IF(VLOOKUP(F42,'05_Master KPI'!$B$5:$G$100,6,FALSE)="Kumulatif",INDEX('06_Target KPI'!$E$5:$P$100,MATCH(F42,'06_Target KPI'!$B$5:$B$100,0),MATCH(A42,'06_Target KPI'!$E$4:$P$4,0))*DAY(C42)/DAY(EOMONTH(C42,0)),INDEX('06_Target KPI'!$E$5:$P$100,MATCH(F42,'06_Target KPI'!$B$5:$B$100,0),MATCH(A42,'06_Target KPI'!$E$4:$P$4,0)))),0)</f>
        <v>100</v>
      </c>
      <c r="I42" s="20">
        <v>94.8</v>
      </c>
      <c r="J42" s="22">
        <f>IFERROR(MIN(IF(VLOOKUP(F42,'05_Master KPI'!$B$5:$G$100,5,FALSE)="Lower",H42/I42,I42/H42),1),0)</f>
        <v>0.94799999999999995</v>
      </c>
      <c r="K42" s="9">
        <f>IFERROR(VLOOKUP(F42,'05_Master KPI'!$B$5:$G$100,4,FALSE),0)</f>
        <v>20</v>
      </c>
      <c r="L42" s="23">
        <f t="shared" si="0"/>
        <v>18.96</v>
      </c>
      <c r="M42" s="9" t="str">
        <f>IF(D42="","",IF(J42&gt;='13_Setting'!$H$7,"Tercapai",IF(J42&gt;='13_Setting'!$H$6,"On Track","Tertinggal")))</f>
        <v>On Track</v>
      </c>
      <c r="N42" s="20" t="s">
        <v>211</v>
      </c>
      <c r="O42" s="1"/>
      <c r="P42" s="1"/>
      <c r="Q42" s="1"/>
      <c r="R42" s="1"/>
      <c r="S42" s="1"/>
      <c r="T42" s="1"/>
      <c r="U42" s="1"/>
      <c r="V42" s="1"/>
      <c r="W42" s="1"/>
      <c r="X42" s="1"/>
      <c r="Y42" s="1"/>
      <c r="Z42" s="1"/>
    </row>
    <row r="43" spans="1:26">
      <c r="A43" s="20" t="s">
        <v>197</v>
      </c>
      <c r="B43" s="20">
        <v>2026</v>
      </c>
      <c r="C43" s="21">
        <v>46234</v>
      </c>
      <c r="D43" s="20" t="s">
        <v>102</v>
      </c>
      <c r="E43" s="9" t="str">
        <f>IFERROR(VLOOKUP(D43,'04_Master Karyawan'!$A$5:$F$50,2,FALSE),"")</f>
        <v>HR Staff (Ganti Nama)</v>
      </c>
      <c r="F43" s="20" t="s">
        <v>172</v>
      </c>
      <c r="G43" s="9" t="str">
        <f>IFERROR(VLOOKUP(F43,'05_Master KPI'!$B$5:$G$100,2,FALSE)&amp;" ("&amp;VLOOKUP(F43,'05_Master KPI'!$B$5:$G$100,3,FALSE)&amp;")","")</f>
        <v>Administrasi Absensi (%)</v>
      </c>
      <c r="H43" s="9">
        <f>IFERROR(IF(B43&lt;&gt;'06_Target KPI'!$B$3,0,IF(VLOOKUP(F43,'05_Master KPI'!$B$5:$G$100,6,FALSE)="Kumulatif",INDEX('06_Target KPI'!$E$5:$P$100,MATCH(F43,'06_Target KPI'!$B$5:$B$100,0),MATCH(A43,'06_Target KPI'!$E$4:$P$4,0))*DAY(C43)/DAY(EOMONTH(C43,0)),INDEX('06_Target KPI'!$E$5:$P$100,MATCH(F43,'06_Target KPI'!$B$5:$B$100,0),MATCH(A43,'06_Target KPI'!$E$4:$P$4,0)))),0)</f>
        <v>100</v>
      </c>
      <c r="I43" s="20">
        <v>94.8</v>
      </c>
      <c r="J43" s="22">
        <f>IFERROR(MIN(IF(VLOOKUP(F43,'05_Master KPI'!$B$5:$G$100,5,FALSE)="Lower",H43/I43,I43/H43),1),0)</f>
        <v>0.94799999999999995</v>
      </c>
      <c r="K43" s="9">
        <f>IFERROR(VLOOKUP(F43,'05_Master KPI'!$B$5:$G$100,4,FALSE),0)</f>
        <v>15</v>
      </c>
      <c r="L43" s="23">
        <f t="shared" si="0"/>
        <v>14.219999999999999</v>
      </c>
      <c r="M43" s="9" t="str">
        <f>IF(D43="","",IF(J43&gt;='13_Setting'!$H$7,"Tercapai",IF(J43&gt;='13_Setting'!$H$6,"On Track","Tertinggal")))</f>
        <v>On Track</v>
      </c>
      <c r="N43" s="20" t="s">
        <v>211</v>
      </c>
      <c r="O43" s="1"/>
      <c r="P43" s="1"/>
      <c r="Q43" s="1"/>
      <c r="R43" s="1"/>
      <c r="S43" s="1"/>
      <c r="T43" s="1"/>
      <c r="U43" s="1"/>
      <c r="V43" s="1"/>
      <c r="W43" s="1"/>
      <c r="X43" s="1"/>
      <c r="Y43" s="1"/>
      <c r="Z43" s="1"/>
    </row>
    <row r="44" spans="1:26">
      <c r="A44" s="20" t="s">
        <v>197</v>
      </c>
      <c r="B44" s="20">
        <v>2026</v>
      </c>
      <c r="C44" s="21">
        <v>46234</v>
      </c>
      <c r="D44" s="20" t="s">
        <v>102</v>
      </c>
      <c r="E44" s="9" t="str">
        <f>IFERROR(VLOOKUP(D44,'04_Master Karyawan'!$A$5:$F$50,2,FALSE),"")</f>
        <v>HR Staff (Ganti Nama)</v>
      </c>
      <c r="F44" s="20" t="s">
        <v>174</v>
      </c>
      <c r="G44" s="9" t="str">
        <f>IFERROR(VLOOKUP(F44,'05_Master KPI'!$B$5:$G$100,2,FALSE)&amp;" ("&amp;VLOOKUP(F44,'05_Master KPI'!$B$5:$G$100,3,FALSE)&amp;")","")</f>
        <v>Administrasi Personalia (%)</v>
      </c>
      <c r="H44" s="9">
        <f>IFERROR(IF(B44&lt;&gt;'06_Target KPI'!$B$3,0,IF(VLOOKUP(F44,'05_Master KPI'!$B$5:$G$100,6,FALSE)="Kumulatif",INDEX('06_Target KPI'!$E$5:$P$100,MATCH(F44,'06_Target KPI'!$B$5:$B$100,0),MATCH(A44,'06_Target KPI'!$E$4:$P$4,0))*DAY(C44)/DAY(EOMONTH(C44,0)),INDEX('06_Target KPI'!$E$5:$P$100,MATCH(F44,'06_Target KPI'!$B$5:$B$100,0),MATCH(A44,'06_Target KPI'!$E$4:$P$4,0)))),0)</f>
        <v>100</v>
      </c>
      <c r="I44" s="20">
        <v>94.8</v>
      </c>
      <c r="J44" s="22">
        <f>IFERROR(MIN(IF(VLOOKUP(F44,'05_Master KPI'!$B$5:$G$100,5,FALSE)="Lower",H44/I44,I44/H44),1),0)</f>
        <v>0.94799999999999995</v>
      </c>
      <c r="K44" s="9">
        <f>IFERROR(VLOOKUP(F44,'05_Master KPI'!$B$5:$G$100,4,FALSE),0)</f>
        <v>15</v>
      </c>
      <c r="L44" s="23">
        <f t="shared" si="0"/>
        <v>14.219999999999999</v>
      </c>
      <c r="M44" s="9" t="str">
        <f>IF(D44="","",IF(J44&gt;='13_Setting'!$H$7,"Tercapai",IF(J44&gt;='13_Setting'!$H$6,"On Track","Tertinggal")))</f>
        <v>On Track</v>
      </c>
      <c r="N44" s="20" t="s">
        <v>211</v>
      </c>
      <c r="O44" s="1"/>
      <c r="P44" s="1"/>
      <c r="Q44" s="1"/>
      <c r="R44" s="1"/>
      <c r="S44" s="1"/>
      <c r="T44" s="1"/>
      <c r="U44" s="1"/>
      <c r="V44" s="1"/>
      <c r="W44" s="1"/>
      <c r="X44" s="1"/>
      <c r="Y44" s="1"/>
      <c r="Z44" s="1"/>
    </row>
    <row r="45" spans="1:26">
      <c r="A45" s="20" t="s">
        <v>197</v>
      </c>
      <c r="B45" s="20">
        <v>2026</v>
      </c>
      <c r="C45" s="21">
        <v>46234</v>
      </c>
      <c r="D45" s="20" t="s">
        <v>102</v>
      </c>
      <c r="E45" s="9" t="str">
        <f>IFERROR(VLOOKUP(D45,'04_Master Karyawan'!$A$5:$F$50,2,FALSE),"")</f>
        <v>HR Staff (Ganti Nama)</v>
      </c>
      <c r="F45" s="20" t="s">
        <v>176</v>
      </c>
      <c r="G45" s="9" t="str">
        <f>IFERROR(VLOOKUP(F45,'05_Master KPI'!$B$5:$G$100,2,FALSE)&amp;" ("&amp;VLOOKUP(F45,'05_Master KPI'!$B$5:$G$100,3,FALSE)&amp;")","")</f>
        <v>Evaluasi Karyawan (%)</v>
      </c>
      <c r="H45" s="9">
        <f>IFERROR(IF(B45&lt;&gt;'06_Target KPI'!$B$3,0,IF(VLOOKUP(F45,'05_Master KPI'!$B$5:$G$100,6,FALSE)="Kumulatif",INDEX('06_Target KPI'!$E$5:$P$100,MATCH(F45,'06_Target KPI'!$B$5:$B$100,0),MATCH(A45,'06_Target KPI'!$E$4:$P$4,0))*DAY(C45)/DAY(EOMONTH(C45,0)),INDEX('06_Target KPI'!$E$5:$P$100,MATCH(F45,'06_Target KPI'!$B$5:$B$100,0),MATCH(A45,'06_Target KPI'!$E$4:$P$4,0)))),0)</f>
        <v>100</v>
      </c>
      <c r="I45" s="20">
        <v>94.8</v>
      </c>
      <c r="J45" s="22">
        <f>IFERROR(MIN(IF(VLOOKUP(F45,'05_Master KPI'!$B$5:$G$100,5,FALSE)="Lower",H45/I45,I45/H45),1),0)</f>
        <v>0.94799999999999995</v>
      </c>
      <c r="K45" s="9">
        <f>IFERROR(VLOOKUP(F45,'05_Master KPI'!$B$5:$G$100,4,FALSE),0)</f>
        <v>15</v>
      </c>
      <c r="L45" s="23">
        <f t="shared" si="0"/>
        <v>14.219999999999999</v>
      </c>
      <c r="M45" s="9" t="str">
        <f>IF(D45="","",IF(J45&gt;='13_Setting'!$H$7,"Tercapai",IF(J45&gt;='13_Setting'!$H$6,"On Track","Tertinggal")))</f>
        <v>On Track</v>
      </c>
      <c r="N45" s="20" t="s">
        <v>211</v>
      </c>
      <c r="O45" s="1"/>
      <c r="P45" s="1"/>
      <c r="Q45" s="1"/>
      <c r="R45" s="1"/>
      <c r="S45" s="1"/>
      <c r="T45" s="1"/>
      <c r="U45" s="1"/>
      <c r="V45" s="1"/>
      <c r="W45" s="1"/>
      <c r="X45" s="1"/>
      <c r="Y45" s="1"/>
      <c r="Z45" s="1"/>
    </row>
    <row r="46" spans="1:26">
      <c r="A46" s="20" t="s">
        <v>197</v>
      </c>
      <c r="B46" s="20">
        <v>2026</v>
      </c>
      <c r="C46" s="21">
        <v>46234</v>
      </c>
      <c r="D46" s="20" t="s">
        <v>102</v>
      </c>
      <c r="E46" s="9" t="str">
        <f>IFERROR(VLOOKUP(D46,'04_Master Karyawan'!$A$5:$F$50,2,FALSE),"")</f>
        <v>HR Staff (Ganti Nama)</v>
      </c>
      <c r="F46" s="20" t="s">
        <v>178</v>
      </c>
      <c r="G46" s="9" t="str">
        <f>IFERROR(VLOOKUP(F46,'05_Master KPI'!$B$5:$G$100,2,FALSE)&amp;" ("&amp;VLOOKUP(F46,'05_Master KPI'!$B$5:$G$100,3,FALSE)&amp;")","")</f>
        <v>Onboarding Completion (%)</v>
      </c>
      <c r="H46" s="9">
        <f>IFERROR(IF(B46&lt;&gt;'06_Target KPI'!$B$3,0,IF(VLOOKUP(F46,'05_Master KPI'!$B$5:$G$100,6,FALSE)="Kumulatif",INDEX('06_Target KPI'!$E$5:$P$100,MATCH(F46,'06_Target KPI'!$B$5:$B$100,0),MATCH(A46,'06_Target KPI'!$E$4:$P$4,0))*DAY(C46)/DAY(EOMONTH(C46,0)),INDEX('06_Target KPI'!$E$5:$P$100,MATCH(F46,'06_Target KPI'!$B$5:$B$100,0),MATCH(A46,'06_Target KPI'!$E$4:$P$4,0)))),0)</f>
        <v>100</v>
      </c>
      <c r="I46" s="20">
        <v>94.8</v>
      </c>
      <c r="J46" s="22">
        <f>IFERROR(MIN(IF(VLOOKUP(F46,'05_Master KPI'!$B$5:$G$100,5,FALSE)="Lower",H46/I46,I46/H46),1),0)</f>
        <v>0.94799999999999995</v>
      </c>
      <c r="K46" s="9">
        <f>IFERROR(VLOOKUP(F46,'05_Master KPI'!$B$5:$G$100,4,FALSE),0)</f>
        <v>15</v>
      </c>
      <c r="L46" s="23">
        <f t="shared" si="0"/>
        <v>14.219999999999999</v>
      </c>
      <c r="M46" s="9" t="str">
        <f>IF(D46="","",IF(J46&gt;='13_Setting'!$H$7,"Tercapai",IF(J46&gt;='13_Setting'!$H$6,"On Track","Tertinggal")))</f>
        <v>On Track</v>
      </c>
      <c r="N46" s="20" t="s">
        <v>211</v>
      </c>
      <c r="O46" s="1"/>
      <c r="P46" s="1"/>
      <c r="Q46" s="1"/>
      <c r="R46" s="1"/>
      <c r="S46" s="1"/>
      <c r="T46" s="1"/>
      <c r="U46" s="1"/>
      <c r="V46" s="1"/>
      <c r="W46" s="1"/>
      <c r="X46" s="1"/>
      <c r="Y46" s="1"/>
      <c r="Z46" s="1"/>
    </row>
    <row r="47" spans="1:26">
      <c r="A47" s="20" t="s">
        <v>3</v>
      </c>
      <c r="B47" s="20">
        <v>2026</v>
      </c>
      <c r="C47" s="21">
        <v>46239</v>
      </c>
      <c r="D47" s="20" t="s">
        <v>102</v>
      </c>
      <c r="E47" s="9" t="str">
        <f>IFERROR(VLOOKUP(D47,'04_Master Karyawan'!$A$5:$F$50,2,FALSE),"")</f>
        <v>HR Staff (Ganti Nama)</v>
      </c>
      <c r="F47" s="20" t="s">
        <v>168</v>
      </c>
      <c r="G47" s="9" t="str">
        <f>IFERROR(VLOOKUP(F47,'05_Master KPI'!$B$5:$G$100,2,FALSE)&amp;" ("&amp;VLOOKUP(F47,'05_Master KPI'!$B$5:$G$100,3,FALSE)&amp;")","")</f>
        <v>Recruitment Fulfillment (%)</v>
      </c>
      <c r="H47" s="9">
        <f>IFERROR(IF(B47&lt;&gt;'06_Target KPI'!$B$3,0,IF(VLOOKUP(F47,'05_Master KPI'!$B$5:$G$100,6,FALSE)="Kumulatif",INDEX('06_Target KPI'!$E$5:$P$100,MATCH(F47,'06_Target KPI'!$B$5:$B$100,0),MATCH(A47,'06_Target KPI'!$E$4:$P$4,0))*DAY(C47)/DAY(EOMONTH(C47,0)),INDEX('06_Target KPI'!$E$5:$P$100,MATCH(F47,'06_Target KPI'!$B$5:$B$100,0),MATCH(A47,'06_Target KPI'!$E$4:$P$4,0)))),0)</f>
        <v>90</v>
      </c>
      <c r="I47" s="20">
        <v>82.6</v>
      </c>
      <c r="J47" s="22">
        <f>IFERROR(MIN(IF(VLOOKUP(F47,'05_Master KPI'!$B$5:$G$100,5,FALSE)="Lower",H47/I47,I47/H47),1),0)</f>
        <v>0.91777777777777769</v>
      </c>
      <c r="K47" s="9">
        <f>IFERROR(VLOOKUP(F47,'05_Master KPI'!$B$5:$G$100,4,FALSE),0)</f>
        <v>20</v>
      </c>
      <c r="L47" s="23">
        <f t="shared" si="0"/>
        <v>18.355555555555554</v>
      </c>
      <c r="M47" s="9" t="str">
        <f>IF(D47="","",IF(J47&gt;='13_Setting'!$H$7,"Tercapai",IF(J47&gt;='13_Setting'!$H$6,"On Track","Tertinggal")))</f>
        <v>On Track</v>
      </c>
      <c r="N47" s="20" t="s">
        <v>212</v>
      </c>
      <c r="O47" s="1"/>
      <c r="P47" s="1"/>
      <c r="Q47" s="1"/>
      <c r="R47" s="1"/>
      <c r="S47" s="1"/>
      <c r="T47" s="1"/>
      <c r="U47" s="1"/>
      <c r="V47" s="1"/>
      <c r="W47" s="1"/>
      <c r="X47" s="1"/>
      <c r="Y47" s="1"/>
      <c r="Z47" s="1"/>
    </row>
    <row r="48" spans="1:26">
      <c r="A48" s="20" t="s">
        <v>3</v>
      </c>
      <c r="B48" s="20">
        <v>2026</v>
      </c>
      <c r="C48" s="21">
        <v>46239</v>
      </c>
      <c r="D48" s="20" t="s">
        <v>102</v>
      </c>
      <c r="E48" s="9" t="str">
        <f>IFERROR(VLOOKUP(D48,'04_Master Karyawan'!$A$5:$F$50,2,FALSE),"")</f>
        <v>HR Staff (Ganti Nama)</v>
      </c>
      <c r="F48" s="20" t="s">
        <v>170</v>
      </c>
      <c r="G48" s="9" t="str">
        <f>IFERROR(VLOOKUP(F48,'05_Master KPI'!$B$5:$G$100,2,FALSE)&amp;" ("&amp;VLOOKUP(F48,'05_Master KPI'!$B$5:$G$100,3,FALSE)&amp;")","")</f>
        <v>Payroll Accuracy (%)</v>
      </c>
      <c r="H48" s="9">
        <f>IFERROR(IF(B48&lt;&gt;'06_Target KPI'!$B$3,0,IF(VLOOKUP(F48,'05_Master KPI'!$B$5:$G$100,6,FALSE)="Kumulatif",INDEX('06_Target KPI'!$E$5:$P$100,MATCH(F48,'06_Target KPI'!$B$5:$B$100,0),MATCH(A48,'06_Target KPI'!$E$4:$P$4,0))*DAY(C48)/DAY(EOMONTH(C48,0)),INDEX('06_Target KPI'!$E$5:$P$100,MATCH(F48,'06_Target KPI'!$B$5:$B$100,0),MATCH(A48,'06_Target KPI'!$E$4:$P$4,0)))),0)</f>
        <v>100</v>
      </c>
      <c r="I48" s="20">
        <v>91.8</v>
      </c>
      <c r="J48" s="22">
        <f>IFERROR(MIN(IF(VLOOKUP(F48,'05_Master KPI'!$B$5:$G$100,5,FALSE)="Lower",H48/I48,I48/H48),1),0)</f>
        <v>0.91799999999999993</v>
      </c>
      <c r="K48" s="9">
        <f>IFERROR(VLOOKUP(F48,'05_Master KPI'!$B$5:$G$100,4,FALSE),0)</f>
        <v>20</v>
      </c>
      <c r="L48" s="23">
        <f t="shared" si="0"/>
        <v>18.36</v>
      </c>
      <c r="M48" s="9" t="str">
        <f>IF(D48="","",IF(J48&gt;='13_Setting'!$H$7,"Tercapai",IF(J48&gt;='13_Setting'!$H$6,"On Track","Tertinggal")))</f>
        <v>On Track</v>
      </c>
      <c r="N48" s="20" t="s">
        <v>212</v>
      </c>
      <c r="O48" s="1"/>
      <c r="P48" s="1"/>
      <c r="Q48" s="1"/>
      <c r="R48" s="1"/>
      <c r="S48" s="1"/>
      <c r="T48" s="1"/>
      <c r="U48" s="1"/>
      <c r="V48" s="1"/>
      <c r="W48" s="1"/>
      <c r="X48" s="1"/>
      <c r="Y48" s="1"/>
      <c r="Z48" s="1"/>
    </row>
    <row r="49" spans="1:26">
      <c r="A49" s="20" t="s">
        <v>3</v>
      </c>
      <c r="B49" s="20">
        <v>2026</v>
      </c>
      <c r="C49" s="21">
        <v>46239</v>
      </c>
      <c r="D49" s="20" t="s">
        <v>102</v>
      </c>
      <c r="E49" s="9" t="str">
        <f>IFERROR(VLOOKUP(D49,'04_Master Karyawan'!$A$5:$F$50,2,FALSE),"")</f>
        <v>HR Staff (Ganti Nama)</v>
      </c>
      <c r="F49" s="20" t="s">
        <v>172</v>
      </c>
      <c r="G49" s="9" t="str">
        <f>IFERROR(VLOOKUP(F49,'05_Master KPI'!$B$5:$G$100,2,FALSE)&amp;" ("&amp;VLOOKUP(F49,'05_Master KPI'!$B$5:$G$100,3,FALSE)&amp;")","")</f>
        <v>Administrasi Absensi (%)</v>
      </c>
      <c r="H49" s="9">
        <f>IFERROR(IF(B49&lt;&gt;'06_Target KPI'!$B$3,0,IF(VLOOKUP(F49,'05_Master KPI'!$B$5:$G$100,6,FALSE)="Kumulatif",INDEX('06_Target KPI'!$E$5:$P$100,MATCH(F49,'06_Target KPI'!$B$5:$B$100,0),MATCH(A49,'06_Target KPI'!$E$4:$P$4,0))*DAY(C49)/DAY(EOMONTH(C49,0)),INDEX('06_Target KPI'!$E$5:$P$100,MATCH(F49,'06_Target KPI'!$B$5:$B$100,0),MATCH(A49,'06_Target KPI'!$E$4:$P$4,0)))),0)</f>
        <v>100</v>
      </c>
      <c r="I49" s="20">
        <v>91.8</v>
      </c>
      <c r="J49" s="22">
        <f>IFERROR(MIN(IF(VLOOKUP(F49,'05_Master KPI'!$B$5:$G$100,5,FALSE)="Lower",H49/I49,I49/H49),1),0)</f>
        <v>0.91799999999999993</v>
      </c>
      <c r="K49" s="9">
        <f>IFERROR(VLOOKUP(F49,'05_Master KPI'!$B$5:$G$100,4,FALSE),0)</f>
        <v>15</v>
      </c>
      <c r="L49" s="23">
        <f t="shared" si="0"/>
        <v>13.77</v>
      </c>
      <c r="M49" s="9" t="str">
        <f>IF(D49="","",IF(J49&gt;='13_Setting'!$H$7,"Tercapai",IF(J49&gt;='13_Setting'!$H$6,"On Track","Tertinggal")))</f>
        <v>On Track</v>
      </c>
      <c r="N49" s="20" t="s">
        <v>212</v>
      </c>
      <c r="O49" s="1"/>
      <c r="P49" s="1"/>
      <c r="Q49" s="1"/>
      <c r="R49" s="1"/>
      <c r="S49" s="1"/>
      <c r="T49" s="1"/>
      <c r="U49" s="1"/>
      <c r="V49" s="1"/>
      <c r="W49" s="1"/>
      <c r="X49" s="1"/>
      <c r="Y49" s="1"/>
      <c r="Z49" s="1"/>
    </row>
    <row r="50" spans="1:26">
      <c r="A50" s="20" t="s">
        <v>3</v>
      </c>
      <c r="B50" s="20">
        <v>2026</v>
      </c>
      <c r="C50" s="21">
        <v>46239</v>
      </c>
      <c r="D50" s="20" t="s">
        <v>102</v>
      </c>
      <c r="E50" s="9" t="str">
        <f>IFERROR(VLOOKUP(D50,'04_Master Karyawan'!$A$5:$F$50,2,FALSE),"")</f>
        <v>HR Staff (Ganti Nama)</v>
      </c>
      <c r="F50" s="20" t="s">
        <v>174</v>
      </c>
      <c r="G50" s="9" t="str">
        <f>IFERROR(VLOOKUP(F50,'05_Master KPI'!$B$5:$G$100,2,FALSE)&amp;" ("&amp;VLOOKUP(F50,'05_Master KPI'!$B$5:$G$100,3,FALSE)&amp;")","")</f>
        <v>Administrasi Personalia (%)</v>
      </c>
      <c r="H50" s="9">
        <f>IFERROR(IF(B50&lt;&gt;'06_Target KPI'!$B$3,0,IF(VLOOKUP(F50,'05_Master KPI'!$B$5:$G$100,6,FALSE)="Kumulatif",INDEX('06_Target KPI'!$E$5:$P$100,MATCH(F50,'06_Target KPI'!$B$5:$B$100,0),MATCH(A50,'06_Target KPI'!$E$4:$P$4,0))*DAY(C50)/DAY(EOMONTH(C50,0)),INDEX('06_Target KPI'!$E$5:$P$100,MATCH(F50,'06_Target KPI'!$B$5:$B$100,0),MATCH(A50,'06_Target KPI'!$E$4:$P$4,0)))),0)</f>
        <v>100</v>
      </c>
      <c r="I50" s="20">
        <v>91.8</v>
      </c>
      <c r="J50" s="22">
        <f>IFERROR(MIN(IF(VLOOKUP(F50,'05_Master KPI'!$B$5:$G$100,5,FALSE)="Lower",H50/I50,I50/H50),1),0)</f>
        <v>0.91799999999999993</v>
      </c>
      <c r="K50" s="9">
        <f>IFERROR(VLOOKUP(F50,'05_Master KPI'!$B$5:$G$100,4,FALSE),0)</f>
        <v>15</v>
      </c>
      <c r="L50" s="23">
        <f t="shared" si="0"/>
        <v>13.77</v>
      </c>
      <c r="M50" s="9" t="str">
        <f>IF(D50="","",IF(J50&gt;='13_Setting'!$H$7,"Tercapai",IF(J50&gt;='13_Setting'!$H$6,"On Track","Tertinggal")))</f>
        <v>On Track</v>
      </c>
      <c r="N50" s="20" t="s">
        <v>212</v>
      </c>
      <c r="O50" s="1"/>
      <c r="P50" s="1"/>
      <c r="Q50" s="1"/>
      <c r="R50" s="1"/>
      <c r="S50" s="1"/>
      <c r="T50" s="1"/>
      <c r="U50" s="1"/>
      <c r="V50" s="1"/>
      <c r="W50" s="1"/>
      <c r="X50" s="1"/>
      <c r="Y50" s="1"/>
      <c r="Z50" s="1"/>
    </row>
    <row r="51" spans="1:26">
      <c r="A51" s="20" t="s">
        <v>3</v>
      </c>
      <c r="B51" s="20">
        <v>2026</v>
      </c>
      <c r="C51" s="21">
        <v>46239</v>
      </c>
      <c r="D51" s="20" t="s">
        <v>102</v>
      </c>
      <c r="E51" s="9" t="str">
        <f>IFERROR(VLOOKUP(D51,'04_Master Karyawan'!$A$5:$F$50,2,FALSE),"")</f>
        <v>HR Staff (Ganti Nama)</v>
      </c>
      <c r="F51" s="20" t="s">
        <v>176</v>
      </c>
      <c r="G51" s="9" t="str">
        <f>IFERROR(VLOOKUP(F51,'05_Master KPI'!$B$5:$G$100,2,FALSE)&amp;" ("&amp;VLOOKUP(F51,'05_Master KPI'!$B$5:$G$100,3,FALSE)&amp;")","")</f>
        <v>Evaluasi Karyawan (%)</v>
      </c>
      <c r="H51" s="9">
        <f>IFERROR(IF(B51&lt;&gt;'06_Target KPI'!$B$3,0,IF(VLOOKUP(F51,'05_Master KPI'!$B$5:$G$100,6,FALSE)="Kumulatif",INDEX('06_Target KPI'!$E$5:$P$100,MATCH(F51,'06_Target KPI'!$B$5:$B$100,0),MATCH(A51,'06_Target KPI'!$E$4:$P$4,0))*DAY(C51)/DAY(EOMONTH(C51,0)),INDEX('06_Target KPI'!$E$5:$P$100,MATCH(F51,'06_Target KPI'!$B$5:$B$100,0),MATCH(A51,'06_Target KPI'!$E$4:$P$4,0)))),0)</f>
        <v>100</v>
      </c>
      <c r="I51" s="20">
        <v>91.8</v>
      </c>
      <c r="J51" s="22">
        <f>IFERROR(MIN(IF(VLOOKUP(F51,'05_Master KPI'!$B$5:$G$100,5,FALSE)="Lower",H51/I51,I51/H51),1),0)</f>
        <v>0.91799999999999993</v>
      </c>
      <c r="K51" s="9">
        <f>IFERROR(VLOOKUP(F51,'05_Master KPI'!$B$5:$G$100,4,FALSE),0)</f>
        <v>15</v>
      </c>
      <c r="L51" s="23">
        <f t="shared" si="0"/>
        <v>13.77</v>
      </c>
      <c r="M51" s="9" t="str">
        <f>IF(D51="","",IF(J51&gt;='13_Setting'!$H$7,"Tercapai",IF(J51&gt;='13_Setting'!$H$6,"On Track","Tertinggal")))</f>
        <v>On Track</v>
      </c>
      <c r="N51" s="20" t="s">
        <v>212</v>
      </c>
      <c r="O51" s="1"/>
      <c r="P51" s="1"/>
      <c r="Q51" s="1"/>
      <c r="R51" s="1"/>
      <c r="S51" s="1"/>
      <c r="T51" s="1"/>
      <c r="U51" s="1"/>
      <c r="V51" s="1"/>
      <c r="W51" s="1"/>
      <c r="X51" s="1"/>
      <c r="Y51" s="1"/>
      <c r="Z51" s="1"/>
    </row>
    <row r="52" spans="1:26">
      <c r="A52" s="20" t="s">
        <v>3</v>
      </c>
      <c r="B52" s="20">
        <v>2026</v>
      </c>
      <c r="C52" s="21">
        <v>46239</v>
      </c>
      <c r="D52" s="20" t="s">
        <v>102</v>
      </c>
      <c r="E52" s="9" t="str">
        <f>IFERROR(VLOOKUP(D52,'04_Master Karyawan'!$A$5:$F$50,2,FALSE),"")</f>
        <v>HR Staff (Ganti Nama)</v>
      </c>
      <c r="F52" s="20" t="s">
        <v>178</v>
      </c>
      <c r="G52" s="9" t="str">
        <f>IFERROR(VLOOKUP(F52,'05_Master KPI'!$B$5:$G$100,2,FALSE)&amp;" ("&amp;VLOOKUP(F52,'05_Master KPI'!$B$5:$G$100,3,FALSE)&amp;")","")</f>
        <v>Onboarding Completion (%)</v>
      </c>
      <c r="H52" s="9">
        <f>IFERROR(IF(B52&lt;&gt;'06_Target KPI'!$B$3,0,IF(VLOOKUP(F52,'05_Master KPI'!$B$5:$G$100,6,FALSE)="Kumulatif",INDEX('06_Target KPI'!$E$5:$P$100,MATCH(F52,'06_Target KPI'!$B$5:$B$100,0),MATCH(A52,'06_Target KPI'!$E$4:$P$4,0))*DAY(C52)/DAY(EOMONTH(C52,0)),INDEX('06_Target KPI'!$E$5:$P$100,MATCH(F52,'06_Target KPI'!$B$5:$B$100,0),MATCH(A52,'06_Target KPI'!$E$4:$P$4,0)))),0)</f>
        <v>100</v>
      </c>
      <c r="I52" s="20">
        <v>91.8</v>
      </c>
      <c r="J52" s="22">
        <f>IFERROR(MIN(IF(VLOOKUP(F52,'05_Master KPI'!$B$5:$G$100,5,FALSE)="Lower",H52/I52,I52/H52),1),0)</f>
        <v>0.91799999999999993</v>
      </c>
      <c r="K52" s="9">
        <f>IFERROR(VLOOKUP(F52,'05_Master KPI'!$B$5:$G$100,4,FALSE),0)</f>
        <v>15</v>
      </c>
      <c r="L52" s="23">
        <f t="shared" si="0"/>
        <v>13.77</v>
      </c>
      <c r="M52" s="9" t="str">
        <f>IF(D52="","",IF(J52&gt;='13_Setting'!$H$7,"Tercapai",IF(J52&gt;='13_Setting'!$H$6,"On Track","Tertinggal")))</f>
        <v>On Track</v>
      </c>
      <c r="N52" s="20" t="s">
        <v>212</v>
      </c>
      <c r="O52" s="1"/>
      <c r="P52" s="1"/>
      <c r="Q52" s="1"/>
      <c r="R52" s="1"/>
      <c r="S52" s="1"/>
      <c r="T52" s="1"/>
      <c r="U52" s="1"/>
      <c r="V52" s="1"/>
      <c r="W52" s="1"/>
      <c r="X52" s="1"/>
      <c r="Y52" s="1"/>
      <c r="Z52" s="1"/>
    </row>
    <row r="53" spans="1:26">
      <c r="A53" s="20"/>
      <c r="B53" s="20"/>
      <c r="C53" s="21"/>
      <c r="D53" s="20"/>
      <c r="E53" s="9" t="str">
        <f>IFERROR(VLOOKUP(D53,'04_Master Karyawan'!$A$5:$F$50,2,FALSE),"")</f>
        <v/>
      </c>
      <c r="F53" s="20"/>
      <c r="G53" s="9" t="str">
        <f>IFERROR(VLOOKUP(F53,'05_Master KPI'!$B$5:$G$100,2,FALSE)&amp;" ("&amp;VLOOKUP(F53,'05_Master KPI'!$B$5:$G$100,3,FALSE)&amp;")","")</f>
        <v/>
      </c>
      <c r="H53" s="9">
        <f>IFERROR(IF(B53&lt;&gt;'06_Target KPI'!$B$3,0,IF(VLOOKUP(F53,'05_Master KPI'!$B$5:$G$100,6,FALSE)="Kumulatif",INDEX('06_Target KPI'!$E$5:$P$100,MATCH(F53,'06_Target KPI'!$B$5:$B$100,0),MATCH(A53,'06_Target KPI'!$E$4:$P$4,0))*DAY(C53)/DAY(EOMONTH(C53,0)),INDEX('06_Target KPI'!$E$5:$P$100,MATCH(F53,'06_Target KPI'!$B$5:$B$100,0),MATCH(A53,'06_Target KPI'!$E$4:$P$4,0)))),0)</f>
        <v>0</v>
      </c>
      <c r="I53" s="20"/>
      <c r="J53" s="22">
        <f>IFERROR(MIN(IF(VLOOKUP(F53,'05_Master KPI'!$B$5:$G$100,5,FALSE)="Lower",H53/I53,I53/H53),1),0)</f>
        <v>0</v>
      </c>
      <c r="K53" s="9">
        <f>IFERROR(VLOOKUP(F53,'05_Master KPI'!$B$5:$G$100,4,FALSE),0)</f>
        <v>0</v>
      </c>
      <c r="L53" s="23">
        <f t="shared" si="0"/>
        <v>0</v>
      </c>
      <c r="M53" s="9" t="str">
        <f>IF(D53="","",IF(J53&gt;='13_Setting'!$H$7,"Tercapai",IF(J53&gt;='13_Setting'!$H$6,"On Track","Tertinggal")))</f>
        <v/>
      </c>
      <c r="N53" s="20"/>
      <c r="O53" s="1"/>
      <c r="P53" s="1"/>
      <c r="Q53" s="1"/>
      <c r="R53" s="1"/>
      <c r="S53" s="1"/>
      <c r="T53" s="1"/>
      <c r="U53" s="1"/>
      <c r="V53" s="1"/>
      <c r="W53" s="1"/>
      <c r="X53" s="1"/>
      <c r="Y53" s="1"/>
      <c r="Z53" s="1"/>
    </row>
    <row r="54" spans="1:26">
      <c r="A54" s="20"/>
      <c r="B54" s="20"/>
      <c r="C54" s="21"/>
      <c r="D54" s="20"/>
      <c r="E54" s="9" t="str">
        <f>IFERROR(VLOOKUP(D54,'04_Master Karyawan'!$A$5:$F$50,2,FALSE),"")</f>
        <v/>
      </c>
      <c r="F54" s="20"/>
      <c r="G54" s="9" t="str">
        <f>IFERROR(VLOOKUP(F54,'05_Master KPI'!$B$5:$G$100,2,FALSE)&amp;" ("&amp;VLOOKUP(F54,'05_Master KPI'!$B$5:$G$100,3,FALSE)&amp;")","")</f>
        <v/>
      </c>
      <c r="H54" s="9">
        <f>IFERROR(IF(B54&lt;&gt;'06_Target KPI'!$B$3,0,IF(VLOOKUP(F54,'05_Master KPI'!$B$5:$G$100,6,FALSE)="Kumulatif",INDEX('06_Target KPI'!$E$5:$P$100,MATCH(F54,'06_Target KPI'!$B$5:$B$100,0),MATCH(A54,'06_Target KPI'!$E$4:$P$4,0))*DAY(C54)/DAY(EOMONTH(C54,0)),INDEX('06_Target KPI'!$E$5:$P$100,MATCH(F54,'06_Target KPI'!$B$5:$B$100,0),MATCH(A54,'06_Target KPI'!$E$4:$P$4,0)))),0)</f>
        <v>0</v>
      </c>
      <c r="I54" s="20"/>
      <c r="J54" s="22">
        <f>IFERROR(MIN(IF(VLOOKUP(F54,'05_Master KPI'!$B$5:$G$100,5,FALSE)="Lower",H54/I54,I54/H54),1),0)</f>
        <v>0</v>
      </c>
      <c r="K54" s="9">
        <f>IFERROR(VLOOKUP(F54,'05_Master KPI'!$B$5:$G$100,4,FALSE),0)</f>
        <v>0</v>
      </c>
      <c r="L54" s="23">
        <f t="shared" si="0"/>
        <v>0</v>
      </c>
      <c r="M54" s="9" t="str">
        <f>IF(D54="","",IF(J54&gt;='13_Setting'!$H$7,"Tercapai",IF(J54&gt;='13_Setting'!$H$6,"On Track","Tertinggal")))</f>
        <v/>
      </c>
      <c r="N54" s="20"/>
      <c r="O54" s="1"/>
      <c r="P54" s="1"/>
      <c r="Q54" s="1"/>
      <c r="R54" s="1"/>
      <c r="S54" s="1"/>
      <c r="T54" s="1"/>
      <c r="U54" s="1"/>
      <c r="V54" s="1"/>
      <c r="W54" s="1"/>
      <c r="X54" s="1"/>
      <c r="Y54" s="1"/>
      <c r="Z54" s="1"/>
    </row>
    <row r="55" spans="1:26">
      <c r="A55" s="20"/>
      <c r="B55" s="20"/>
      <c r="C55" s="21"/>
      <c r="D55" s="20"/>
      <c r="E55" s="9" t="str">
        <f>IFERROR(VLOOKUP(D55,'04_Master Karyawan'!$A$5:$F$50,2,FALSE),"")</f>
        <v/>
      </c>
      <c r="F55" s="20"/>
      <c r="G55" s="9" t="str">
        <f>IFERROR(VLOOKUP(F55,'05_Master KPI'!$B$5:$G$100,2,FALSE)&amp;" ("&amp;VLOOKUP(F55,'05_Master KPI'!$B$5:$G$100,3,FALSE)&amp;")","")</f>
        <v/>
      </c>
      <c r="H55" s="9">
        <f>IFERROR(IF(B55&lt;&gt;'06_Target KPI'!$B$3,0,IF(VLOOKUP(F55,'05_Master KPI'!$B$5:$G$100,6,FALSE)="Kumulatif",INDEX('06_Target KPI'!$E$5:$P$100,MATCH(F55,'06_Target KPI'!$B$5:$B$100,0),MATCH(A55,'06_Target KPI'!$E$4:$P$4,0))*DAY(C55)/DAY(EOMONTH(C55,0)),INDEX('06_Target KPI'!$E$5:$P$100,MATCH(F55,'06_Target KPI'!$B$5:$B$100,0),MATCH(A55,'06_Target KPI'!$E$4:$P$4,0)))),0)</f>
        <v>0</v>
      </c>
      <c r="I55" s="20"/>
      <c r="J55" s="22">
        <f>IFERROR(MIN(IF(VLOOKUP(F55,'05_Master KPI'!$B$5:$G$100,5,FALSE)="Lower",H55/I55,I55/H55),1),0)</f>
        <v>0</v>
      </c>
      <c r="K55" s="9">
        <f>IFERROR(VLOOKUP(F55,'05_Master KPI'!$B$5:$G$100,4,FALSE),0)</f>
        <v>0</v>
      </c>
      <c r="L55" s="23">
        <f t="shared" si="0"/>
        <v>0</v>
      </c>
      <c r="M55" s="9" t="str">
        <f>IF(D55="","",IF(J55&gt;='13_Setting'!$H$7,"Tercapai",IF(J55&gt;='13_Setting'!$H$6,"On Track","Tertinggal")))</f>
        <v/>
      </c>
      <c r="N55" s="20"/>
      <c r="O55" s="1"/>
      <c r="P55" s="1"/>
      <c r="Q55" s="1"/>
      <c r="R55" s="1"/>
      <c r="S55" s="1"/>
      <c r="T55" s="1"/>
      <c r="U55" s="1"/>
      <c r="V55" s="1"/>
      <c r="W55" s="1"/>
      <c r="X55" s="1"/>
      <c r="Y55" s="1"/>
      <c r="Z55" s="1"/>
    </row>
    <row r="56" spans="1:26">
      <c r="A56" s="20"/>
      <c r="B56" s="20"/>
      <c r="C56" s="21"/>
      <c r="D56" s="20"/>
      <c r="E56" s="9" t="str">
        <f>IFERROR(VLOOKUP(D56,'04_Master Karyawan'!$A$5:$F$50,2,FALSE),"")</f>
        <v/>
      </c>
      <c r="F56" s="20"/>
      <c r="G56" s="9" t="str">
        <f>IFERROR(VLOOKUP(F56,'05_Master KPI'!$B$5:$G$100,2,FALSE)&amp;" ("&amp;VLOOKUP(F56,'05_Master KPI'!$B$5:$G$100,3,FALSE)&amp;")","")</f>
        <v/>
      </c>
      <c r="H56" s="9">
        <f>IFERROR(IF(B56&lt;&gt;'06_Target KPI'!$B$3,0,IF(VLOOKUP(F56,'05_Master KPI'!$B$5:$G$100,6,FALSE)="Kumulatif",INDEX('06_Target KPI'!$E$5:$P$100,MATCH(F56,'06_Target KPI'!$B$5:$B$100,0),MATCH(A56,'06_Target KPI'!$E$4:$P$4,0))*DAY(C56)/DAY(EOMONTH(C56,0)),INDEX('06_Target KPI'!$E$5:$P$100,MATCH(F56,'06_Target KPI'!$B$5:$B$100,0),MATCH(A56,'06_Target KPI'!$E$4:$P$4,0)))),0)</f>
        <v>0</v>
      </c>
      <c r="I56" s="20"/>
      <c r="J56" s="22">
        <f>IFERROR(MIN(IF(VLOOKUP(F56,'05_Master KPI'!$B$5:$G$100,5,FALSE)="Lower",H56/I56,I56/H56),1),0)</f>
        <v>0</v>
      </c>
      <c r="K56" s="9">
        <f>IFERROR(VLOOKUP(F56,'05_Master KPI'!$B$5:$G$100,4,FALSE),0)</f>
        <v>0</v>
      </c>
      <c r="L56" s="23">
        <f t="shared" si="0"/>
        <v>0</v>
      </c>
      <c r="M56" s="9" t="str">
        <f>IF(D56="","",IF(J56&gt;='13_Setting'!$H$7,"Tercapai",IF(J56&gt;='13_Setting'!$H$6,"On Track","Tertinggal")))</f>
        <v/>
      </c>
      <c r="N56" s="20"/>
      <c r="O56" s="1"/>
      <c r="P56" s="1"/>
      <c r="Q56" s="1"/>
      <c r="R56" s="1"/>
      <c r="S56" s="1"/>
      <c r="T56" s="1"/>
      <c r="U56" s="1"/>
      <c r="V56" s="1"/>
      <c r="W56" s="1"/>
      <c r="X56" s="1"/>
      <c r="Y56" s="1"/>
      <c r="Z56" s="1"/>
    </row>
    <row r="57" spans="1:26">
      <c r="A57" s="20"/>
      <c r="B57" s="20"/>
      <c r="C57" s="21"/>
      <c r="D57" s="20"/>
      <c r="E57" s="9" t="str">
        <f>IFERROR(VLOOKUP(D57,'04_Master Karyawan'!$A$5:$F$50,2,FALSE),"")</f>
        <v/>
      </c>
      <c r="F57" s="20"/>
      <c r="G57" s="9" t="str">
        <f>IFERROR(VLOOKUP(F57,'05_Master KPI'!$B$5:$G$100,2,FALSE)&amp;" ("&amp;VLOOKUP(F57,'05_Master KPI'!$B$5:$G$100,3,FALSE)&amp;")","")</f>
        <v/>
      </c>
      <c r="H57" s="9">
        <f>IFERROR(IF(B57&lt;&gt;'06_Target KPI'!$B$3,0,IF(VLOOKUP(F57,'05_Master KPI'!$B$5:$G$100,6,FALSE)="Kumulatif",INDEX('06_Target KPI'!$E$5:$P$100,MATCH(F57,'06_Target KPI'!$B$5:$B$100,0),MATCH(A57,'06_Target KPI'!$E$4:$P$4,0))*DAY(C57)/DAY(EOMONTH(C57,0)),INDEX('06_Target KPI'!$E$5:$P$100,MATCH(F57,'06_Target KPI'!$B$5:$B$100,0),MATCH(A57,'06_Target KPI'!$E$4:$P$4,0)))),0)</f>
        <v>0</v>
      </c>
      <c r="I57" s="20"/>
      <c r="J57" s="22">
        <f>IFERROR(MIN(IF(VLOOKUP(F57,'05_Master KPI'!$B$5:$G$100,5,FALSE)="Lower",H57/I57,I57/H57),1),0)</f>
        <v>0</v>
      </c>
      <c r="K57" s="9">
        <f>IFERROR(VLOOKUP(F57,'05_Master KPI'!$B$5:$G$100,4,FALSE),0)</f>
        <v>0</v>
      </c>
      <c r="L57" s="23">
        <f t="shared" si="0"/>
        <v>0</v>
      </c>
      <c r="M57" s="9" t="str">
        <f>IF(D57="","",IF(J57&gt;='13_Setting'!$H$7,"Tercapai",IF(J57&gt;='13_Setting'!$H$6,"On Track","Tertinggal")))</f>
        <v/>
      </c>
      <c r="N57" s="20"/>
      <c r="O57" s="1"/>
      <c r="P57" s="1"/>
      <c r="Q57" s="1"/>
      <c r="R57" s="1"/>
      <c r="S57" s="1"/>
      <c r="T57" s="1"/>
      <c r="U57" s="1"/>
      <c r="V57" s="1"/>
      <c r="W57" s="1"/>
      <c r="X57" s="1"/>
      <c r="Y57" s="1"/>
      <c r="Z57" s="1"/>
    </row>
    <row r="58" spans="1:26">
      <c r="A58" s="20"/>
      <c r="B58" s="20"/>
      <c r="C58" s="21"/>
      <c r="D58" s="20"/>
      <c r="E58" s="9" t="str">
        <f>IFERROR(VLOOKUP(D58,'04_Master Karyawan'!$A$5:$F$50,2,FALSE),"")</f>
        <v/>
      </c>
      <c r="F58" s="20"/>
      <c r="G58" s="9" t="str">
        <f>IFERROR(VLOOKUP(F58,'05_Master KPI'!$B$5:$G$100,2,FALSE)&amp;" ("&amp;VLOOKUP(F58,'05_Master KPI'!$B$5:$G$100,3,FALSE)&amp;")","")</f>
        <v/>
      </c>
      <c r="H58" s="9">
        <f>IFERROR(IF(B58&lt;&gt;'06_Target KPI'!$B$3,0,IF(VLOOKUP(F58,'05_Master KPI'!$B$5:$G$100,6,FALSE)="Kumulatif",INDEX('06_Target KPI'!$E$5:$P$100,MATCH(F58,'06_Target KPI'!$B$5:$B$100,0),MATCH(A58,'06_Target KPI'!$E$4:$P$4,0))*DAY(C58)/DAY(EOMONTH(C58,0)),INDEX('06_Target KPI'!$E$5:$P$100,MATCH(F58,'06_Target KPI'!$B$5:$B$100,0),MATCH(A58,'06_Target KPI'!$E$4:$P$4,0)))),0)</f>
        <v>0</v>
      </c>
      <c r="I58" s="20"/>
      <c r="J58" s="22">
        <f>IFERROR(MIN(IF(VLOOKUP(F58,'05_Master KPI'!$B$5:$G$100,5,FALSE)="Lower",H58/I58,I58/H58),1),0)</f>
        <v>0</v>
      </c>
      <c r="K58" s="9">
        <f>IFERROR(VLOOKUP(F58,'05_Master KPI'!$B$5:$G$100,4,FALSE),0)</f>
        <v>0</v>
      </c>
      <c r="L58" s="23">
        <f t="shared" si="0"/>
        <v>0</v>
      </c>
      <c r="M58" s="9" t="str">
        <f>IF(D58="","",IF(J58&gt;='13_Setting'!$H$7,"Tercapai",IF(J58&gt;='13_Setting'!$H$6,"On Track","Tertinggal")))</f>
        <v/>
      </c>
      <c r="N58" s="20"/>
      <c r="O58" s="1"/>
      <c r="P58" s="1"/>
      <c r="Q58" s="1"/>
      <c r="R58" s="1"/>
      <c r="S58" s="1"/>
      <c r="T58" s="1"/>
      <c r="U58" s="1"/>
      <c r="V58" s="1"/>
      <c r="W58" s="1"/>
      <c r="X58" s="1"/>
      <c r="Y58" s="1"/>
      <c r="Z58" s="1"/>
    </row>
    <row r="59" spans="1:26">
      <c r="A59" s="20"/>
      <c r="B59" s="20"/>
      <c r="C59" s="21"/>
      <c r="D59" s="20"/>
      <c r="E59" s="9" t="str">
        <f>IFERROR(VLOOKUP(D59,'04_Master Karyawan'!$A$5:$F$50,2,FALSE),"")</f>
        <v/>
      </c>
      <c r="F59" s="20"/>
      <c r="G59" s="9" t="str">
        <f>IFERROR(VLOOKUP(F59,'05_Master KPI'!$B$5:$G$100,2,FALSE)&amp;" ("&amp;VLOOKUP(F59,'05_Master KPI'!$B$5:$G$100,3,FALSE)&amp;")","")</f>
        <v/>
      </c>
      <c r="H59" s="9">
        <f>IFERROR(IF(B59&lt;&gt;'06_Target KPI'!$B$3,0,IF(VLOOKUP(F59,'05_Master KPI'!$B$5:$G$100,6,FALSE)="Kumulatif",INDEX('06_Target KPI'!$E$5:$P$100,MATCH(F59,'06_Target KPI'!$B$5:$B$100,0),MATCH(A59,'06_Target KPI'!$E$4:$P$4,0))*DAY(C59)/DAY(EOMONTH(C59,0)),INDEX('06_Target KPI'!$E$5:$P$100,MATCH(F59,'06_Target KPI'!$B$5:$B$100,0),MATCH(A59,'06_Target KPI'!$E$4:$P$4,0)))),0)</f>
        <v>0</v>
      </c>
      <c r="I59" s="20"/>
      <c r="J59" s="22">
        <f>IFERROR(MIN(IF(VLOOKUP(F59,'05_Master KPI'!$B$5:$G$100,5,FALSE)="Lower",H59/I59,I59/H59),1),0)</f>
        <v>0</v>
      </c>
      <c r="K59" s="9">
        <f>IFERROR(VLOOKUP(F59,'05_Master KPI'!$B$5:$G$100,4,FALSE),0)</f>
        <v>0</v>
      </c>
      <c r="L59" s="23">
        <f t="shared" si="0"/>
        <v>0</v>
      </c>
      <c r="M59" s="9" t="str">
        <f>IF(D59="","",IF(J59&gt;='13_Setting'!$H$7,"Tercapai",IF(J59&gt;='13_Setting'!$H$6,"On Track","Tertinggal")))</f>
        <v/>
      </c>
      <c r="N59" s="20"/>
      <c r="O59" s="1"/>
      <c r="P59" s="1"/>
      <c r="Q59" s="1"/>
      <c r="R59" s="1"/>
      <c r="S59" s="1"/>
      <c r="T59" s="1"/>
      <c r="U59" s="1"/>
      <c r="V59" s="1"/>
      <c r="W59" s="1"/>
      <c r="X59" s="1"/>
      <c r="Y59" s="1"/>
      <c r="Z59" s="1"/>
    </row>
    <row r="60" spans="1:26">
      <c r="A60" s="20"/>
      <c r="B60" s="20"/>
      <c r="C60" s="21"/>
      <c r="D60" s="20"/>
      <c r="E60" s="9" t="str">
        <f>IFERROR(VLOOKUP(D60,'04_Master Karyawan'!$A$5:$F$50,2,FALSE),"")</f>
        <v/>
      </c>
      <c r="F60" s="20"/>
      <c r="G60" s="9" t="str">
        <f>IFERROR(VLOOKUP(F60,'05_Master KPI'!$B$5:$G$100,2,FALSE)&amp;" ("&amp;VLOOKUP(F60,'05_Master KPI'!$B$5:$G$100,3,FALSE)&amp;")","")</f>
        <v/>
      </c>
      <c r="H60" s="9">
        <f>IFERROR(IF(B60&lt;&gt;'06_Target KPI'!$B$3,0,IF(VLOOKUP(F60,'05_Master KPI'!$B$5:$G$100,6,FALSE)="Kumulatif",INDEX('06_Target KPI'!$E$5:$P$100,MATCH(F60,'06_Target KPI'!$B$5:$B$100,0),MATCH(A60,'06_Target KPI'!$E$4:$P$4,0))*DAY(C60)/DAY(EOMONTH(C60,0)),INDEX('06_Target KPI'!$E$5:$P$100,MATCH(F60,'06_Target KPI'!$B$5:$B$100,0),MATCH(A60,'06_Target KPI'!$E$4:$P$4,0)))),0)</f>
        <v>0</v>
      </c>
      <c r="I60" s="20"/>
      <c r="J60" s="22">
        <f>IFERROR(MIN(IF(VLOOKUP(F60,'05_Master KPI'!$B$5:$G$100,5,FALSE)="Lower",H60/I60,I60/H60),1),0)</f>
        <v>0</v>
      </c>
      <c r="K60" s="9">
        <f>IFERROR(VLOOKUP(F60,'05_Master KPI'!$B$5:$G$100,4,FALSE),0)</f>
        <v>0</v>
      </c>
      <c r="L60" s="23">
        <f t="shared" si="0"/>
        <v>0</v>
      </c>
      <c r="M60" s="9" t="str">
        <f>IF(D60="","",IF(J60&gt;='13_Setting'!$H$7,"Tercapai",IF(J60&gt;='13_Setting'!$H$6,"On Track","Tertinggal")))</f>
        <v/>
      </c>
      <c r="N60" s="20"/>
      <c r="O60" s="1"/>
      <c r="P60" s="1"/>
      <c r="Q60" s="1"/>
      <c r="R60" s="1"/>
      <c r="S60" s="1"/>
      <c r="T60" s="1"/>
      <c r="U60" s="1"/>
      <c r="V60" s="1"/>
      <c r="W60" s="1"/>
      <c r="X60" s="1"/>
      <c r="Y60" s="1"/>
      <c r="Z60" s="1"/>
    </row>
    <row r="61" spans="1:26">
      <c r="A61" s="20"/>
      <c r="B61" s="20"/>
      <c r="C61" s="21"/>
      <c r="D61" s="20"/>
      <c r="E61" s="9" t="str">
        <f>IFERROR(VLOOKUP(D61,'04_Master Karyawan'!$A$5:$F$50,2,FALSE),"")</f>
        <v/>
      </c>
      <c r="F61" s="20"/>
      <c r="G61" s="9" t="str">
        <f>IFERROR(VLOOKUP(F61,'05_Master KPI'!$B$5:$G$100,2,FALSE)&amp;" ("&amp;VLOOKUP(F61,'05_Master KPI'!$B$5:$G$100,3,FALSE)&amp;")","")</f>
        <v/>
      </c>
      <c r="H61" s="9">
        <f>IFERROR(IF(B61&lt;&gt;'06_Target KPI'!$B$3,0,IF(VLOOKUP(F61,'05_Master KPI'!$B$5:$G$100,6,FALSE)="Kumulatif",INDEX('06_Target KPI'!$E$5:$P$100,MATCH(F61,'06_Target KPI'!$B$5:$B$100,0),MATCH(A61,'06_Target KPI'!$E$4:$P$4,0))*DAY(C61)/DAY(EOMONTH(C61,0)),INDEX('06_Target KPI'!$E$5:$P$100,MATCH(F61,'06_Target KPI'!$B$5:$B$100,0),MATCH(A61,'06_Target KPI'!$E$4:$P$4,0)))),0)</f>
        <v>0</v>
      </c>
      <c r="I61" s="20"/>
      <c r="J61" s="22">
        <f>IFERROR(MIN(IF(VLOOKUP(F61,'05_Master KPI'!$B$5:$G$100,5,FALSE)="Lower",H61/I61,I61/H61),1),0)</f>
        <v>0</v>
      </c>
      <c r="K61" s="9">
        <f>IFERROR(VLOOKUP(F61,'05_Master KPI'!$B$5:$G$100,4,FALSE),0)</f>
        <v>0</v>
      </c>
      <c r="L61" s="23">
        <f t="shared" si="0"/>
        <v>0</v>
      </c>
      <c r="M61" s="9" t="str">
        <f>IF(D61="","",IF(J61&gt;='13_Setting'!$H$7,"Tercapai",IF(J61&gt;='13_Setting'!$H$6,"On Track","Tertinggal")))</f>
        <v/>
      </c>
      <c r="N61" s="20"/>
      <c r="O61" s="1"/>
      <c r="P61" s="1"/>
      <c r="Q61" s="1"/>
      <c r="R61" s="1"/>
      <c r="S61" s="1"/>
      <c r="T61" s="1"/>
      <c r="U61" s="1"/>
      <c r="V61" s="1"/>
      <c r="W61" s="1"/>
      <c r="X61" s="1"/>
      <c r="Y61" s="1"/>
      <c r="Z61" s="1"/>
    </row>
    <row r="62" spans="1:26">
      <c r="A62" s="20"/>
      <c r="B62" s="20"/>
      <c r="C62" s="21"/>
      <c r="D62" s="20"/>
      <c r="E62" s="9" t="str">
        <f>IFERROR(VLOOKUP(D62,'04_Master Karyawan'!$A$5:$F$50,2,FALSE),"")</f>
        <v/>
      </c>
      <c r="F62" s="20"/>
      <c r="G62" s="9" t="str">
        <f>IFERROR(VLOOKUP(F62,'05_Master KPI'!$B$5:$G$100,2,FALSE)&amp;" ("&amp;VLOOKUP(F62,'05_Master KPI'!$B$5:$G$100,3,FALSE)&amp;")","")</f>
        <v/>
      </c>
      <c r="H62" s="9">
        <f>IFERROR(IF(B62&lt;&gt;'06_Target KPI'!$B$3,0,IF(VLOOKUP(F62,'05_Master KPI'!$B$5:$G$100,6,FALSE)="Kumulatif",INDEX('06_Target KPI'!$E$5:$P$100,MATCH(F62,'06_Target KPI'!$B$5:$B$100,0),MATCH(A62,'06_Target KPI'!$E$4:$P$4,0))*DAY(C62)/DAY(EOMONTH(C62,0)),INDEX('06_Target KPI'!$E$5:$P$100,MATCH(F62,'06_Target KPI'!$B$5:$B$100,0),MATCH(A62,'06_Target KPI'!$E$4:$P$4,0)))),0)</f>
        <v>0</v>
      </c>
      <c r="I62" s="20"/>
      <c r="J62" s="22">
        <f>IFERROR(MIN(IF(VLOOKUP(F62,'05_Master KPI'!$B$5:$G$100,5,FALSE)="Lower",H62/I62,I62/H62),1),0)</f>
        <v>0</v>
      </c>
      <c r="K62" s="9">
        <f>IFERROR(VLOOKUP(F62,'05_Master KPI'!$B$5:$G$100,4,FALSE),0)</f>
        <v>0</v>
      </c>
      <c r="L62" s="23">
        <f t="shared" si="0"/>
        <v>0</v>
      </c>
      <c r="M62" s="9" t="str">
        <f>IF(D62="","",IF(J62&gt;='13_Setting'!$H$7,"Tercapai",IF(J62&gt;='13_Setting'!$H$6,"On Track","Tertinggal")))</f>
        <v/>
      </c>
      <c r="N62" s="20"/>
      <c r="O62" s="1"/>
      <c r="P62" s="1"/>
      <c r="Q62" s="1"/>
      <c r="R62" s="1"/>
      <c r="S62" s="1"/>
      <c r="T62" s="1"/>
      <c r="U62" s="1"/>
      <c r="V62" s="1"/>
      <c r="W62" s="1"/>
      <c r="X62" s="1"/>
      <c r="Y62" s="1"/>
      <c r="Z62" s="1"/>
    </row>
    <row r="63" spans="1:26">
      <c r="A63" s="20"/>
      <c r="B63" s="20"/>
      <c r="C63" s="21"/>
      <c r="D63" s="20"/>
      <c r="E63" s="9" t="str">
        <f>IFERROR(VLOOKUP(D63,'04_Master Karyawan'!$A$5:$F$50,2,FALSE),"")</f>
        <v/>
      </c>
      <c r="F63" s="20"/>
      <c r="G63" s="9" t="str">
        <f>IFERROR(VLOOKUP(F63,'05_Master KPI'!$B$5:$G$100,2,FALSE)&amp;" ("&amp;VLOOKUP(F63,'05_Master KPI'!$B$5:$G$100,3,FALSE)&amp;")","")</f>
        <v/>
      </c>
      <c r="H63" s="9">
        <f>IFERROR(IF(B63&lt;&gt;'06_Target KPI'!$B$3,0,IF(VLOOKUP(F63,'05_Master KPI'!$B$5:$G$100,6,FALSE)="Kumulatif",INDEX('06_Target KPI'!$E$5:$P$100,MATCH(F63,'06_Target KPI'!$B$5:$B$100,0),MATCH(A63,'06_Target KPI'!$E$4:$P$4,0))*DAY(C63)/DAY(EOMONTH(C63,0)),INDEX('06_Target KPI'!$E$5:$P$100,MATCH(F63,'06_Target KPI'!$B$5:$B$100,0),MATCH(A63,'06_Target KPI'!$E$4:$P$4,0)))),0)</f>
        <v>0</v>
      </c>
      <c r="I63" s="20"/>
      <c r="J63" s="22">
        <f>IFERROR(MIN(IF(VLOOKUP(F63,'05_Master KPI'!$B$5:$G$100,5,FALSE)="Lower",H63/I63,I63/H63),1),0)</f>
        <v>0</v>
      </c>
      <c r="K63" s="9">
        <f>IFERROR(VLOOKUP(F63,'05_Master KPI'!$B$5:$G$100,4,FALSE),0)</f>
        <v>0</v>
      </c>
      <c r="L63" s="23">
        <f t="shared" si="0"/>
        <v>0</v>
      </c>
      <c r="M63" s="9" t="str">
        <f>IF(D63="","",IF(J63&gt;='13_Setting'!$H$7,"Tercapai",IF(J63&gt;='13_Setting'!$H$6,"On Track","Tertinggal")))</f>
        <v/>
      </c>
      <c r="N63" s="20"/>
      <c r="O63" s="1"/>
      <c r="P63" s="1"/>
      <c r="Q63" s="1"/>
      <c r="R63" s="1"/>
      <c r="S63" s="1"/>
      <c r="T63" s="1"/>
      <c r="U63" s="1"/>
      <c r="V63" s="1"/>
      <c r="W63" s="1"/>
      <c r="X63" s="1"/>
      <c r="Y63" s="1"/>
      <c r="Z63" s="1"/>
    </row>
    <row r="64" spans="1:26">
      <c r="A64" s="20"/>
      <c r="B64" s="20"/>
      <c r="C64" s="21"/>
      <c r="D64" s="20"/>
      <c r="E64" s="9" t="str">
        <f>IFERROR(VLOOKUP(D64,'04_Master Karyawan'!$A$5:$F$50,2,FALSE),"")</f>
        <v/>
      </c>
      <c r="F64" s="20"/>
      <c r="G64" s="9" t="str">
        <f>IFERROR(VLOOKUP(F64,'05_Master KPI'!$B$5:$G$100,2,FALSE)&amp;" ("&amp;VLOOKUP(F64,'05_Master KPI'!$B$5:$G$100,3,FALSE)&amp;")","")</f>
        <v/>
      </c>
      <c r="H64" s="9">
        <f>IFERROR(IF(B64&lt;&gt;'06_Target KPI'!$B$3,0,IF(VLOOKUP(F64,'05_Master KPI'!$B$5:$G$100,6,FALSE)="Kumulatif",INDEX('06_Target KPI'!$E$5:$P$100,MATCH(F64,'06_Target KPI'!$B$5:$B$100,0),MATCH(A64,'06_Target KPI'!$E$4:$P$4,0))*DAY(C64)/DAY(EOMONTH(C64,0)),INDEX('06_Target KPI'!$E$5:$P$100,MATCH(F64,'06_Target KPI'!$B$5:$B$100,0),MATCH(A64,'06_Target KPI'!$E$4:$P$4,0)))),0)</f>
        <v>0</v>
      </c>
      <c r="I64" s="20"/>
      <c r="J64" s="22">
        <f>IFERROR(MIN(IF(VLOOKUP(F64,'05_Master KPI'!$B$5:$G$100,5,FALSE)="Lower",H64/I64,I64/H64),1),0)</f>
        <v>0</v>
      </c>
      <c r="K64" s="9">
        <f>IFERROR(VLOOKUP(F64,'05_Master KPI'!$B$5:$G$100,4,FALSE),0)</f>
        <v>0</v>
      </c>
      <c r="L64" s="23">
        <f t="shared" si="0"/>
        <v>0</v>
      </c>
      <c r="M64" s="9" t="str">
        <f>IF(D64="","",IF(J64&gt;='13_Setting'!$H$7,"Tercapai",IF(J64&gt;='13_Setting'!$H$6,"On Track","Tertinggal")))</f>
        <v/>
      </c>
      <c r="N64" s="20"/>
      <c r="O64" s="1"/>
      <c r="P64" s="1"/>
      <c r="Q64" s="1"/>
      <c r="R64" s="1"/>
      <c r="S64" s="1"/>
      <c r="T64" s="1"/>
      <c r="U64" s="1"/>
      <c r="V64" s="1"/>
      <c r="W64" s="1"/>
      <c r="X64" s="1"/>
      <c r="Y64" s="1"/>
      <c r="Z64" s="1"/>
    </row>
    <row r="65" spans="1:26">
      <c r="A65" s="20"/>
      <c r="B65" s="20"/>
      <c r="C65" s="21"/>
      <c r="D65" s="20"/>
      <c r="E65" s="9" t="str">
        <f>IFERROR(VLOOKUP(D65,'04_Master Karyawan'!$A$5:$F$50,2,FALSE),"")</f>
        <v/>
      </c>
      <c r="F65" s="20"/>
      <c r="G65" s="9" t="str">
        <f>IFERROR(VLOOKUP(F65,'05_Master KPI'!$B$5:$G$100,2,FALSE)&amp;" ("&amp;VLOOKUP(F65,'05_Master KPI'!$B$5:$G$100,3,FALSE)&amp;")","")</f>
        <v/>
      </c>
      <c r="H65" s="9">
        <f>IFERROR(IF(B65&lt;&gt;'06_Target KPI'!$B$3,0,IF(VLOOKUP(F65,'05_Master KPI'!$B$5:$G$100,6,FALSE)="Kumulatif",INDEX('06_Target KPI'!$E$5:$P$100,MATCH(F65,'06_Target KPI'!$B$5:$B$100,0),MATCH(A65,'06_Target KPI'!$E$4:$P$4,0))*DAY(C65)/DAY(EOMONTH(C65,0)),INDEX('06_Target KPI'!$E$5:$P$100,MATCH(F65,'06_Target KPI'!$B$5:$B$100,0),MATCH(A65,'06_Target KPI'!$E$4:$P$4,0)))),0)</f>
        <v>0</v>
      </c>
      <c r="I65" s="20"/>
      <c r="J65" s="22">
        <f>IFERROR(MIN(IF(VLOOKUP(F65,'05_Master KPI'!$B$5:$G$100,5,FALSE)="Lower",H65/I65,I65/H65),1),0)</f>
        <v>0</v>
      </c>
      <c r="K65" s="9">
        <f>IFERROR(VLOOKUP(F65,'05_Master KPI'!$B$5:$G$100,4,FALSE),0)</f>
        <v>0</v>
      </c>
      <c r="L65" s="23">
        <f t="shared" si="0"/>
        <v>0</v>
      </c>
      <c r="M65" s="9" t="str">
        <f>IF(D65="","",IF(J65&gt;='13_Setting'!$H$7,"Tercapai",IF(J65&gt;='13_Setting'!$H$6,"On Track","Tertinggal")))</f>
        <v/>
      </c>
      <c r="N65" s="20"/>
      <c r="O65" s="1"/>
      <c r="P65" s="1"/>
      <c r="Q65" s="1"/>
      <c r="R65" s="1"/>
      <c r="S65" s="1"/>
      <c r="T65" s="1"/>
      <c r="U65" s="1"/>
      <c r="V65" s="1"/>
      <c r="W65" s="1"/>
      <c r="X65" s="1"/>
      <c r="Y65" s="1"/>
      <c r="Z65" s="1"/>
    </row>
    <row r="66" spans="1:26">
      <c r="A66" s="20"/>
      <c r="B66" s="20"/>
      <c r="C66" s="21"/>
      <c r="D66" s="20"/>
      <c r="E66" s="9" t="str">
        <f>IFERROR(VLOOKUP(D66,'04_Master Karyawan'!$A$5:$F$50,2,FALSE),"")</f>
        <v/>
      </c>
      <c r="F66" s="20"/>
      <c r="G66" s="9" t="str">
        <f>IFERROR(VLOOKUP(F66,'05_Master KPI'!$B$5:$G$100,2,FALSE)&amp;" ("&amp;VLOOKUP(F66,'05_Master KPI'!$B$5:$G$100,3,FALSE)&amp;")","")</f>
        <v/>
      </c>
      <c r="H66" s="9">
        <f>IFERROR(IF(B66&lt;&gt;'06_Target KPI'!$B$3,0,IF(VLOOKUP(F66,'05_Master KPI'!$B$5:$G$100,6,FALSE)="Kumulatif",INDEX('06_Target KPI'!$E$5:$P$100,MATCH(F66,'06_Target KPI'!$B$5:$B$100,0),MATCH(A66,'06_Target KPI'!$E$4:$P$4,0))*DAY(C66)/DAY(EOMONTH(C66,0)),INDEX('06_Target KPI'!$E$5:$P$100,MATCH(F66,'06_Target KPI'!$B$5:$B$100,0),MATCH(A66,'06_Target KPI'!$E$4:$P$4,0)))),0)</f>
        <v>0</v>
      </c>
      <c r="I66" s="20"/>
      <c r="J66" s="22">
        <f>IFERROR(MIN(IF(VLOOKUP(F66,'05_Master KPI'!$B$5:$G$100,5,FALSE)="Lower",H66/I66,I66/H66),1),0)</f>
        <v>0</v>
      </c>
      <c r="K66" s="9">
        <f>IFERROR(VLOOKUP(F66,'05_Master KPI'!$B$5:$G$100,4,FALSE),0)</f>
        <v>0</v>
      </c>
      <c r="L66" s="23">
        <f t="shared" si="0"/>
        <v>0</v>
      </c>
      <c r="M66" s="9" t="str">
        <f>IF(D66="","",IF(J66&gt;='13_Setting'!$H$7,"Tercapai",IF(J66&gt;='13_Setting'!$H$6,"On Track","Tertinggal")))</f>
        <v/>
      </c>
      <c r="N66" s="20"/>
      <c r="O66" s="1"/>
      <c r="P66" s="1"/>
      <c r="Q66" s="1"/>
      <c r="R66" s="1"/>
      <c r="S66" s="1"/>
      <c r="T66" s="1"/>
      <c r="U66" s="1"/>
      <c r="V66" s="1"/>
      <c r="W66" s="1"/>
      <c r="X66" s="1"/>
      <c r="Y66" s="1"/>
      <c r="Z66" s="1"/>
    </row>
    <row r="67" spans="1:26">
      <c r="A67" s="20"/>
      <c r="B67" s="20"/>
      <c r="C67" s="21"/>
      <c r="D67" s="20"/>
      <c r="E67" s="9" t="str">
        <f>IFERROR(VLOOKUP(D67,'04_Master Karyawan'!$A$5:$F$50,2,FALSE),"")</f>
        <v/>
      </c>
      <c r="F67" s="20"/>
      <c r="G67" s="9" t="str">
        <f>IFERROR(VLOOKUP(F67,'05_Master KPI'!$B$5:$G$100,2,FALSE)&amp;" ("&amp;VLOOKUP(F67,'05_Master KPI'!$B$5:$G$100,3,FALSE)&amp;")","")</f>
        <v/>
      </c>
      <c r="H67" s="9">
        <f>IFERROR(IF(B67&lt;&gt;'06_Target KPI'!$B$3,0,IF(VLOOKUP(F67,'05_Master KPI'!$B$5:$G$100,6,FALSE)="Kumulatif",INDEX('06_Target KPI'!$E$5:$P$100,MATCH(F67,'06_Target KPI'!$B$5:$B$100,0),MATCH(A67,'06_Target KPI'!$E$4:$P$4,0))*DAY(C67)/DAY(EOMONTH(C67,0)),INDEX('06_Target KPI'!$E$5:$P$100,MATCH(F67,'06_Target KPI'!$B$5:$B$100,0),MATCH(A67,'06_Target KPI'!$E$4:$P$4,0)))),0)</f>
        <v>0</v>
      </c>
      <c r="I67" s="20"/>
      <c r="J67" s="22">
        <f>IFERROR(MIN(IF(VLOOKUP(F67,'05_Master KPI'!$B$5:$G$100,5,FALSE)="Lower",H67/I67,I67/H67),1),0)</f>
        <v>0</v>
      </c>
      <c r="K67" s="9">
        <f>IFERROR(VLOOKUP(F67,'05_Master KPI'!$B$5:$G$100,4,FALSE),0)</f>
        <v>0</v>
      </c>
      <c r="L67" s="23">
        <f t="shared" si="0"/>
        <v>0</v>
      </c>
      <c r="M67" s="9" t="str">
        <f>IF(D67="","",IF(J67&gt;='13_Setting'!$H$7,"Tercapai",IF(J67&gt;='13_Setting'!$H$6,"On Track","Tertinggal")))</f>
        <v/>
      </c>
      <c r="N67" s="20"/>
      <c r="O67" s="1"/>
      <c r="P67" s="1"/>
      <c r="Q67" s="1"/>
      <c r="R67" s="1"/>
      <c r="S67" s="1"/>
      <c r="T67" s="1"/>
      <c r="U67" s="1"/>
      <c r="V67" s="1"/>
      <c r="W67" s="1"/>
      <c r="X67" s="1"/>
      <c r="Y67" s="1"/>
      <c r="Z67" s="1"/>
    </row>
    <row r="68" spans="1:26">
      <c r="A68" s="20"/>
      <c r="B68" s="20"/>
      <c r="C68" s="21"/>
      <c r="D68" s="20"/>
      <c r="E68" s="9" t="str">
        <f>IFERROR(VLOOKUP(D68,'04_Master Karyawan'!$A$5:$F$50,2,FALSE),"")</f>
        <v/>
      </c>
      <c r="F68" s="20"/>
      <c r="G68" s="9" t="str">
        <f>IFERROR(VLOOKUP(F68,'05_Master KPI'!$B$5:$G$100,2,FALSE)&amp;" ("&amp;VLOOKUP(F68,'05_Master KPI'!$B$5:$G$100,3,FALSE)&amp;")","")</f>
        <v/>
      </c>
      <c r="H68" s="9">
        <f>IFERROR(IF(B68&lt;&gt;'06_Target KPI'!$B$3,0,IF(VLOOKUP(F68,'05_Master KPI'!$B$5:$G$100,6,FALSE)="Kumulatif",INDEX('06_Target KPI'!$E$5:$P$100,MATCH(F68,'06_Target KPI'!$B$5:$B$100,0),MATCH(A68,'06_Target KPI'!$E$4:$P$4,0))*DAY(C68)/DAY(EOMONTH(C68,0)),INDEX('06_Target KPI'!$E$5:$P$100,MATCH(F68,'06_Target KPI'!$B$5:$B$100,0),MATCH(A68,'06_Target KPI'!$E$4:$P$4,0)))),0)</f>
        <v>0</v>
      </c>
      <c r="I68" s="20"/>
      <c r="J68" s="22">
        <f>IFERROR(MIN(IF(VLOOKUP(F68,'05_Master KPI'!$B$5:$G$100,5,FALSE)="Lower",H68/I68,I68/H68),1),0)</f>
        <v>0</v>
      </c>
      <c r="K68" s="9">
        <f>IFERROR(VLOOKUP(F68,'05_Master KPI'!$B$5:$G$100,4,FALSE),0)</f>
        <v>0</v>
      </c>
      <c r="L68" s="23">
        <f t="shared" si="0"/>
        <v>0</v>
      </c>
      <c r="M68" s="9" t="str">
        <f>IF(D68="","",IF(J68&gt;='13_Setting'!$H$7,"Tercapai",IF(J68&gt;='13_Setting'!$H$6,"On Track","Tertinggal")))</f>
        <v/>
      </c>
      <c r="N68" s="20"/>
      <c r="O68" s="1"/>
      <c r="P68" s="1"/>
      <c r="Q68" s="1"/>
      <c r="R68" s="1"/>
      <c r="S68" s="1"/>
      <c r="T68" s="1"/>
      <c r="U68" s="1"/>
      <c r="V68" s="1"/>
      <c r="W68" s="1"/>
      <c r="X68" s="1"/>
      <c r="Y68" s="1"/>
      <c r="Z68" s="1"/>
    </row>
    <row r="69" spans="1:26">
      <c r="A69" s="20"/>
      <c r="B69" s="20"/>
      <c r="C69" s="21"/>
      <c r="D69" s="20"/>
      <c r="E69" s="9" t="str">
        <f>IFERROR(VLOOKUP(D69,'04_Master Karyawan'!$A$5:$F$50,2,FALSE),"")</f>
        <v/>
      </c>
      <c r="F69" s="20"/>
      <c r="G69" s="9" t="str">
        <f>IFERROR(VLOOKUP(F69,'05_Master KPI'!$B$5:$G$100,2,FALSE)&amp;" ("&amp;VLOOKUP(F69,'05_Master KPI'!$B$5:$G$100,3,FALSE)&amp;")","")</f>
        <v/>
      </c>
      <c r="H69" s="9">
        <f>IFERROR(IF(B69&lt;&gt;'06_Target KPI'!$B$3,0,IF(VLOOKUP(F69,'05_Master KPI'!$B$5:$G$100,6,FALSE)="Kumulatif",INDEX('06_Target KPI'!$E$5:$P$100,MATCH(F69,'06_Target KPI'!$B$5:$B$100,0),MATCH(A69,'06_Target KPI'!$E$4:$P$4,0))*DAY(C69)/DAY(EOMONTH(C69,0)),INDEX('06_Target KPI'!$E$5:$P$100,MATCH(F69,'06_Target KPI'!$B$5:$B$100,0),MATCH(A69,'06_Target KPI'!$E$4:$P$4,0)))),0)</f>
        <v>0</v>
      </c>
      <c r="I69" s="20"/>
      <c r="J69" s="22">
        <f>IFERROR(MIN(IF(VLOOKUP(F69,'05_Master KPI'!$B$5:$G$100,5,FALSE)="Lower",H69/I69,I69/H69),1),0)</f>
        <v>0</v>
      </c>
      <c r="K69" s="9">
        <f>IFERROR(VLOOKUP(F69,'05_Master KPI'!$B$5:$G$100,4,FALSE),0)</f>
        <v>0</v>
      </c>
      <c r="L69" s="23">
        <f t="shared" ref="L69:L132" si="1">J69*K69</f>
        <v>0</v>
      </c>
      <c r="M69" s="9" t="str">
        <f>IF(D69="","",IF(J69&gt;='13_Setting'!$H$7,"Tercapai",IF(J69&gt;='13_Setting'!$H$6,"On Track","Tertinggal")))</f>
        <v/>
      </c>
      <c r="N69" s="20"/>
      <c r="O69" s="1"/>
      <c r="P69" s="1"/>
      <c r="Q69" s="1"/>
      <c r="R69" s="1"/>
      <c r="S69" s="1"/>
      <c r="T69" s="1"/>
      <c r="U69" s="1"/>
      <c r="V69" s="1"/>
      <c r="W69" s="1"/>
      <c r="X69" s="1"/>
      <c r="Y69" s="1"/>
      <c r="Z69" s="1"/>
    </row>
    <row r="70" spans="1:26">
      <c r="A70" s="20"/>
      <c r="B70" s="20"/>
      <c r="C70" s="21"/>
      <c r="D70" s="20"/>
      <c r="E70" s="9" t="str">
        <f>IFERROR(VLOOKUP(D70,'04_Master Karyawan'!$A$5:$F$50,2,FALSE),"")</f>
        <v/>
      </c>
      <c r="F70" s="20"/>
      <c r="G70" s="9" t="str">
        <f>IFERROR(VLOOKUP(F70,'05_Master KPI'!$B$5:$G$100,2,FALSE)&amp;" ("&amp;VLOOKUP(F70,'05_Master KPI'!$B$5:$G$100,3,FALSE)&amp;")","")</f>
        <v/>
      </c>
      <c r="H70" s="9">
        <f>IFERROR(IF(B70&lt;&gt;'06_Target KPI'!$B$3,0,IF(VLOOKUP(F70,'05_Master KPI'!$B$5:$G$100,6,FALSE)="Kumulatif",INDEX('06_Target KPI'!$E$5:$P$100,MATCH(F70,'06_Target KPI'!$B$5:$B$100,0),MATCH(A70,'06_Target KPI'!$E$4:$P$4,0))*DAY(C70)/DAY(EOMONTH(C70,0)),INDEX('06_Target KPI'!$E$5:$P$100,MATCH(F70,'06_Target KPI'!$B$5:$B$100,0),MATCH(A70,'06_Target KPI'!$E$4:$P$4,0)))),0)</f>
        <v>0</v>
      </c>
      <c r="I70" s="20"/>
      <c r="J70" s="22">
        <f>IFERROR(MIN(IF(VLOOKUP(F70,'05_Master KPI'!$B$5:$G$100,5,FALSE)="Lower",H70/I70,I70/H70),1),0)</f>
        <v>0</v>
      </c>
      <c r="K70" s="9">
        <f>IFERROR(VLOOKUP(F70,'05_Master KPI'!$B$5:$G$100,4,FALSE),0)</f>
        <v>0</v>
      </c>
      <c r="L70" s="23">
        <f t="shared" si="1"/>
        <v>0</v>
      </c>
      <c r="M70" s="9" t="str">
        <f>IF(D70="","",IF(J70&gt;='13_Setting'!$H$7,"Tercapai",IF(J70&gt;='13_Setting'!$H$6,"On Track","Tertinggal")))</f>
        <v/>
      </c>
      <c r="N70" s="20"/>
      <c r="O70" s="1"/>
      <c r="P70" s="1"/>
      <c r="Q70" s="1"/>
      <c r="R70" s="1"/>
      <c r="S70" s="1"/>
      <c r="T70" s="1"/>
      <c r="U70" s="1"/>
      <c r="V70" s="1"/>
      <c r="W70" s="1"/>
      <c r="X70" s="1"/>
      <c r="Y70" s="1"/>
      <c r="Z70" s="1"/>
    </row>
    <row r="71" spans="1:26">
      <c r="A71" s="20"/>
      <c r="B71" s="20"/>
      <c r="C71" s="21"/>
      <c r="D71" s="20"/>
      <c r="E71" s="9" t="str">
        <f>IFERROR(VLOOKUP(D71,'04_Master Karyawan'!$A$5:$F$50,2,FALSE),"")</f>
        <v/>
      </c>
      <c r="F71" s="20"/>
      <c r="G71" s="9" t="str">
        <f>IFERROR(VLOOKUP(F71,'05_Master KPI'!$B$5:$G$100,2,FALSE)&amp;" ("&amp;VLOOKUP(F71,'05_Master KPI'!$B$5:$G$100,3,FALSE)&amp;")","")</f>
        <v/>
      </c>
      <c r="H71" s="9">
        <f>IFERROR(IF(B71&lt;&gt;'06_Target KPI'!$B$3,0,IF(VLOOKUP(F71,'05_Master KPI'!$B$5:$G$100,6,FALSE)="Kumulatif",INDEX('06_Target KPI'!$E$5:$P$100,MATCH(F71,'06_Target KPI'!$B$5:$B$100,0),MATCH(A71,'06_Target KPI'!$E$4:$P$4,0))*DAY(C71)/DAY(EOMONTH(C71,0)),INDEX('06_Target KPI'!$E$5:$P$100,MATCH(F71,'06_Target KPI'!$B$5:$B$100,0),MATCH(A71,'06_Target KPI'!$E$4:$P$4,0)))),0)</f>
        <v>0</v>
      </c>
      <c r="I71" s="20"/>
      <c r="J71" s="22">
        <f>IFERROR(MIN(IF(VLOOKUP(F71,'05_Master KPI'!$B$5:$G$100,5,FALSE)="Lower",H71/I71,I71/H71),1),0)</f>
        <v>0</v>
      </c>
      <c r="K71" s="9">
        <f>IFERROR(VLOOKUP(F71,'05_Master KPI'!$B$5:$G$100,4,FALSE),0)</f>
        <v>0</v>
      </c>
      <c r="L71" s="23">
        <f t="shared" si="1"/>
        <v>0</v>
      </c>
      <c r="M71" s="9" t="str">
        <f>IF(D71="","",IF(J71&gt;='13_Setting'!$H$7,"Tercapai",IF(J71&gt;='13_Setting'!$H$6,"On Track","Tertinggal")))</f>
        <v/>
      </c>
      <c r="N71" s="20"/>
      <c r="O71" s="1"/>
      <c r="P71" s="1"/>
      <c r="Q71" s="1"/>
      <c r="R71" s="1"/>
      <c r="S71" s="1"/>
      <c r="T71" s="1"/>
      <c r="U71" s="1"/>
      <c r="V71" s="1"/>
      <c r="W71" s="1"/>
      <c r="X71" s="1"/>
      <c r="Y71" s="1"/>
      <c r="Z71" s="1"/>
    </row>
    <row r="72" spans="1:26">
      <c r="A72" s="20"/>
      <c r="B72" s="20"/>
      <c r="C72" s="21"/>
      <c r="D72" s="20"/>
      <c r="E72" s="9" t="str">
        <f>IFERROR(VLOOKUP(D72,'04_Master Karyawan'!$A$5:$F$50,2,FALSE),"")</f>
        <v/>
      </c>
      <c r="F72" s="20"/>
      <c r="G72" s="9" t="str">
        <f>IFERROR(VLOOKUP(F72,'05_Master KPI'!$B$5:$G$100,2,FALSE)&amp;" ("&amp;VLOOKUP(F72,'05_Master KPI'!$B$5:$G$100,3,FALSE)&amp;")","")</f>
        <v/>
      </c>
      <c r="H72" s="9">
        <f>IFERROR(IF(B72&lt;&gt;'06_Target KPI'!$B$3,0,IF(VLOOKUP(F72,'05_Master KPI'!$B$5:$G$100,6,FALSE)="Kumulatif",INDEX('06_Target KPI'!$E$5:$P$100,MATCH(F72,'06_Target KPI'!$B$5:$B$100,0),MATCH(A72,'06_Target KPI'!$E$4:$P$4,0))*DAY(C72)/DAY(EOMONTH(C72,0)),INDEX('06_Target KPI'!$E$5:$P$100,MATCH(F72,'06_Target KPI'!$B$5:$B$100,0),MATCH(A72,'06_Target KPI'!$E$4:$P$4,0)))),0)</f>
        <v>0</v>
      </c>
      <c r="I72" s="20"/>
      <c r="J72" s="22">
        <f>IFERROR(MIN(IF(VLOOKUP(F72,'05_Master KPI'!$B$5:$G$100,5,FALSE)="Lower",H72/I72,I72/H72),1),0)</f>
        <v>0</v>
      </c>
      <c r="K72" s="9">
        <f>IFERROR(VLOOKUP(F72,'05_Master KPI'!$B$5:$G$100,4,FALSE),0)</f>
        <v>0</v>
      </c>
      <c r="L72" s="23">
        <f t="shared" si="1"/>
        <v>0</v>
      </c>
      <c r="M72" s="9" t="str">
        <f>IF(D72="","",IF(J72&gt;='13_Setting'!$H$7,"Tercapai",IF(J72&gt;='13_Setting'!$H$6,"On Track","Tertinggal")))</f>
        <v/>
      </c>
      <c r="N72" s="20"/>
      <c r="O72" s="1"/>
      <c r="P72" s="1"/>
      <c r="Q72" s="1"/>
      <c r="R72" s="1"/>
      <c r="S72" s="1"/>
      <c r="T72" s="1"/>
      <c r="U72" s="1"/>
      <c r="V72" s="1"/>
      <c r="W72" s="1"/>
      <c r="X72" s="1"/>
      <c r="Y72" s="1"/>
      <c r="Z72" s="1"/>
    </row>
    <row r="73" spans="1:26">
      <c r="A73" s="20"/>
      <c r="B73" s="20"/>
      <c r="C73" s="21"/>
      <c r="D73" s="20"/>
      <c r="E73" s="9" t="str">
        <f>IFERROR(VLOOKUP(D73,'04_Master Karyawan'!$A$5:$F$50,2,FALSE),"")</f>
        <v/>
      </c>
      <c r="F73" s="20"/>
      <c r="G73" s="9" t="str">
        <f>IFERROR(VLOOKUP(F73,'05_Master KPI'!$B$5:$G$100,2,FALSE)&amp;" ("&amp;VLOOKUP(F73,'05_Master KPI'!$B$5:$G$100,3,FALSE)&amp;")","")</f>
        <v/>
      </c>
      <c r="H73" s="9">
        <f>IFERROR(IF(B73&lt;&gt;'06_Target KPI'!$B$3,0,IF(VLOOKUP(F73,'05_Master KPI'!$B$5:$G$100,6,FALSE)="Kumulatif",INDEX('06_Target KPI'!$E$5:$P$100,MATCH(F73,'06_Target KPI'!$B$5:$B$100,0),MATCH(A73,'06_Target KPI'!$E$4:$P$4,0))*DAY(C73)/DAY(EOMONTH(C73,0)),INDEX('06_Target KPI'!$E$5:$P$100,MATCH(F73,'06_Target KPI'!$B$5:$B$100,0),MATCH(A73,'06_Target KPI'!$E$4:$P$4,0)))),0)</f>
        <v>0</v>
      </c>
      <c r="I73" s="20"/>
      <c r="J73" s="22">
        <f>IFERROR(MIN(IF(VLOOKUP(F73,'05_Master KPI'!$B$5:$G$100,5,FALSE)="Lower",H73/I73,I73/H73),1),0)</f>
        <v>0</v>
      </c>
      <c r="K73" s="9">
        <f>IFERROR(VLOOKUP(F73,'05_Master KPI'!$B$5:$G$100,4,FALSE),0)</f>
        <v>0</v>
      </c>
      <c r="L73" s="23">
        <f t="shared" si="1"/>
        <v>0</v>
      </c>
      <c r="M73" s="9" t="str">
        <f>IF(D73="","",IF(J73&gt;='13_Setting'!$H$7,"Tercapai",IF(J73&gt;='13_Setting'!$H$6,"On Track","Tertinggal")))</f>
        <v/>
      </c>
      <c r="N73" s="20"/>
      <c r="O73" s="1"/>
      <c r="P73" s="1"/>
      <c r="Q73" s="1"/>
      <c r="R73" s="1"/>
      <c r="S73" s="1"/>
      <c r="T73" s="1"/>
      <c r="U73" s="1"/>
      <c r="V73" s="1"/>
      <c r="W73" s="1"/>
      <c r="X73" s="1"/>
      <c r="Y73" s="1"/>
      <c r="Z73" s="1"/>
    </row>
    <row r="74" spans="1:26">
      <c r="A74" s="20"/>
      <c r="B74" s="20"/>
      <c r="C74" s="21"/>
      <c r="D74" s="20"/>
      <c r="E74" s="9" t="str">
        <f>IFERROR(VLOOKUP(D74,'04_Master Karyawan'!$A$5:$F$50,2,FALSE),"")</f>
        <v/>
      </c>
      <c r="F74" s="20"/>
      <c r="G74" s="9" t="str">
        <f>IFERROR(VLOOKUP(F74,'05_Master KPI'!$B$5:$G$100,2,FALSE)&amp;" ("&amp;VLOOKUP(F74,'05_Master KPI'!$B$5:$G$100,3,FALSE)&amp;")","")</f>
        <v/>
      </c>
      <c r="H74" s="9">
        <f>IFERROR(IF(B74&lt;&gt;'06_Target KPI'!$B$3,0,IF(VLOOKUP(F74,'05_Master KPI'!$B$5:$G$100,6,FALSE)="Kumulatif",INDEX('06_Target KPI'!$E$5:$P$100,MATCH(F74,'06_Target KPI'!$B$5:$B$100,0),MATCH(A74,'06_Target KPI'!$E$4:$P$4,0))*DAY(C74)/DAY(EOMONTH(C74,0)),INDEX('06_Target KPI'!$E$5:$P$100,MATCH(F74,'06_Target KPI'!$B$5:$B$100,0),MATCH(A74,'06_Target KPI'!$E$4:$P$4,0)))),0)</f>
        <v>0</v>
      </c>
      <c r="I74" s="20"/>
      <c r="J74" s="22">
        <f>IFERROR(MIN(IF(VLOOKUP(F74,'05_Master KPI'!$B$5:$G$100,5,FALSE)="Lower",H74/I74,I74/H74),1),0)</f>
        <v>0</v>
      </c>
      <c r="K74" s="9">
        <f>IFERROR(VLOOKUP(F74,'05_Master KPI'!$B$5:$G$100,4,FALSE),0)</f>
        <v>0</v>
      </c>
      <c r="L74" s="23">
        <f t="shared" si="1"/>
        <v>0</v>
      </c>
      <c r="M74" s="9" t="str">
        <f>IF(D74="","",IF(J74&gt;='13_Setting'!$H$7,"Tercapai",IF(J74&gt;='13_Setting'!$H$6,"On Track","Tertinggal")))</f>
        <v/>
      </c>
      <c r="N74" s="20"/>
      <c r="O74" s="1"/>
      <c r="P74" s="1"/>
      <c r="Q74" s="1"/>
      <c r="R74" s="1"/>
      <c r="S74" s="1"/>
      <c r="T74" s="1"/>
      <c r="U74" s="1"/>
      <c r="V74" s="1"/>
      <c r="W74" s="1"/>
      <c r="X74" s="1"/>
      <c r="Y74" s="1"/>
      <c r="Z74" s="1"/>
    </row>
    <row r="75" spans="1:26">
      <c r="A75" s="20"/>
      <c r="B75" s="20"/>
      <c r="C75" s="21"/>
      <c r="D75" s="20"/>
      <c r="E75" s="9" t="str">
        <f>IFERROR(VLOOKUP(D75,'04_Master Karyawan'!$A$5:$F$50,2,FALSE),"")</f>
        <v/>
      </c>
      <c r="F75" s="20"/>
      <c r="G75" s="9" t="str">
        <f>IFERROR(VLOOKUP(F75,'05_Master KPI'!$B$5:$G$100,2,FALSE)&amp;" ("&amp;VLOOKUP(F75,'05_Master KPI'!$B$5:$G$100,3,FALSE)&amp;")","")</f>
        <v/>
      </c>
      <c r="H75" s="9">
        <f>IFERROR(IF(B75&lt;&gt;'06_Target KPI'!$B$3,0,IF(VLOOKUP(F75,'05_Master KPI'!$B$5:$G$100,6,FALSE)="Kumulatif",INDEX('06_Target KPI'!$E$5:$P$100,MATCH(F75,'06_Target KPI'!$B$5:$B$100,0),MATCH(A75,'06_Target KPI'!$E$4:$P$4,0))*DAY(C75)/DAY(EOMONTH(C75,0)),INDEX('06_Target KPI'!$E$5:$P$100,MATCH(F75,'06_Target KPI'!$B$5:$B$100,0),MATCH(A75,'06_Target KPI'!$E$4:$P$4,0)))),0)</f>
        <v>0</v>
      </c>
      <c r="I75" s="20"/>
      <c r="J75" s="22">
        <f>IFERROR(MIN(IF(VLOOKUP(F75,'05_Master KPI'!$B$5:$G$100,5,FALSE)="Lower",H75/I75,I75/H75),1),0)</f>
        <v>0</v>
      </c>
      <c r="K75" s="9">
        <f>IFERROR(VLOOKUP(F75,'05_Master KPI'!$B$5:$G$100,4,FALSE),0)</f>
        <v>0</v>
      </c>
      <c r="L75" s="23">
        <f t="shared" si="1"/>
        <v>0</v>
      </c>
      <c r="M75" s="9" t="str">
        <f>IF(D75="","",IF(J75&gt;='13_Setting'!$H$7,"Tercapai",IF(J75&gt;='13_Setting'!$H$6,"On Track","Tertinggal")))</f>
        <v/>
      </c>
      <c r="N75" s="20"/>
      <c r="O75" s="1"/>
      <c r="P75" s="1"/>
      <c r="Q75" s="1"/>
      <c r="R75" s="1"/>
      <c r="S75" s="1"/>
      <c r="T75" s="1"/>
      <c r="U75" s="1"/>
      <c r="V75" s="1"/>
      <c r="W75" s="1"/>
      <c r="X75" s="1"/>
      <c r="Y75" s="1"/>
      <c r="Z75" s="1"/>
    </row>
    <row r="76" spans="1:26">
      <c r="A76" s="20"/>
      <c r="B76" s="20"/>
      <c r="C76" s="21"/>
      <c r="D76" s="20"/>
      <c r="E76" s="9" t="str">
        <f>IFERROR(VLOOKUP(D76,'04_Master Karyawan'!$A$5:$F$50,2,FALSE),"")</f>
        <v/>
      </c>
      <c r="F76" s="20"/>
      <c r="G76" s="9" t="str">
        <f>IFERROR(VLOOKUP(F76,'05_Master KPI'!$B$5:$G$100,2,FALSE)&amp;" ("&amp;VLOOKUP(F76,'05_Master KPI'!$B$5:$G$100,3,FALSE)&amp;")","")</f>
        <v/>
      </c>
      <c r="H76" s="9">
        <f>IFERROR(IF(B76&lt;&gt;'06_Target KPI'!$B$3,0,IF(VLOOKUP(F76,'05_Master KPI'!$B$5:$G$100,6,FALSE)="Kumulatif",INDEX('06_Target KPI'!$E$5:$P$100,MATCH(F76,'06_Target KPI'!$B$5:$B$100,0),MATCH(A76,'06_Target KPI'!$E$4:$P$4,0))*DAY(C76)/DAY(EOMONTH(C76,0)),INDEX('06_Target KPI'!$E$5:$P$100,MATCH(F76,'06_Target KPI'!$B$5:$B$100,0),MATCH(A76,'06_Target KPI'!$E$4:$P$4,0)))),0)</f>
        <v>0</v>
      </c>
      <c r="I76" s="20"/>
      <c r="J76" s="22">
        <f>IFERROR(MIN(IF(VLOOKUP(F76,'05_Master KPI'!$B$5:$G$100,5,FALSE)="Lower",H76/I76,I76/H76),1),0)</f>
        <v>0</v>
      </c>
      <c r="K76" s="9">
        <f>IFERROR(VLOOKUP(F76,'05_Master KPI'!$B$5:$G$100,4,FALSE),0)</f>
        <v>0</v>
      </c>
      <c r="L76" s="23">
        <f t="shared" si="1"/>
        <v>0</v>
      </c>
      <c r="M76" s="9" t="str">
        <f>IF(D76="","",IF(J76&gt;='13_Setting'!$H$7,"Tercapai",IF(J76&gt;='13_Setting'!$H$6,"On Track","Tertinggal")))</f>
        <v/>
      </c>
      <c r="N76" s="20"/>
      <c r="O76" s="1"/>
      <c r="P76" s="1"/>
      <c r="Q76" s="1"/>
      <c r="R76" s="1"/>
      <c r="S76" s="1"/>
      <c r="T76" s="1"/>
      <c r="U76" s="1"/>
      <c r="V76" s="1"/>
      <c r="W76" s="1"/>
      <c r="X76" s="1"/>
      <c r="Y76" s="1"/>
      <c r="Z76" s="1"/>
    </row>
    <row r="77" spans="1:26">
      <c r="A77" s="20"/>
      <c r="B77" s="20"/>
      <c r="C77" s="21"/>
      <c r="D77" s="20"/>
      <c r="E77" s="9" t="str">
        <f>IFERROR(VLOOKUP(D77,'04_Master Karyawan'!$A$5:$F$50,2,FALSE),"")</f>
        <v/>
      </c>
      <c r="F77" s="20"/>
      <c r="G77" s="9" t="str">
        <f>IFERROR(VLOOKUP(F77,'05_Master KPI'!$B$5:$G$100,2,FALSE)&amp;" ("&amp;VLOOKUP(F77,'05_Master KPI'!$B$5:$G$100,3,FALSE)&amp;")","")</f>
        <v/>
      </c>
      <c r="H77" s="9">
        <f>IFERROR(IF(B77&lt;&gt;'06_Target KPI'!$B$3,0,IF(VLOOKUP(F77,'05_Master KPI'!$B$5:$G$100,6,FALSE)="Kumulatif",INDEX('06_Target KPI'!$E$5:$P$100,MATCH(F77,'06_Target KPI'!$B$5:$B$100,0),MATCH(A77,'06_Target KPI'!$E$4:$P$4,0))*DAY(C77)/DAY(EOMONTH(C77,0)),INDEX('06_Target KPI'!$E$5:$P$100,MATCH(F77,'06_Target KPI'!$B$5:$B$100,0),MATCH(A77,'06_Target KPI'!$E$4:$P$4,0)))),0)</f>
        <v>0</v>
      </c>
      <c r="I77" s="20"/>
      <c r="J77" s="22">
        <f>IFERROR(MIN(IF(VLOOKUP(F77,'05_Master KPI'!$B$5:$G$100,5,FALSE)="Lower",H77/I77,I77/H77),1),0)</f>
        <v>0</v>
      </c>
      <c r="K77" s="9">
        <f>IFERROR(VLOOKUP(F77,'05_Master KPI'!$B$5:$G$100,4,FALSE),0)</f>
        <v>0</v>
      </c>
      <c r="L77" s="23">
        <f t="shared" si="1"/>
        <v>0</v>
      </c>
      <c r="M77" s="9" t="str">
        <f>IF(D77="","",IF(J77&gt;='13_Setting'!$H$7,"Tercapai",IF(J77&gt;='13_Setting'!$H$6,"On Track","Tertinggal")))</f>
        <v/>
      </c>
      <c r="N77" s="20"/>
      <c r="O77" s="1"/>
      <c r="P77" s="1"/>
      <c r="Q77" s="1"/>
      <c r="R77" s="1"/>
      <c r="S77" s="1"/>
      <c r="T77" s="1"/>
      <c r="U77" s="1"/>
      <c r="V77" s="1"/>
      <c r="W77" s="1"/>
      <c r="X77" s="1"/>
      <c r="Y77" s="1"/>
      <c r="Z77" s="1"/>
    </row>
    <row r="78" spans="1:26">
      <c r="A78" s="20"/>
      <c r="B78" s="20"/>
      <c r="C78" s="21"/>
      <c r="D78" s="20"/>
      <c r="E78" s="9" t="str">
        <f>IFERROR(VLOOKUP(D78,'04_Master Karyawan'!$A$5:$F$50,2,FALSE),"")</f>
        <v/>
      </c>
      <c r="F78" s="20"/>
      <c r="G78" s="9" t="str">
        <f>IFERROR(VLOOKUP(F78,'05_Master KPI'!$B$5:$G$100,2,FALSE)&amp;" ("&amp;VLOOKUP(F78,'05_Master KPI'!$B$5:$G$100,3,FALSE)&amp;")","")</f>
        <v/>
      </c>
      <c r="H78" s="9">
        <f>IFERROR(IF(B78&lt;&gt;'06_Target KPI'!$B$3,0,IF(VLOOKUP(F78,'05_Master KPI'!$B$5:$G$100,6,FALSE)="Kumulatif",INDEX('06_Target KPI'!$E$5:$P$100,MATCH(F78,'06_Target KPI'!$B$5:$B$100,0),MATCH(A78,'06_Target KPI'!$E$4:$P$4,0))*DAY(C78)/DAY(EOMONTH(C78,0)),INDEX('06_Target KPI'!$E$5:$P$100,MATCH(F78,'06_Target KPI'!$B$5:$B$100,0),MATCH(A78,'06_Target KPI'!$E$4:$P$4,0)))),0)</f>
        <v>0</v>
      </c>
      <c r="I78" s="20"/>
      <c r="J78" s="22">
        <f>IFERROR(MIN(IF(VLOOKUP(F78,'05_Master KPI'!$B$5:$G$100,5,FALSE)="Lower",H78/I78,I78/H78),1),0)</f>
        <v>0</v>
      </c>
      <c r="K78" s="9">
        <f>IFERROR(VLOOKUP(F78,'05_Master KPI'!$B$5:$G$100,4,FALSE),0)</f>
        <v>0</v>
      </c>
      <c r="L78" s="23">
        <f t="shared" si="1"/>
        <v>0</v>
      </c>
      <c r="M78" s="9" t="str">
        <f>IF(D78="","",IF(J78&gt;='13_Setting'!$H$7,"Tercapai",IF(J78&gt;='13_Setting'!$H$6,"On Track","Tertinggal")))</f>
        <v/>
      </c>
      <c r="N78" s="20"/>
      <c r="O78" s="1"/>
      <c r="P78" s="1"/>
      <c r="Q78" s="1"/>
      <c r="R78" s="1"/>
      <c r="S78" s="1"/>
      <c r="T78" s="1"/>
      <c r="U78" s="1"/>
      <c r="V78" s="1"/>
      <c r="W78" s="1"/>
      <c r="X78" s="1"/>
      <c r="Y78" s="1"/>
      <c r="Z78" s="1"/>
    </row>
    <row r="79" spans="1:26">
      <c r="A79" s="20"/>
      <c r="B79" s="20"/>
      <c r="C79" s="21"/>
      <c r="D79" s="20"/>
      <c r="E79" s="9" t="str">
        <f>IFERROR(VLOOKUP(D79,'04_Master Karyawan'!$A$5:$F$50,2,FALSE),"")</f>
        <v/>
      </c>
      <c r="F79" s="20"/>
      <c r="G79" s="9" t="str">
        <f>IFERROR(VLOOKUP(F79,'05_Master KPI'!$B$5:$G$100,2,FALSE)&amp;" ("&amp;VLOOKUP(F79,'05_Master KPI'!$B$5:$G$100,3,FALSE)&amp;")","")</f>
        <v/>
      </c>
      <c r="H79" s="9">
        <f>IFERROR(IF(B79&lt;&gt;'06_Target KPI'!$B$3,0,IF(VLOOKUP(F79,'05_Master KPI'!$B$5:$G$100,6,FALSE)="Kumulatif",INDEX('06_Target KPI'!$E$5:$P$100,MATCH(F79,'06_Target KPI'!$B$5:$B$100,0),MATCH(A79,'06_Target KPI'!$E$4:$P$4,0))*DAY(C79)/DAY(EOMONTH(C79,0)),INDEX('06_Target KPI'!$E$5:$P$100,MATCH(F79,'06_Target KPI'!$B$5:$B$100,0),MATCH(A79,'06_Target KPI'!$E$4:$P$4,0)))),0)</f>
        <v>0</v>
      </c>
      <c r="I79" s="20"/>
      <c r="J79" s="22">
        <f>IFERROR(MIN(IF(VLOOKUP(F79,'05_Master KPI'!$B$5:$G$100,5,FALSE)="Lower",H79/I79,I79/H79),1),0)</f>
        <v>0</v>
      </c>
      <c r="K79" s="9">
        <f>IFERROR(VLOOKUP(F79,'05_Master KPI'!$B$5:$G$100,4,FALSE),0)</f>
        <v>0</v>
      </c>
      <c r="L79" s="23">
        <f t="shared" si="1"/>
        <v>0</v>
      </c>
      <c r="M79" s="9" t="str">
        <f>IF(D79="","",IF(J79&gt;='13_Setting'!$H$7,"Tercapai",IF(J79&gt;='13_Setting'!$H$6,"On Track","Tertinggal")))</f>
        <v/>
      </c>
      <c r="N79" s="20"/>
      <c r="O79" s="1"/>
      <c r="P79" s="1"/>
      <c r="Q79" s="1"/>
      <c r="R79" s="1"/>
      <c r="S79" s="1"/>
      <c r="T79" s="1"/>
      <c r="U79" s="1"/>
      <c r="V79" s="1"/>
      <c r="W79" s="1"/>
      <c r="X79" s="1"/>
      <c r="Y79" s="1"/>
      <c r="Z79" s="1"/>
    </row>
    <row r="80" spans="1:26">
      <c r="A80" s="20"/>
      <c r="B80" s="20"/>
      <c r="C80" s="21"/>
      <c r="D80" s="20"/>
      <c r="E80" s="9" t="str">
        <f>IFERROR(VLOOKUP(D80,'04_Master Karyawan'!$A$5:$F$50,2,FALSE),"")</f>
        <v/>
      </c>
      <c r="F80" s="20"/>
      <c r="G80" s="9" t="str">
        <f>IFERROR(VLOOKUP(F80,'05_Master KPI'!$B$5:$G$100,2,FALSE)&amp;" ("&amp;VLOOKUP(F80,'05_Master KPI'!$B$5:$G$100,3,FALSE)&amp;")","")</f>
        <v/>
      </c>
      <c r="H80" s="9">
        <f>IFERROR(IF(B80&lt;&gt;'06_Target KPI'!$B$3,0,IF(VLOOKUP(F80,'05_Master KPI'!$B$5:$G$100,6,FALSE)="Kumulatif",INDEX('06_Target KPI'!$E$5:$P$100,MATCH(F80,'06_Target KPI'!$B$5:$B$100,0),MATCH(A80,'06_Target KPI'!$E$4:$P$4,0))*DAY(C80)/DAY(EOMONTH(C80,0)),INDEX('06_Target KPI'!$E$5:$P$100,MATCH(F80,'06_Target KPI'!$B$5:$B$100,0),MATCH(A80,'06_Target KPI'!$E$4:$P$4,0)))),0)</f>
        <v>0</v>
      </c>
      <c r="I80" s="20"/>
      <c r="J80" s="22">
        <f>IFERROR(MIN(IF(VLOOKUP(F80,'05_Master KPI'!$B$5:$G$100,5,FALSE)="Lower",H80/I80,I80/H80),1),0)</f>
        <v>0</v>
      </c>
      <c r="K80" s="9">
        <f>IFERROR(VLOOKUP(F80,'05_Master KPI'!$B$5:$G$100,4,FALSE),0)</f>
        <v>0</v>
      </c>
      <c r="L80" s="23">
        <f t="shared" si="1"/>
        <v>0</v>
      </c>
      <c r="M80" s="9" t="str">
        <f>IF(D80="","",IF(J80&gt;='13_Setting'!$H$7,"Tercapai",IF(J80&gt;='13_Setting'!$H$6,"On Track","Tertinggal")))</f>
        <v/>
      </c>
      <c r="N80" s="20"/>
      <c r="O80" s="1"/>
      <c r="P80" s="1"/>
      <c r="Q80" s="1"/>
      <c r="R80" s="1"/>
      <c r="S80" s="1"/>
      <c r="T80" s="1"/>
      <c r="U80" s="1"/>
      <c r="V80" s="1"/>
      <c r="W80" s="1"/>
      <c r="X80" s="1"/>
      <c r="Y80" s="1"/>
      <c r="Z80" s="1"/>
    </row>
    <row r="81" spans="1:14">
      <c r="A81" s="24"/>
      <c r="B81" s="24"/>
      <c r="C81" s="25"/>
      <c r="D81" s="24"/>
      <c r="E81" s="26" t="str">
        <f>IFERROR(VLOOKUP(D81,'04_Master Karyawan'!$A$5:$F$50,2,FALSE),"")</f>
        <v/>
      </c>
      <c r="F81" s="24"/>
      <c r="G81" s="26" t="str">
        <f>IFERROR(VLOOKUP(F81,'05_Master KPI'!$B$5:$G$100,2,FALSE)&amp;" ("&amp;VLOOKUP(F81,'05_Master KPI'!$B$5:$G$100,3,FALSE)&amp;")","")</f>
        <v/>
      </c>
      <c r="H81" s="26">
        <f>IFERROR(IF(B81&lt;&gt;'06_Target KPI'!$B$3,0,IF(VLOOKUP(F81,'05_Master KPI'!$B$5:$G$100,6,FALSE)="Kumulatif",INDEX('06_Target KPI'!$E$5:$P$100,MATCH(F81,'06_Target KPI'!$B$5:$B$100,0),MATCH(A81,'06_Target KPI'!$E$4:$P$4,0))*DAY(C81)/DAY(EOMONTH(C81,0)),INDEX('06_Target KPI'!$E$5:$P$100,MATCH(F81,'06_Target KPI'!$B$5:$B$100,0),MATCH(A81,'06_Target KPI'!$E$4:$P$4,0)))),0)</f>
        <v>0</v>
      </c>
      <c r="I81" s="24"/>
      <c r="J81" s="27">
        <f>IFERROR(MIN(IF(VLOOKUP(F81,'05_Master KPI'!$B$5:$G$100,5,FALSE)="Lower",H81/I81,I81/H81),1),0)</f>
        <v>0</v>
      </c>
      <c r="K81" s="26">
        <f>IFERROR(VLOOKUP(F81,'05_Master KPI'!$B$5:$G$100,4,FALSE),0)</f>
        <v>0</v>
      </c>
      <c r="L81" s="28">
        <f t="shared" si="1"/>
        <v>0</v>
      </c>
      <c r="M81" s="26" t="str">
        <f>IF(D81="","",IF(J81&gt;='13_Setting'!$H$7,"Tercapai",IF(J81&gt;='13_Setting'!$H$6,"On Track","Tertinggal")))</f>
        <v/>
      </c>
      <c r="N81" s="24"/>
    </row>
    <row r="82" spans="1:14">
      <c r="A82" s="24"/>
      <c r="B82" s="24"/>
      <c r="C82" s="25"/>
      <c r="D82" s="24"/>
      <c r="E82" s="26" t="str">
        <f>IFERROR(VLOOKUP(D82,'04_Master Karyawan'!$A$5:$F$50,2,FALSE),"")</f>
        <v/>
      </c>
      <c r="F82" s="24"/>
      <c r="G82" s="26" t="str">
        <f>IFERROR(VLOOKUP(F82,'05_Master KPI'!$B$5:$G$100,2,FALSE)&amp;" ("&amp;VLOOKUP(F82,'05_Master KPI'!$B$5:$G$100,3,FALSE)&amp;")","")</f>
        <v/>
      </c>
      <c r="H82" s="26">
        <f>IFERROR(IF(B82&lt;&gt;'06_Target KPI'!$B$3,0,IF(VLOOKUP(F82,'05_Master KPI'!$B$5:$G$100,6,FALSE)="Kumulatif",INDEX('06_Target KPI'!$E$5:$P$100,MATCH(F82,'06_Target KPI'!$B$5:$B$100,0),MATCH(A82,'06_Target KPI'!$E$4:$P$4,0))*DAY(C82)/DAY(EOMONTH(C82,0)),INDEX('06_Target KPI'!$E$5:$P$100,MATCH(F82,'06_Target KPI'!$B$5:$B$100,0),MATCH(A82,'06_Target KPI'!$E$4:$P$4,0)))),0)</f>
        <v>0</v>
      </c>
      <c r="I82" s="24"/>
      <c r="J82" s="27">
        <f>IFERROR(MIN(IF(VLOOKUP(F82,'05_Master KPI'!$B$5:$G$100,5,FALSE)="Lower",H82/I82,I82/H82),1),0)</f>
        <v>0</v>
      </c>
      <c r="K82" s="26">
        <f>IFERROR(VLOOKUP(F82,'05_Master KPI'!$B$5:$G$100,4,FALSE),0)</f>
        <v>0</v>
      </c>
      <c r="L82" s="28">
        <f t="shared" si="1"/>
        <v>0</v>
      </c>
      <c r="M82" s="26" t="str">
        <f>IF(D82="","",IF(J82&gt;='13_Setting'!$H$7,"Tercapai",IF(J82&gt;='13_Setting'!$H$6,"On Track","Tertinggal")))</f>
        <v/>
      </c>
      <c r="N82" s="24"/>
    </row>
    <row r="83" spans="1:14">
      <c r="A83" s="24"/>
      <c r="B83" s="24"/>
      <c r="C83" s="25"/>
      <c r="D83" s="24"/>
      <c r="E83" s="26" t="str">
        <f>IFERROR(VLOOKUP(D83,'04_Master Karyawan'!$A$5:$F$50,2,FALSE),"")</f>
        <v/>
      </c>
      <c r="F83" s="24"/>
      <c r="G83" s="26" t="str">
        <f>IFERROR(VLOOKUP(F83,'05_Master KPI'!$B$5:$G$100,2,FALSE)&amp;" ("&amp;VLOOKUP(F83,'05_Master KPI'!$B$5:$G$100,3,FALSE)&amp;")","")</f>
        <v/>
      </c>
      <c r="H83" s="26">
        <f>IFERROR(IF(B83&lt;&gt;'06_Target KPI'!$B$3,0,IF(VLOOKUP(F83,'05_Master KPI'!$B$5:$G$100,6,FALSE)="Kumulatif",INDEX('06_Target KPI'!$E$5:$P$100,MATCH(F83,'06_Target KPI'!$B$5:$B$100,0),MATCH(A83,'06_Target KPI'!$E$4:$P$4,0))*DAY(C83)/DAY(EOMONTH(C83,0)),INDEX('06_Target KPI'!$E$5:$P$100,MATCH(F83,'06_Target KPI'!$B$5:$B$100,0),MATCH(A83,'06_Target KPI'!$E$4:$P$4,0)))),0)</f>
        <v>0</v>
      </c>
      <c r="I83" s="24"/>
      <c r="J83" s="27">
        <f>IFERROR(MIN(IF(VLOOKUP(F83,'05_Master KPI'!$B$5:$G$100,5,FALSE)="Lower",H83/I83,I83/H83),1),0)</f>
        <v>0</v>
      </c>
      <c r="K83" s="26">
        <f>IFERROR(VLOOKUP(F83,'05_Master KPI'!$B$5:$G$100,4,FALSE),0)</f>
        <v>0</v>
      </c>
      <c r="L83" s="28">
        <f t="shared" si="1"/>
        <v>0</v>
      </c>
      <c r="M83" s="26" t="str">
        <f>IF(D83="","",IF(J83&gt;='13_Setting'!$H$7,"Tercapai",IF(J83&gt;='13_Setting'!$H$6,"On Track","Tertinggal")))</f>
        <v/>
      </c>
      <c r="N83" s="24"/>
    </row>
    <row r="84" spans="1:14">
      <c r="A84" s="24"/>
      <c r="B84" s="24"/>
      <c r="C84" s="25"/>
      <c r="D84" s="24"/>
      <c r="E84" s="26" t="str">
        <f>IFERROR(VLOOKUP(D84,'04_Master Karyawan'!$A$5:$F$50,2,FALSE),"")</f>
        <v/>
      </c>
      <c r="F84" s="24"/>
      <c r="G84" s="26" t="str">
        <f>IFERROR(VLOOKUP(F84,'05_Master KPI'!$B$5:$G$100,2,FALSE)&amp;" ("&amp;VLOOKUP(F84,'05_Master KPI'!$B$5:$G$100,3,FALSE)&amp;")","")</f>
        <v/>
      </c>
      <c r="H84" s="26">
        <f>IFERROR(IF(B84&lt;&gt;'06_Target KPI'!$B$3,0,IF(VLOOKUP(F84,'05_Master KPI'!$B$5:$G$100,6,FALSE)="Kumulatif",INDEX('06_Target KPI'!$E$5:$P$100,MATCH(F84,'06_Target KPI'!$B$5:$B$100,0),MATCH(A84,'06_Target KPI'!$E$4:$P$4,0))*DAY(C84)/DAY(EOMONTH(C84,0)),INDEX('06_Target KPI'!$E$5:$P$100,MATCH(F84,'06_Target KPI'!$B$5:$B$100,0),MATCH(A84,'06_Target KPI'!$E$4:$P$4,0)))),0)</f>
        <v>0</v>
      </c>
      <c r="I84" s="24"/>
      <c r="J84" s="27">
        <f>IFERROR(MIN(IF(VLOOKUP(F84,'05_Master KPI'!$B$5:$G$100,5,FALSE)="Lower",H84/I84,I84/H84),1),0)</f>
        <v>0</v>
      </c>
      <c r="K84" s="26">
        <f>IFERROR(VLOOKUP(F84,'05_Master KPI'!$B$5:$G$100,4,FALSE),0)</f>
        <v>0</v>
      </c>
      <c r="L84" s="28">
        <f t="shared" si="1"/>
        <v>0</v>
      </c>
      <c r="M84" s="26" t="str">
        <f>IF(D84="","",IF(J84&gt;='13_Setting'!$H$7,"Tercapai",IF(J84&gt;='13_Setting'!$H$6,"On Track","Tertinggal")))</f>
        <v/>
      </c>
      <c r="N84" s="24"/>
    </row>
    <row r="85" spans="1:14">
      <c r="A85" s="24"/>
      <c r="B85" s="24"/>
      <c r="C85" s="25"/>
      <c r="D85" s="24"/>
      <c r="E85" s="26" t="str">
        <f>IFERROR(VLOOKUP(D85,'04_Master Karyawan'!$A$5:$F$50,2,FALSE),"")</f>
        <v/>
      </c>
      <c r="F85" s="24"/>
      <c r="G85" s="26" t="str">
        <f>IFERROR(VLOOKUP(F85,'05_Master KPI'!$B$5:$G$100,2,FALSE)&amp;" ("&amp;VLOOKUP(F85,'05_Master KPI'!$B$5:$G$100,3,FALSE)&amp;")","")</f>
        <v/>
      </c>
      <c r="H85" s="26">
        <f>IFERROR(IF(B85&lt;&gt;'06_Target KPI'!$B$3,0,IF(VLOOKUP(F85,'05_Master KPI'!$B$5:$G$100,6,FALSE)="Kumulatif",INDEX('06_Target KPI'!$E$5:$P$100,MATCH(F85,'06_Target KPI'!$B$5:$B$100,0),MATCH(A85,'06_Target KPI'!$E$4:$P$4,0))*DAY(C85)/DAY(EOMONTH(C85,0)),INDEX('06_Target KPI'!$E$5:$P$100,MATCH(F85,'06_Target KPI'!$B$5:$B$100,0),MATCH(A85,'06_Target KPI'!$E$4:$P$4,0)))),0)</f>
        <v>0</v>
      </c>
      <c r="I85" s="24"/>
      <c r="J85" s="27">
        <f>IFERROR(MIN(IF(VLOOKUP(F85,'05_Master KPI'!$B$5:$G$100,5,FALSE)="Lower",H85/I85,I85/H85),1),0)</f>
        <v>0</v>
      </c>
      <c r="K85" s="26">
        <f>IFERROR(VLOOKUP(F85,'05_Master KPI'!$B$5:$G$100,4,FALSE),0)</f>
        <v>0</v>
      </c>
      <c r="L85" s="28">
        <f t="shared" si="1"/>
        <v>0</v>
      </c>
      <c r="M85" s="26" t="str">
        <f>IF(D85="","",IF(J85&gt;='13_Setting'!$H$7,"Tercapai",IF(J85&gt;='13_Setting'!$H$6,"On Track","Tertinggal")))</f>
        <v/>
      </c>
      <c r="N85" s="24"/>
    </row>
    <row r="86" spans="1:14">
      <c r="A86" s="24"/>
      <c r="B86" s="24"/>
      <c r="C86" s="25"/>
      <c r="D86" s="24"/>
      <c r="E86" s="26" t="str">
        <f>IFERROR(VLOOKUP(D86,'04_Master Karyawan'!$A$5:$F$50,2,FALSE),"")</f>
        <v/>
      </c>
      <c r="F86" s="24"/>
      <c r="G86" s="26" t="str">
        <f>IFERROR(VLOOKUP(F86,'05_Master KPI'!$B$5:$G$100,2,FALSE)&amp;" ("&amp;VLOOKUP(F86,'05_Master KPI'!$B$5:$G$100,3,FALSE)&amp;")","")</f>
        <v/>
      </c>
      <c r="H86" s="26">
        <f>IFERROR(IF(B86&lt;&gt;'06_Target KPI'!$B$3,0,IF(VLOOKUP(F86,'05_Master KPI'!$B$5:$G$100,6,FALSE)="Kumulatif",INDEX('06_Target KPI'!$E$5:$P$100,MATCH(F86,'06_Target KPI'!$B$5:$B$100,0),MATCH(A86,'06_Target KPI'!$E$4:$P$4,0))*DAY(C86)/DAY(EOMONTH(C86,0)),INDEX('06_Target KPI'!$E$5:$P$100,MATCH(F86,'06_Target KPI'!$B$5:$B$100,0),MATCH(A86,'06_Target KPI'!$E$4:$P$4,0)))),0)</f>
        <v>0</v>
      </c>
      <c r="I86" s="24"/>
      <c r="J86" s="27">
        <f>IFERROR(MIN(IF(VLOOKUP(F86,'05_Master KPI'!$B$5:$G$100,5,FALSE)="Lower",H86/I86,I86/H86),1),0)</f>
        <v>0</v>
      </c>
      <c r="K86" s="26">
        <f>IFERROR(VLOOKUP(F86,'05_Master KPI'!$B$5:$G$100,4,FALSE),0)</f>
        <v>0</v>
      </c>
      <c r="L86" s="28">
        <f t="shared" si="1"/>
        <v>0</v>
      </c>
      <c r="M86" s="26" t="str">
        <f>IF(D86="","",IF(J86&gt;='13_Setting'!$H$7,"Tercapai",IF(J86&gt;='13_Setting'!$H$6,"On Track","Tertinggal")))</f>
        <v/>
      </c>
      <c r="N86" s="24"/>
    </row>
    <row r="87" spans="1:14">
      <c r="A87" s="24"/>
      <c r="B87" s="24"/>
      <c r="C87" s="25"/>
      <c r="D87" s="24"/>
      <c r="E87" s="26" t="str">
        <f>IFERROR(VLOOKUP(D87,'04_Master Karyawan'!$A$5:$F$50,2,FALSE),"")</f>
        <v/>
      </c>
      <c r="F87" s="24"/>
      <c r="G87" s="26" t="str">
        <f>IFERROR(VLOOKUP(F87,'05_Master KPI'!$B$5:$G$100,2,FALSE)&amp;" ("&amp;VLOOKUP(F87,'05_Master KPI'!$B$5:$G$100,3,FALSE)&amp;")","")</f>
        <v/>
      </c>
      <c r="H87" s="26">
        <f>IFERROR(IF(B87&lt;&gt;'06_Target KPI'!$B$3,0,IF(VLOOKUP(F87,'05_Master KPI'!$B$5:$G$100,6,FALSE)="Kumulatif",INDEX('06_Target KPI'!$E$5:$P$100,MATCH(F87,'06_Target KPI'!$B$5:$B$100,0),MATCH(A87,'06_Target KPI'!$E$4:$P$4,0))*DAY(C87)/DAY(EOMONTH(C87,0)),INDEX('06_Target KPI'!$E$5:$P$100,MATCH(F87,'06_Target KPI'!$B$5:$B$100,0),MATCH(A87,'06_Target KPI'!$E$4:$P$4,0)))),0)</f>
        <v>0</v>
      </c>
      <c r="I87" s="24"/>
      <c r="J87" s="27">
        <f>IFERROR(MIN(IF(VLOOKUP(F87,'05_Master KPI'!$B$5:$G$100,5,FALSE)="Lower",H87/I87,I87/H87),1),0)</f>
        <v>0</v>
      </c>
      <c r="K87" s="26">
        <f>IFERROR(VLOOKUP(F87,'05_Master KPI'!$B$5:$G$100,4,FALSE),0)</f>
        <v>0</v>
      </c>
      <c r="L87" s="28">
        <f t="shared" si="1"/>
        <v>0</v>
      </c>
      <c r="M87" s="26" t="str">
        <f>IF(D87="","",IF(J87&gt;='13_Setting'!$H$7,"Tercapai",IF(J87&gt;='13_Setting'!$H$6,"On Track","Tertinggal")))</f>
        <v/>
      </c>
      <c r="N87" s="24"/>
    </row>
    <row r="88" spans="1:14">
      <c r="A88" s="24"/>
      <c r="B88" s="24"/>
      <c r="C88" s="25"/>
      <c r="D88" s="24"/>
      <c r="E88" s="26" t="str">
        <f>IFERROR(VLOOKUP(D88,'04_Master Karyawan'!$A$5:$F$50,2,FALSE),"")</f>
        <v/>
      </c>
      <c r="F88" s="24"/>
      <c r="G88" s="26" t="str">
        <f>IFERROR(VLOOKUP(F88,'05_Master KPI'!$B$5:$G$100,2,FALSE)&amp;" ("&amp;VLOOKUP(F88,'05_Master KPI'!$B$5:$G$100,3,FALSE)&amp;")","")</f>
        <v/>
      </c>
      <c r="H88" s="26">
        <f>IFERROR(IF(B88&lt;&gt;'06_Target KPI'!$B$3,0,IF(VLOOKUP(F88,'05_Master KPI'!$B$5:$G$100,6,FALSE)="Kumulatif",INDEX('06_Target KPI'!$E$5:$P$100,MATCH(F88,'06_Target KPI'!$B$5:$B$100,0),MATCH(A88,'06_Target KPI'!$E$4:$P$4,0))*DAY(C88)/DAY(EOMONTH(C88,0)),INDEX('06_Target KPI'!$E$5:$P$100,MATCH(F88,'06_Target KPI'!$B$5:$B$100,0),MATCH(A88,'06_Target KPI'!$E$4:$P$4,0)))),0)</f>
        <v>0</v>
      </c>
      <c r="I88" s="24"/>
      <c r="J88" s="27">
        <f>IFERROR(MIN(IF(VLOOKUP(F88,'05_Master KPI'!$B$5:$G$100,5,FALSE)="Lower",H88/I88,I88/H88),1),0)</f>
        <v>0</v>
      </c>
      <c r="K88" s="26">
        <f>IFERROR(VLOOKUP(F88,'05_Master KPI'!$B$5:$G$100,4,FALSE),0)</f>
        <v>0</v>
      </c>
      <c r="L88" s="28">
        <f t="shared" si="1"/>
        <v>0</v>
      </c>
      <c r="M88" s="26" t="str">
        <f>IF(D88="","",IF(J88&gt;='13_Setting'!$H$7,"Tercapai",IF(J88&gt;='13_Setting'!$H$6,"On Track","Tertinggal")))</f>
        <v/>
      </c>
      <c r="N88" s="24"/>
    </row>
    <row r="89" spans="1:14">
      <c r="A89" s="24"/>
      <c r="B89" s="24"/>
      <c r="C89" s="25"/>
      <c r="D89" s="24"/>
      <c r="E89" s="26" t="str">
        <f>IFERROR(VLOOKUP(D89,'04_Master Karyawan'!$A$5:$F$50,2,FALSE),"")</f>
        <v/>
      </c>
      <c r="F89" s="24"/>
      <c r="G89" s="26" t="str">
        <f>IFERROR(VLOOKUP(F89,'05_Master KPI'!$B$5:$G$100,2,FALSE)&amp;" ("&amp;VLOOKUP(F89,'05_Master KPI'!$B$5:$G$100,3,FALSE)&amp;")","")</f>
        <v/>
      </c>
      <c r="H89" s="26">
        <f>IFERROR(IF(B89&lt;&gt;'06_Target KPI'!$B$3,0,IF(VLOOKUP(F89,'05_Master KPI'!$B$5:$G$100,6,FALSE)="Kumulatif",INDEX('06_Target KPI'!$E$5:$P$100,MATCH(F89,'06_Target KPI'!$B$5:$B$100,0),MATCH(A89,'06_Target KPI'!$E$4:$P$4,0))*DAY(C89)/DAY(EOMONTH(C89,0)),INDEX('06_Target KPI'!$E$5:$P$100,MATCH(F89,'06_Target KPI'!$B$5:$B$100,0),MATCH(A89,'06_Target KPI'!$E$4:$P$4,0)))),0)</f>
        <v>0</v>
      </c>
      <c r="I89" s="24"/>
      <c r="J89" s="27">
        <f>IFERROR(MIN(IF(VLOOKUP(F89,'05_Master KPI'!$B$5:$G$100,5,FALSE)="Lower",H89/I89,I89/H89),1),0)</f>
        <v>0</v>
      </c>
      <c r="K89" s="26">
        <f>IFERROR(VLOOKUP(F89,'05_Master KPI'!$B$5:$G$100,4,FALSE),0)</f>
        <v>0</v>
      </c>
      <c r="L89" s="28">
        <f t="shared" si="1"/>
        <v>0</v>
      </c>
      <c r="M89" s="26" t="str">
        <f>IF(D89="","",IF(J89&gt;='13_Setting'!$H$7,"Tercapai",IF(J89&gt;='13_Setting'!$H$6,"On Track","Tertinggal")))</f>
        <v/>
      </c>
      <c r="N89" s="24"/>
    </row>
    <row r="90" spans="1:14">
      <c r="A90" s="24"/>
      <c r="B90" s="24"/>
      <c r="C90" s="25"/>
      <c r="D90" s="24"/>
      <c r="E90" s="26" t="str">
        <f>IFERROR(VLOOKUP(D90,'04_Master Karyawan'!$A$5:$F$50,2,FALSE),"")</f>
        <v/>
      </c>
      <c r="F90" s="24"/>
      <c r="G90" s="26" t="str">
        <f>IFERROR(VLOOKUP(F90,'05_Master KPI'!$B$5:$G$100,2,FALSE)&amp;" ("&amp;VLOOKUP(F90,'05_Master KPI'!$B$5:$G$100,3,FALSE)&amp;")","")</f>
        <v/>
      </c>
      <c r="H90" s="26">
        <f>IFERROR(IF(B90&lt;&gt;'06_Target KPI'!$B$3,0,IF(VLOOKUP(F90,'05_Master KPI'!$B$5:$G$100,6,FALSE)="Kumulatif",INDEX('06_Target KPI'!$E$5:$P$100,MATCH(F90,'06_Target KPI'!$B$5:$B$100,0),MATCH(A90,'06_Target KPI'!$E$4:$P$4,0))*DAY(C90)/DAY(EOMONTH(C90,0)),INDEX('06_Target KPI'!$E$5:$P$100,MATCH(F90,'06_Target KPI'!$B$5:$B$100,0),MATCH(A90,'06_Target KPI'!$E$4:$P$4,0)))),0)</f>
        <v>0</v>
      </c>
      <c r="I90" s="24"/>
      <c r="J90" s="27">
        <f>IFERROR(MIN(IF(VLOOKUP(F90,'05_Master KPI'!$B$5:$G$100,5,FALSE)="Lower",H90/I90,I90/H90),1),0)</f>
        <v>0</v>
      </c>
      <c r="K90" s="26">
        <f>IFERROR(VLOOKUP(F90,'05_Master KPI'!$B$5:$G$100,4,FALSE),0)</f>
        <v>0</v>
      </c>
      <c r="L90" s="28">
        <f t="shared" si="1"/>
        <v>0</v>
      </c>
      <c r="M90" s="26" t="str">
        <f>IF(D90="","",IF(J90&gt;='13_Setting'!$H$7,"Tercapai",IF(J90&gt;='13_Setting'!$H$6,"On Track","Tertinggal")))</f>
        <v/>
      </c>
      <c r="N90" s="24"/>
    </row>
    <row r="91" spans="1:14">
      <c r="A91" s="24"/>
      <c r="B91" s="24"/>
      <c r="C91" s="25"/>
      <c r="D91" s="24"/>
      <c r="E91" s="26" t="str">
        <f>IFERROR(VLOOKUP(D91,'04_Master Karyawan'!$A$5:$F$50,2,FALSE),"")</f>
        <v/>
      </c>
      <c r="F91" s="24"/>
      <c r="G91" s="26" t="str">
        <f>IFERROR(VLOOKUP(F91,'05_Master KPI'!$B$5:$G$100,2,FALSE)&amp;" ("&amp;VLOOKUP(F91,'05_Master KPI'!$B$5:$G$100,3,FALSE)&amp;")","")</f>
        <v/>
      </c>
      <c r="H91" s="26">
        <f>IFERROR(IF(B91&lt;&gt;'06_Target KPI'!$B$3,0,IF(VLOOKUP(F91,'05_Master KPI'!$B$5:$G$100,6,FALSE)="Kumulatif",INDEX('06_Target KPI'!$E$5:$P$100,MATCH(F91,'06_Target KPI'!$B$5:$B$100,0),MATCH(A91,'06_Target KPI'!$E$4:$P$4,0))*DAY(C91)/DAY(EOMONTH(C91,0)),INDEX('06_Target KPI'!$E$5:$P$100,MATCH(F91,'06_Target KPI'!$B$5:$B$100,0),MATCH(A91,'06_Target KPI'!$E$4:$P$4,0)))),0)</f>
        <v>0</v>
      </c>
      <c r="I91" s="24"/>
      <c r="J91" s="27">
        <f>IFERROR(MIN(IF(VLOOKUP(F91,'05_Master KPI'!$B$5:$G$100,5,FALSE)="Lower",H91/I91,I91/H91),1),0)</f>
        <v>0</v>
      </c>
      <c r="K91" s="26">
        <f>IFERROR(VLOOKUP(F91,'05_Master KPI'!$B$5:$G$100,4,FALSE),0)</f>
        <v>0</v>
      </c>
      <c r="L91" s="28">
        <f t="shared" si="1"/>
        <v>0</v>
      </c>
      <c r="M91" s="26" t="str">
        <f>IF(D91="","",IF(J91&gt;='13_Setting'!$H$7,"Tercapai",IF(J91&gt;='13_Setting'!$H$6,"On Track","Tertinggal")))</f>
        <v/>
      </c>
      <c r="N91" s="24"/>
    </row>
    <row r="92" spans="1:14">
      <c r="A92" s="24"/>
      <c r="B92" s="24"/>
      <c r="C92" s="25"/>
      <c r="D92" s="24"/>
      <c r="E92" s="26" t="str">
        <f>IFERROR(VLOOKUP(D92,'04_Master Karyawan'!$A$5:$F$50,2,FALSE),"")</f>
        <v/>
      </c>
      <c r="F92" s="24"/>
      <c r="G92" s="26" t="str">
        <f>IFERROR(VLOOKUP(F92,'05_Master KPI'!$B$5:$G$100,2,FALSE)&amp;" ("&amp;VLOOKUP(F92,'05_Master KPI'!$B$5:$G$100,3,FALSE)&amp;")","")</f>
        <v/>
      </c>
      <c r="H92" s="26">
        <f>IFERROR(IF(B92&lt;&gt;'06_Target KPI'!$B$3,0,IF(VLOOKUP(F92,'05_Master KPI'!$B$5:$G$100,6,FALSE)="Kumulatif",INDEX('06_Target KPI'!$E$5:$P$100,MATCH(F92,'06_Target KPI'!$B$5:$B$100,0),MATCH(A92,'06_Target KPI'!$E$4:$P$4,0))*DAY(C92)/DAY(EOMONTH(C92,0)),INDEX('06_Target KPI'!$E$5:$P$100,MATCH(F92,'06_Target KPI'!$B$5:$B$100,0),MATCH(A92,'06_Target KPI'!$E$4:$P$4,0)))),0)</f>
        <v>0</v>
      </c>
      <c r="I92" s="24"/>
      <c r="J92" s="27">
        <f>IFERROR(MIN(IF(VLOOKUP(F92,'05_Master KPI'!$B$5:$G$100,5,FALSE)="Lower",H92/I92,I92/H92),1),0)</f>
        <v>0</v>
      </c>
      <c r="K92" s="26">
        <f>IFERROR(VLOOKUP(F92,'05_Master KPI'!$B$5:$G$100,4,FALSE),0)</f>
        <v>0</v>
      </c>
      <c r="L92" s="28">
        <f t="shared" si="1"/>
        <v>0</v>
      </c>
      <c r="M92" s="26" t="str">
        <f>IF(D92="","",IF(J92&gt;='13_Setting'!$H$7,"Tercapai",IF(J92&gt;='13_Setting'!$H$6,"On Track","Tertinggal")))</f>
        <v/>
      </c>
      <c r="N92" s="24"/>
    </row>
    <row r="93" spans="1:14">
      <c r="A93" s="24"/>
      <c r="B93" s="24"/>
      <c r="C93" s="25"/>
      <c r="D93" s="24"/>
      <c r="E93" s="26" t="str">
        <f>IFERROR(VLOOKUP(D93,'04_Master Karyawan'!$A$5:$F$50,2,FALSE),"")</f>
        <v/>
      </c>
      <c r="F93" s="24"/>
      <c r="G93" s="26" t="str">
        <f>IFERROR(VLOOKUP(F93,'05_Master KPI'!$B$5:$G$100,2,FALSE)&amp;" ("&amp;VLOOKUP(F93,'05_Master KPI'!$B$5:$G$100,3,FALSE)&amp;")","")</f>
        <v/>
      </c>
      <c r="H93" s="26">
        <f>IFERROR(IF(B93&lt;&gt;'06_Target KPI'!$B$3,0,IF(VLOOKUP(F93,'05_Master KPI'!$B$5:$G$100,6,FALSE)="Kumulatif",INDEX('06_Target KPI'!$E$5:$P$100,MATCH(F93,'06_Target KPI'!$B$5:$B$100,0),MATCH(A93,'06_Target KPI'!$E$4:$P$4,0))*DAY(C93)/DAY(EOMONTH(C93,0)),INDEX('06_Target KPI'!$E$5:$P$100,MATCH(F93,'06_Target KPI'!$B$5:$B$100,0),MATCH(A93,'06_Target KPI'!$E$4:$P$4,0)))),0)</f>
        <v>0</v>
      </c>
      <c r="I93" s="24"/>
      <c r="J93" s="27">
        <f>IFERROR(MIN(IF(VLOOKUP(F93,'05_Master KPI'!$B$5:$G$100,5,FALSE)="Lower",H93/I93,I93/H93),1),0)</f>
        <v>0</v>
      </c>
      <c r="K93" s="26">
        <f>IFERROR(VLOOKUP(F93,'05_Master KPI'!$B$5:$G$100,4,FALSE),0)</f>
        <v>0</v>
      </c>
      <c r="L93" s="28">
        <f t="shared" si="1"/>
        <v>0</v>
      </c>
      <c r="M93" s="26" t="str">
        <f>IF(D93="","",IF(J93&gt;='13_Setting'!$H$7,"Tercapai",IF(J93&gt;='13_Setting'!$H$6,"On Track","Tertinggal")))</f>
        <v/>
      </c>
      <c r="N93" s="24"/>
    </row>
    <row r="94" spans="1:14">
      <c r="A94" s="24"/>
      <c r="B94" s="24"/>
      <c r="C94" s="25"/>
      <c r="D94" s="24"/>
      <c r="E94" s="26" t="str">
        <f>IFERROR(VLOOKUP(D94,'04_Master Karyawan'!$A$5:$F$50,2,FALSE),"")</f>
        <v/>
      </c>
      <c r="F94" s="24"/>
      <c r="G94" s="26" t="str">
        <f>IFERROR(VLOOKUP(F94,'05_Master KPI'!$B$5:$G$100,2,FALSE)&amp;" ("&amp;VLOOKUP(F94,'05_Master KPI'!$B$5:$G$100,3,FALSE)&amp;")","")</f>
        <v/>
      </c>
      <c r="H94" s="26">
        <f>IFERROR(IF(B94&lt;&gt;'06_Target KPI'!$B$3,0,IF(VLOOKUP(F94,'05_Master KPI'!$B$5:$G$100,6,FALSE)="Kumulatif",INDEX('06_Target KPI'!$E$5:$P$100,MATCH(F94,'06_Target KPI'!$B$5:$B$100,0),MATCH(A94,'06_Target KPI'!$E$4:$P$4,0))*DAY(C94)/DAY(EOMONTH(C94,0)),INDEX('06_Target KPI'!$E$5:$P$100,MATCH(F94,'06_Target KPI'!$B$5:$B$100,0),MATCH(A94,'06_Target KPI'!$E$4:$P$4,0)))),0)</f>
        <v>0</v>
      </c>
      <c r="I94" s="24"/>
      <c r="J94" s="27">
        <f>IFERROR(MIN(IF(VLOOKUP(F94,'05_Master KPI'!$B$5:$G$100,5,FALSE)="Lower",H94/I94,I94/H94),1),0)</f>
        <v>0</v>
      </c>
      <c r="K94" s="26">
        <f>IFERROR(VLOOKUP(F94,'05_Master KPI'!$B$5:$G$100,4,FALSE),0)</f>
        <v>0</v>
      </c>
      <c r="L94" s="28">
        <f t="shared" si="1"/>
        <v>0</v>
      </c>
      <c r="M94" s="26" t="str">
        <f>IF(D94="","",IF(J94&gt;='13_Setting'!$H$7,"Tercapai",IF(J94&gt;='13_Setting'!$H$6,"On Track","Tertinggal")))</f>
        <v/>
      </c>
      <c r="N94" s="24"/>
    </row>
    <row r="95" spans="1:14">
      <c r="A95" s="24"/>
      <c r="B95" s="24"/>
      <c r="C95" s="25"/>
      <c r="D95" s="24"/>
      <c r="E95" s="26" t="str">
        <f>IFERROR(VLOOKUP(D95,'04_Master Karyawan'!$A$5:$F$50,2,FALSE),"")</f>
        <v/>
      </c>
      <c r="F95" s="24"/>
      <c r="G95" s="26" t="str">
        <f>IFERROR(VLOOKUP(F95,'05_Master KPI'!$B$5:$G$100,2,FALSE)&amp;" ("&amp;VLOOKUP(F95,'05_Master KPI'!$B$5:$G$100,3,FALSE)&amp;")","")</f>
        <v/>
      </c>
      <c r="H95" s="26">
        <f>IFERROR(IF(B95&lt;&gt;'06_Target KPI'!$B$3,0,IF(VLOOKUP(F95,'05_Master KPI'!$B$5:$G$100,6,FALSE)="Kumulatif",INDEX('06_Target KPI'!$E$5:$P$100,MATCH(F95,'06_Target KPI'!$B$5:$B$100,0),MATCH(A95,'06_Target KPI'!$E$4:$P$4,0))*DAY(C95)/DAY(EOMONTH(C95,0)),INDEX('06_Target KPI'!$E$5:$P$100,MATCH(F95,'06_Target KPI'!$B$5:$B$100,0),MATCH(A95,'06_Target KPI'!$E$4:$P$4,0)))),0)</f>
        <v>0</v>
      </c>
      <c r="I95" s="24"/>
      <c r="J95" s="27">
        <f>IFERROR(MIN(IF(VLOOKUP(F95,'05_Master KPI'!$B$5:$G$100,5,FALSE)="Lower",H95/I95,I95/H95),1),0)</f>
        <v>0</v>
      </c>
      <c r="K95" s="26">
        <f>IFERROR(VLOOKUP(F95,'05_Master KPI'!$B$5:$G$100,4,FALSE),0)</f>
        <v>0</v>
      </c>
      <c r="L95" s="28">
        <f t="shared" si="1"/>
        <v>0</v>
      </c>
      <c r="M95" s="26" t="str">
        <f>IF(D95="","",IF(J95&gt;='13_Setting'!$H$7,"Tercapai",IF(J95&gt;='13_Setting'!$H$6,"On Track","Tertinggal")))</f>
        <v/>
      </c>
      <c r="N95" s="24"/>
    </row>
    <row r="96" spans="1:14">
      <c r="A96" s="24"/>
      <c r="B96" s="24"/>
      <c r="C96" s="25"/>
      <c r="D96" s="24"/>
      <c r="E96" s="26" t="str">
        <f>IFERROR(VLOOKUP(D96,'04_Master Karyawan'!$A$5:$F$50,2,FALSE),"")</f>
        <v/>
      </c>
      <c r="F96" s="24"/>
      <c r="G96" s="26" t="str">
        <f>IFERROR(VLOOKUP(F96,'05_Master KPI'!$B$5:$G$100,2,FALSE)&amp;" ("&amp;VLOOKUP(F96,'05_Master KPI'!$B$5:$G$100,3,FALSE)&amp;")","")</f>
        <v/>
      </c>
      <c r="H96" s="26">
        <f>IFERROR(IF(B96&lt;&gt;'06_Target KPI'!$B$3,0,IF(VLOOKUP(F96,'05_Master KPI'!$B$5:$G$100,6,FALSE)="Kumulatif",INDEX('06_Target KPI'!$E$5:$P$100,MATCH(F96,'06_Target KPI'!$B$5:$B$100,0),MATCH(A96,'06_Target KPI'!$E$4:$P$4,0))*DAY(C96)/DAY(EOMONTH(C96,0)),INDEX('06_Target KPI'!$E$5:$P$100,MATCH(F96,'06_Target KPI'!$B$5:$B$100,0),MATCH(A96,'06_Target KPI'!$E$4:$P$4,0)))),0)</f>
        <v>0</v>
      </c>
      <c r="I96" s="24"/>
      <c r="J96" s="27">
        <f>IFERROR(MIN(IF(VLOOKUP(F96,'05_Master KPI'!$B$5:$G$100,5,FALSE)="Lower",H96/I96,I96/H96),1),0)</f>
        <v>0</v>
      </c>
      <c r="K96" s="26">
        <f>IFERROR(VLOOKUP(F96,'05_Master KPI'!$B$5:$G$100,4,FALSE),0)</f>
        <v>0</v>
      </c>
      <c r="L96" s="28">
        <f t="shared" si="1"/>
        <v>0</v>
      </c>
      <c r="M96" s="26" t="str">
        <f>IF(D96="","",IF(J96&gt;='13_Setting'!$H$7,"Tercapai",IF(J96&gt;='13_Setting'!$H$6,"On Track","Tertinggal")))</f>
        <v/>
      </c>
      <c r="N96" s="24"/>
    </row>
    <row r="97" spans="1:14">
      <c r="A97" s="24"/>
      <c r="B97" s="24"/>
      <c r="C97" s="25"/>
      <c r="D97" s="24"/>
      <c r="E97" s="26" t="str">
        <f>IFERROR(VLOOKUP(D97,'04_Master Karyawan'!$A$5:$F$50,2,FALSE),"")</f>
        <v/>
      </c>
      <c r="F97" s="24"/>
      <c r="G97" s="26" t="str">
        <f>IFERROR(VLOOKUP(F97,'05_Master KPI'!$B$5:$G$100,2,FALSE)&amp;" ("&amp;VLOOKUP(F97,'05_Master KPI'!$B$5:$G$100,3,FALSE)&amp;")","")</f>
        <v/>
      </c>
      <c r="H97" s="26">
        <f>IFERROR(IF(B97&lt;&gt;'06_Target KPI'!$B$3,0,IF(VLOOKUP(F97,'05_Master KPI'!$B$5:$G$100,6,FALSE)="Kumulatif",INDEX('06_Target KPI'!$E$5:$P$100,MATCH(F97,'06_Target KPI'!$B$5:$B$100,0),MATCH(A97,'06_Target KPI'!$E$4:$P$4,0))*DAY(C97)/DAY(EOMONTH(C97,0)),INDEX('06_Target KPI'!$E$5:$P$100,MATCH(F97,'06_Target KPI'!$B$5:$B$100,0),MATCH(A97,'06_Target KPI'!$E$4:$P$4,0)))),0)</f>
        <v>0</v>
      </c>
      <c r="I97" s="24"/>
      <c r="J97" s="27">
        <f>IFERROR(MIN(IF(VLOOKUP(F97,'05_Master KPI'!$B$5:$G$100,5,FALSE)="Lower",H97/I97,I97/H97),1),0)</f>
        <v>0</v>
      </c>
      <c r="K97" s="26">
        <f>IFERROR(VLOOKUP(F97,'05_Master KPI'!$B$5:$G$100,4,FALSE),0)</f>
        <v>0</v>
      </c>
      <c r="L97" s="28">
        <f t="shared" si="1"/>
        <v>0</v>
      </c>
      <c r="M97" s="26" t="str">
        <f>IF(D97="","",IF(J97&gt;='13_Setting'!$H$7,"Tercapai",IF(J97&gt;='13_Setting'!$H$6,"On Track","Tertinggal")))</f>
        <v/>
      </c>
      <c r="N97" s="24"/>
    </row>
    <row r="98" spans="1:14">
      <c r="A98" s="24"/>
      <c r="B98" s="24"/>
      <c r="C98" s="25"/>
      <c r="D98" s="24"/>
      <c r="E98" s="26" t="str">
        <f>IFERROR(VLOOKUP(D98,'04_Master Karyawan'!$A$5:$F$50,2,FALSE),"")</f>
        <v/>
      </c>
      <c r="F98" s="24"/>
      <c r="G98" s="26" t="str">
        <f>IFERROR(VLOOKUP(F98,'05_Master KPI'!$B$5:$G$100,2,FALSE)&amp;" ("&amp;VLOOKUP(F98,'05_Master KPI'!$B$5:$G$100,3,FALSE)&amp;")","")</f>
        <v/>
      </c>
      <c r="H98" s="26">
        <f>IFERROR(IF(B98&lt;&gt;'06_Target KPI'!$B$3,0,IF(VLOOKUP(F98,'05_Master KPI'!$B$5:$G$100,6,FALSE)="Kumulatif",INDEX('06_Target KPI'!$E$5:$P$100,MATCH(F98,'06_Target KPI'!$B$5:$B$100,0),MATCH(A98,'06_Target KPI'!$E$4:$P$4,0))*DAY(C98)/DAY(EOMONTH(C98,0)),INDEX('06_Target KPI'!$E$5:$P$100,MATCH(F98,'06_Target KPI'!$B$5:$B$100,0),MATCH(A98,'06_Target KPI'!$E$4:$P$4,0)))),0)</f>
        <v>0</v>
      </c>
      <c r="I98" s="24"/>
      <c r="J98" s="27">
        <f>IFERROR(MIN(IF(VLOOKUP(F98,'05_Master KPI'!$B$5:$G$100,5,FALSE)="Lower",H98/I98,I98/H98),1),0)</f>
        <v>0</v>
      </c>
      <c r="K98" s="26">
        <f>IFERROR(VLOOKUP(F98,'05_Master KPI'!$B$5:$G$100,4,FALSE),0)</f>
        <v>0</v>
      </c>
      <c r="L98" s="28">
        <f t="shared" si="1"/>
        <v>0</v>
      </c>
      <c r="M98" s="26" t="str">
        <f>IF(D98="","",IF(J98&gt;='13_Setting'!$H$7,"Tercapai",IF(J98&gt;='13_Setting'!$H$6,"On Track","Tertinggal")))</f>
        <v/>
      </c>
      <c r="N98" s="24"/>
    </row>
    <row r="99" spans="1:14">
      <c r="A99" s="24"/>
      <c r="B99" s="24"/>
      <c r="C99" s="25"/>
      <c r="D99" s="24"/>
      <c r="E99" s="26" t="str">
        <f>IFERROR(VLOOKUP(D99,'04_Master Karyawan'!$A$5:$F$50,2,FALSE),"")</f>
        <v/>
      </c>
      <c r="F99" s="24"/>
      <c r="G99" s="26" t="str">
        <f>IFERROR(VLOOKUP(F99,'05_Master KPI'!$B$5:$G$100,2,FALSE)&amp;" ("&amp;VLOOKUP(F99,'05_Master KPI'!$B$5:$G$100,3,FALSE)&amp;")","")</f>
        <v/>
      </c>
      <c r="H99" s="26">
        <f>IFERROR(IF(B99&lt;&gt;'06_Target KPI'!$B$3,0,IF(VLOOKUP(F99,'05_Master KPI'!$B$5:$G$100,6,FALSE)="Kumulatif",INDEX('06_Target KPI'!$E$5:$P$100,MATCH(F99,'06_Target KPI'!$B$5:$B$100,0),MATCH(A99,'06_Target KPI'!$E$4:$P$4,0))*DAY(C99)/DAY(EOMONTH(C99,0)),INDEX('06_Target KPI'!$E$5:$P$100,MATCH(F99,'06_Target KPI'!$B$5:$B$100,0),MATCH(A99,'06_Target KPI'!$E$4:$P$4,0)))),0)</f>
        <v>0</v>
      </c>
      <c r="I99" s="24"/>
      <c r="J99" s="27">
        <f>IFERROR(MIN(IF(VLOOKUP(F99,'05_Master KPI'!$B$5:$G$100,5,FALSE)="Lower",H99/I99,I99/H99),1),0)</f>
        <v>0</v>
      </c>
      <c r="K99" s="26">
        <f>IFERROR(VLOOKUP(F99,'05_Master KPI'!$B$5:$G$100,4,FALSE),0)</f>
        <v>0</v>
      </c>
      <c r="L99" s="28">
        <f t="shared" si="1"/>
        <v>0</v>
      </c>
      <c r="M99" s="26" t="str">
        <f>IF(D99="","",IF(J99&gt;='13_Setting'!$H$7,"Tercapai",IF(J99&gt;='13_Setting'!$H$6,"On Track","Tertinggal")))</f>
        <v/>
      </c>
      <c r="N99" s="24"/>
    </row>
    <row r="100" spans="1:14">
      <c r="A100" s="24"/>
      <c r="B100" s="24"/>
      <c r="C100" s="25"/>
      <c r="D100" s="24"/>
      <c r="E100" s="26" t="str">
        <f>IFERROR(VLOOKUP(D100,'04_Master Karyawan'!$A$5:$F$50,2,FALSE),"")</f>
        <v/>
      </c>
      <c r="F100" s="24"/>
      <c r="G100" s="26" t="str">
        <f>IFERROR(VLOOKUP(F100,'05_Master KPI'!$B$5:$G$100,2,FALSE)&amp;" ("&amp;VLOOKUP(F100,'05_Master KPI'!$B$5:$G$100,3,FALSE)&amp;")","")</f>
        <v/>
      </c>
      <c r="H100" s="26">
        <f>IFERROR(IF(B100&lt;&gt;'06_Target KPI'!$B$3,0,IF(VLOOKUP(F100,'05_Master KPI'!$B$5:$G$100,6,FALSE)="Kumulatif",INDEX('06_Target KPI'!$E$5:$P$100,MATCH(F100,'06_Target KPI'!$B$5:$B$100,0),MATCH(A100,'06_Target KPI'!$E$4:$P$4,0))*DAY(C100)/DAY(EOMONTH(C100,0)),INDEX('06_Target KPI'!$E$5:$P$100,MATCH(F100,'06_Target KPI'!$B$5:$B$100,0),MATCH(A100,'06_Target KPI'!$E$4:$P$4,0)))),0)</f>
        <v>0</v>
      </c>
      <c r="I100" s="24"/>
      <c r="J100" s="27">
        <f>IFERROR(MIN(IF(VLOOKUP(F100,'05_Master KPI'!$B$5:$G$100,5,FALSE)="Lower",H100/I100,I100/H100),1),0)</f>
        <v>0</v>
      </c>
      <c r="K100" s="26">
        <f>IFERROR(VLOOKUP(F100,'05_Master KPI'!$B$5:$G$100,4,FALSE),0)</f>
        <v>0</v>
      </c>
      <c r="L100" s="28">
        <f t="shared" si="1"/>
        <v>0</v>
      </c>
      <c r="M100" s="26" t="str">
        <f>IF(D100="","",IF(J100&gt;='13_Setting'!$H$7,"Tercapai",IF(J100&gt;='13_Setting'!$H$6,"On Track","Tertinggal")))</f>
        <v/>
      </c>
      <c r="N100" s="24"/>
    </row>
    <row r="101" spans="1:14">
      <c r="A101" s="24"/>
      <c r="B101" s="24"/>
      <c r="C101" s="25"/>
      <c r="D101" s="24"/>
      <c r="E101" s="26" t="str">
        <f>IFERROR(VLOOKUP(D101,'04_Master Karyawan'!$A$5:$F$50,2,FALSE),"")</f>
        <v/>
      </c>
      <c r="F101" s="24"/>
      <c r="G101" s="26" t="str">
        <f>IFERROR(VLOOKUP(F101,'05_Master KPI'!$B$5:$G$100,2,FALSE)&amp;" ("&amp;VLOOKUP(F101,'05_Master KPI'!$B$5:$G$100,3,FALSE)&amp;")","")</f>
        <v/>
      </c>
      <c r="H101" s="26">
        <f>IFERROR(IF(B101&lt;&gt;'06_Target KPI'!$B$3,0,IF(VLOOKUP(F101,'05_Master KPI'!$B$5:$G$100,6,FALSE)="Kumulatif",INDEX('06_Target KPI'!$E$5:$P$100,MATCH(F101,'06_Target KPI'!$B$5:$B$100,0),MATCH(A101,'06_Target KPI'!$E$4:$P$4,0))*DAY(C101)/DAY(EOMONTH(C101,0)),INDEX('06_Target KPI'!$E$5:$P$100,MATCH(F101,'06_Target KPI'!$B$5:$B$100,0),MATCH(A101,'06_Target KPI'!$E$4:$P$4,0)))),0)</f>
        <v>0</v>
      </c>
      <c r="I101" s="24"/>
      <c r="J101" s="27">
        <f>IFERROR(MIN(IF(VLOOKUP(F101,'05_Master KPI'!$B$5:$G$100,5,FALSE)="Lower",H101/I101,I101/H101),1),0)</f>
        <v>0</v>
      </c>
      <c r="K101" s="26">
        <f>IFERROR(VLOOKUP(F101,'05_Master KPI'!$B$5:$G$100,4,FALSE),0)</f>
        <v>0</v>
      </c>
      <c r="L101" s="28">
        <f t="shared" si="1"/>
        <v>0</v>
      </c>
      <c r="M101" s="26" t="str">
        <f>IF(D101="","",IF(J101&gt;='13_Setting'!$H$7,"Tercapai",IF(J101&gt;='13_Setting'!$H$6,"On Track","Tertinggal")))</f>
        <v/>
      </c>
      <c r="N101" s="24"/>
    </row>
    <row r="102" spans="1:14">
      <c r="A102" s="24"/>
      <c r="B102" s="24"/>
      <c r="C102" s="25"/>
      <c r="D102" s="24"/>
      <c r="E102" s="26" t="str">
        <f>IFERROR(VLOOKUP(D102,'04_Master Karyawan'!$A$5:$F$50,2,FALSE),"")</f>
        <v/>
      </c>
      <c r="F102" s="24"/>
      <c r="G102" s="26" t="str">
        <f>IFERROR(VLOOKUP(F102,'05_Master KPI'!$B$5:$G$100,2,FALSE)&amp;" ("&amp;VLOOKUP(F102,'05_Master KPI'!$B$5:$G$100,3,FALSE)&amp;")","")</f>
        <v/>
      </c>
      <c r="H102" s="26">
        <f>IFERROR(IF(B102&lt;&gt;'06_Target KPI'!$B$3,0,IF(VLOOKUP(F102,'05_Master KPI'!$B$5:$G$100,6,FALSE)="Kumulatif",INDEX('06_Target KPI'!$E$5:$P$100,MATCH(F102,'06_Target KPI'!$B$5:$B$100,0),MATCH(A102,'06_Target KPI'!$E$4:$P$4,0))*DAY(C102)/DAY(EOMONTH(C102,0)),INDEX('06_Target KPI'!$E$5:$P$100,MATCH(F102,'06_Target KPI'!$B$5:$B$100,0),MATCH(A102,'06_Target KPI'!$E$4:$P$4,0)))),0)</f>
        <v>0</v>
      </c>
      <c r="I102" s="24"/>
      <c r="J102" s="27">
        <f>IFERROR(MIN(IF(VLOOKUP(F102,'05_Master KPI'!$B$5:$G$100,5,FALSE)="Lower",H102/I102,I102/H102),1),0)</f>
        <v>0</v>
      </c>
      <c r="K102" s="26">
        <f>IFERROR(VLOOKUP(F102,'05_Master KPI'!$B$5:$G$100,4,FALSE),0)</f>
        <v>0</v>
      </c>
      <c r="L102" s="28">
        <f t="shared" si="1"/>
        <v>0</v>
      </c>
      <c r="M102" s="26" t="str">
        <f>IF(D102="","",IF(J102&gt;='13_Setting'!$H$7,"Tercapai",IF(J102&gt;='13_Setting'!$H$6,"On Track","Tertinggal")))</f>
        <v/>
      </c>
      <c r="N102" s="24"/>
    </row>
    <row r="103" spans="1:14">
      <c r="A103" s="24"/>
      <c r="B103" s="24"/>
      <c r="C103" s="25"/>
      <c r="D103" s="24"/>
      <c r="E103" s="26" t="str">
        <f>IFERROR(VLOOKUP(D103,'04_Master Karyawan'!$A$5:$F$50,2,FALSE),"")</f>
        <v/>
      </c>
      <c r="F103" s="24"/>
      <c r="G103" s="26" t="str">
        <f>IFERROR(VLOOKUP(F103,'05_Master KPI'!$B$5:$G$100,2,FALSE)&amp;" ("&amp;VLOOKUP(F103,'05_Master KPI'!$B$5:$G$100,3,FALSE)&amp;")","")</f>
        <v/>
      </c>
      <c r="H103" s="26">
        <f>IFERROR(IF(B103&lt;&gt;'06_Target KPI'!$B$3,0,IF(VLOOKUP(F103,'05_Master KPI'!$B$5:$G$100,6,FALSE)="Kumulatif",INDEX('06_Target KPI'!$E$5:$P$100,MATCH(F103,'06_Target KPI'!$B$5:$B$100,0),MATCH(A103,'06_Target KPI'!$E$4:$P$4,0))*DAY(C103)/DAY(EOMONTH(C103,0)),INDEX('06_Target KPI'!$E$5:$P$100,MATCH(F103,'06_Target KPI'!$B$5:$B$100,0),MATCH(A103,'06_Target KPI'!$E$4:$P$4,0)))),0)</f>
        <v>0</v>
      </c>
      <c r="I103" s="24"/>
      <c r="J103" s="27">
        <f>IFERROR(MIN(IF(VLOOKUP(F103,'05_Master KPI'!$B$5:$G$100,5,FALSE)="Lower",H103/I103,I103/H103),1),0)</f>
        <v>0</v>
      </c>
      <c r="K103" s="26">
        <f>IFERROR(VLOOKUP(F103,'05_Master KPI'!$B$5:$G$100,4,FALSE),0)</f>
        <v>0</v>
      </c>
      <c r="L103" s="28">
        <f t="shared" si="1"/>
        <v>0</v>
      </c>
      <c r="M103" s="26" t="str">
        <f>IF(D103="","",IF(J103&gt;='13_Setting'!$H$7,"Tercapai",IF(J103&gt;='13_Setting'!$H$6,"On Track","Tertinggal")))</f>
        <v/>
      </c>
      <c r="N103" s="24"/>
    </row>
    <row r="104" spans="1:14">
      <c r="A104" s="24"/>
      <c r="B104" s="24"/>
      <c r="C104" s="25"/>
      <c r="D104" s="24"/>
      <c r="E104" s="26" t="str">
        <f>IFERROR(VLOOKUP(D104,'04_Master Karyawan'!$A$5:$F$50,2,FALSE),"")</f>
        <v/>
      </c>
      <c r="F104" s="24"/>
      <c r="G104" s="26" t="str">
        <f>IFERROR(VLOOKUP(F104,'05_Master KPI'!$B$5:$G$100,2,FALSE)&amp;" ("&amp;VLOOKUP(F104,'05_Master KPI'!$B$5:$G$100,3,FALSE)&amp;")","")</f>
        <v/>
      </c>
      <c r="H104" s="26">
        <f>IFERROR(IF(B104&lt;&gt;'06_Target KPI'!$B$3,0,IF(VLOOKUP(F104,'05_Master KPI'!$B$5:$G$100,6,FALSE)="Kumulatif",INDEX('06_Target KPI'!$E$5:$P$100,MATCH(F104,'06_Target KPI'!$B$5:$B$100,0),MATCH(A104,'06_Target KPI'!$E$4:$P$4,0))*DAY(C104)/DAY(EOMONTH(C104,0)),INDEX('06_Target KPI'!$E$5:$P$100,MATCH(F104,'06_Target KPI'!$B$5:$B$100,0),MATCH(A104,'06_Target KPI'!$E$4:$P$4,0)))),0)</f>
        <v>0</v>
      </c>
      <c r="I104" s="24"/>
      <c r="J104" s="27">
        <f>IFERROR(MIN(IF(VLOOKUP(F104,'05_Master KPI'!$B$5:$G$100,5,FALSE)="Lower",H104/I104,I104/H104),1),0)</f>
        <v>0</v>
      </c>
      <c r="K104" s="26">
        <f>IFERROR(VLOOKUP(F104,'05_Master KPI'!$B$5:$G$100,4,FALSE),0)</f>
        <v>0</v>
      </c>
      <c r="L104" s="28">
        <f t="shared" si="1"/>
        <v>0</v>
      </c>
      <c r="M104" s="26" t="str">
        <f>IF(D104="","",IF(J104&gt;='13_Setting'!$H$7,"Tercapai",IF(J104&gt;='13_Setting'!$H$6,"On Track","Tertinggal")))</f>
        <v/>
      </c>
      <c r="N104" s="24"/>
    </row>
    <row r="105" spans="1:14">
      <c r="A105" s="24"/>
      <c r="B105" s="24"/>
      <c r="C105" s="25"/>
      <c r="D105" s="24"/>
      <c r="E105" s="26" t="str">
        <f>IFERROR(VLOOKUP(D105,'04_Master Karyawan'!$A$5:$F$50,2,FALSE),"")</f>
        <v/>
      </c>
      <c r="F105" s="24"/>
      <c r="G105" s="26" t="str">
        <f>IFERROR(VLOOKUP(F105,'05_Master KPI'!$B$5:$G$100,2,FALSE)&amp;" ("&amp;VLOOKUP(F105,'05_Master KPI'!$B$5:$G$100,3,FALSE)&amp;")","")</f>
        <v/>
      </c>
      <c r="H105" s="26">
        <f>IFERROR(IF(B105&lt;&gt;'06_Target KPI'!$B$3,0,IF(VLOOKUP(F105,'05_Master KPI'!$B$5:$G$100,6,FALSE)="Kumulatif",INDEX('06_Target KPI'!$E$5:$P$100,MATCH(F105,'06_Target KPI'!$B$5:$B$100,0),MATCH(A105,'06_Target KPI'!$E$4:$P$4,0))*DAY(C105)/DAY(EOMONTH(C105,0)),INDEX('06_Target KPI'!$E$5:$P$100,MATCH(F105,'06_Target KPI'!$B$5:$B$100,0),MATCH(A105,'06_Target KPI'!$E$4:$P$4,0)))),0)</f>
        <v>0</v>
      </c>
      <c r="I105" s="24"/>
      <c r="J105" s="27">
        <f>IFERROR(MIN(IF(VLOOKUP(F105,'05_Master KPI'!$B$5:$G$100,5,FALSE)="Lower",H105/I105,I105/H105),1),0)</f>
        <v>0</v>
      </c>
      <c r="K105" s="26">
        <f>IFERROR(VLOOKUP(F105,'05_Master KPI'!$B$5:$G$100,4,FALSE),0)</f>
        <v>0</v>
      </c>
      <c r="L105" s="28">
        <f t="shared" si="1"/>
        <v>0</v>
      </c>
      <c r="M105" s="26" t="str">
        <f>IF(D105="","",IF(J105&gt;='13_Setting'!$H$7,"Tercapai",IF(J105&gt;='13_Setting'!$H$6,"On Track","Tertinggal")))</f>
        <v/>
      </c>
      <c r="N105" s="24"/>
    </row>
    <row r="106" spans="1:14">
      <c r="A106" s="24"/>
      <c r="B106" s="24"/>
      <c r="C106" s="25"/>
      <c r="D106" s="24"/>
      <c r="E106" s="26" t="str">
        <f>IFERROR(VLOOKUP(D106,'04_Master Karyawan'!$A$5:$F$50,2,FALSE),"")</f>
        <v/>
      </c>
      <c r="F106" s="24"/>
      <c r="G106" s="26" t="str">
        <f>IFERROR(VLOOKUP(F106,'05_Master KPI'!$B$5:$G$100,2,FALSE)&amp;" ("&amp;VLOOKUP(F106,'05_Master KPI'!$B$5:$G$100,3,FALSE)&amp;")","")</f>
        <v/>
      </c>
      <c r="H106" s="26">
        <f>IFERROR(IF(B106&lt;&gt;'06_Target KPI'!$B$3,0,IF(VLOOKUP(F106,'05_Master KPI'!$B$5:$G$100,6,FALSE)="Kumulatif",INDEX('06_Target KPI'!$E$5:$P$100,MATCH(F106,'06_Target KPI'!$B$5:$B$100,0),MATCH(A106,'06_Target KPI'!$E$4:$P$4,0))*DAY(C106)/DAY(EOMONTH(C106,0)),INDEX('06_Target KPI'!$E$5:$P$100,MATCH(F106,'06_Target KPI'!$B$5:$B$100,0),MATCH(A106,'06_Target KPI'!$E$4:$P$4,0)))),0)</f>
        <v>0</v>
      </c>
      <c r="I106" s="24"/>
      <c r="J106" s="27">
        <f>IFERROR(MIN(IF(VLOOKUP(F106,'05_Master KPI'!$B$5:$G$100,5,FALSE)="Lower",H106/I106,I106/H106),1),0)</f>
        <v>0</v>
      </c>
      <c r="K106" s="26">
        <f>IFERROR(VLOOKUP(F106,'05_Master KPI'!$B$5:$G$100,4,FALSE),0)</f>
        <v>0</v>
      </c>
      <c r="L106" s="28">
        <f t="shared" si="1"/>
        <v>0</v>
      </c>
      <c r="M106" s="26" t="str">
        <f>IF(D106="","",IF(J106&gt;='13_Setting'!$H$7,"Tercapai",IF(J106&gt;='13_Setting'!$H$6,"On Track","Tertinggal")))</f>
        <v/>
      </c>
      <c r="N106" s="24"/>
    </row>
    <row r="107" spans="1:14">
      <c r="A107" s="24"/>
      <c r="B107" s="24"/>
      <c r="C107" s="25"/>
      <c r="D107" s="24"/>
      <c r="E107" s="26" t="str">
        <f>IFERROR(VLOOKUP(D107,'04_Master Karyawan'!$A$5:$F$50,2,FALSE),"")</f>
        <v/>
      </c>
      <c r="F107" s="24"/>
      <c r="G107" s="26" t="str">
        <f>IFERROR(VLOOKUP(F107,'05_Master KPI'!$B$5:$G$100,2,FALSE)&amp;" ("&amp;VLOOKUP(F107,'05_Master KPI'!$B$5:$G$100,3,FALSE)&amp;")","")</f>
        <v/>
      </c>
      <c r="H107" s="26">
        <f>IFERROR(IF(B107&lt;&gt;'06_Target KPI'!$B$3,0,IF(VLOOKUP(F107,'05_Master KPI'!$B$5:$G$100,6,FALSE)="Kumulatif",INDEX('06_Target KPI'!$E$5:$P$100,MATCH(F107,'06_Target KPI'!$B$5:$B$100,0),MATCH(A107,'06_Target KPI'!$E$4:$P$4,0))*DAY(C107)/DAY(EOMONTH(C107,0)),INDEX('06_Target KPI'!$E$5:$P$100,MATCH(F107,'06_Target KPI'!$B$5:$B$100,0),MATCH(A107,'06_Target KPI'!$E$4:$P$4,0)))),0)</f>
        <v>0</v>
      </c>
      <c r="I107" s="24"/>
      <c r="J107" s="27">
        <f>IFERROR(MIN(IF(VLOOKUP(F107,'05_Master KPI'!$B$5:$G$100,5,FALSE)="Lower",H107/I107,I107/H107),1),0)</f>
        <v>0</v>
      </c>
      <c r="K107" s="26">
        <f>IFERROR(VLOOKUP(F107,'05_Master KPI'!$B$5:$G$100,4,FALSE),0)</f>
        <v>0</v>
      </c>
      <c r="L107" s="28">
        <f t="shared" si="1"/>
        <v>0</v>
      </c>
      <c r="M107" s="26" t="str">
        <f>IF(D107="","",IF(J107&gt;='13_Setting'!$H$7,"Tercapai",IF(J107&gt;='13_Setting'!$H$6,"On Track","Tertinggal")))</f>
        <v/>
      </c>
      <c r="N107" s="24"/>
    </row>
    <row r="108" spans="1:14">
      <c r="A108" s="24"/>
      <c r="B108" s="24"/>
      <c r="C108" s="25"/>
      <c r="D108" s="24"/>
      <c r="E108" s="26" t="str">
        <f>IFERROR(VLOOKUP(D108,'04_Master Karyawan'!$A$5:$F$50,2,FALSE),"")</f>
        <v/>
      </c>
      <c r="F108" s="24"/>
      <c r="G108" s="26" t="str">
        <f>IFERROR(VLOOKUP(F108,'05_Master KPI'!$B$5:$G$100,2,FALSE)&amp;" ("&amp;VLOOKUP(F108,'05_Master KPI'!$B$5:$G$100,3,FALSE)&amp;")","")</f>
        <v/>
      </c>
      <c r="H108" s="26">
        <f>IFERROR(IF(B108&lt;&gt;'06_Target KPI'!$B$3,0,IF(VLOOKUP(F108,'05_Master KPI'!$B$5:$G$100,6,FALSE)="Kumulatif",INDEX('06_Target KPI'!$E$5:$P$100,MATCH(F108,'06_Target KPI'!$B$5:$B$100,0),MATCH(A108,'06_Target KPI'!$E$4:$P$4,0))*DAY(C108)/DAY(EOMONTH(C108,0)),INDEX('06_Target KPI'!$E$5:$P$100,MATCH(F108,'06_Target KPI'!$B$5:$B$100,0),MATCH(A108,'06_Target KPI'!$E$4:$P$4,0)))),0)</f>
        <v>0</v>
      </c>
      <c r="I108" s="24"/>
      <c r="J108" s="27">
        <f>IFERROR(MIN(IF(VLOOKUP(F108,'05_Master KPI'!$B$5:$G$100,5,FALSE)="Lower",H108/I108,I108/H108),1),0)</f>
        <v>0</v>
      </c>
      <c r="K108" s="26">
        <f>IFERROR(VLOOKUP(F108,'05_Master KPI'!$B$5:$G$100,4,FALSE),0)</f>
        <v>0</v>
      </c>
      <c r="L108" s="28">
        <f t="shared" si="1"/>
        <v>0</v>
      </c>
      <c r="M108" s="26" t="str">
        <f>IF(D108="","",IF(J108&gt;='13_Setting'!$H$7,"Tercapai",IF(J108&gt;='13_Setting'!$H$6,"On Track","Tertinggal")))</f>
        <v/>
      </c>
      <c r="N108" s="24"/>
    </row>
    <row r="109" spans="1:14">
      <c r="A109" s="24"/>
      <c r="B109" s="24"/>
      <c r="C109" s="25"/>
      <c r="D109" s="24"/>
      <c r="E109" s="26" t="str">
        <f>IFERROR(VLOOKUP(D109,'04_Master Karyawan'!$A$5:$F$50,2,FALSE),"")</f>
        <v/>
      </c>
      <c r="F109" s="24"/>
      <c r="G109" s="26" t="str">
        <f>IFERROR(VLOOKUP(F109,'05_Master KPI'!$B$5:$G$100,2,FALSE)&amp;" ("&amp;VLOOKUP(F109,'05_Master KPI'!$B$5:$G$100,3,FALSE)&amp;")","")</f>
        <v/>
      </c>
      <c r="H109" s="26">
        <f>IFERROR(IF(B109&lt;&gt;'06_Target KPI'!$B$3,0,IF(VLOOKUP(F109,'05_Master KPI'!$B$5:$G$100,6,FALSE)="Kumulatif",INDEX('06_Target KPI'!$E$5:$P$100,MATCH(F109,'06_Target KPI'!$B$5:$B$100,0),MATCH(A109,'06_Target KPI'!$E$4:$P$4,0))*DAY(C109)/DAY(EOMONTH(C109,0)),INDEX('06_Target KPI'!$E$5:$P$100,MATCH(F109,'06_Target KPI'!$B$5:$B$100,0),MATCH(A109,'06_Target KPI'!$E$4:$P$4,0)))),0)</f>
        <v>0</v>
      </c>
      <c r="I109" s="24"/>
      <c r="J109" s="27">
        <f>IFERROR(MIN(IF(VLOOKUP(F109,'05_Master KPI'!$B$5:$G$100,5,FALSE)="Lower",H109/I109,I109/H109),1),0)</f>
        <v>0</v>
      </c>
      <c r="K109" s="26">
        <f>IFERROR(VLOOKUP(F109,'05_Master KPI'!$B$5:$G$100,4,FALSE),0)</f>
        <v>0</v>
      </c>
      <c r="L109" s="28">
        <f t="shared" si="1"/>
        <v>0</v>
      </c>
      <c r="M109" s="26" t="str">
        <f>IF(D109="","",IF(J109&gt;='13_Setting'!$H$7,"Tercapai",IF(J109&gt;='13_Setting'!$H$6,"On Track","Tertinggal")))</f>
        <v/>
      </c>
      <c r="N109" s="24"/>
    </row>
    <row r="110" spans="1:14">
      <c r="A110" s="24"/>
      <c r="B110" s="24"/>
      <c r="C110" s="25"/>
      <c r="D110" s="24"/>
      <c r="E110" s="26" t="str">
        <f>IFERROR(VLOOKUP(D110,'04_Master Karyawan'!$A$5:$F$50,2,FALSE),"")</f>
        <v/>
      </c>
      <c r="F110" s="24"/>
      <c r="G110" s="26" t="str">
        <f>IFERROR(VLOOKUP(F110,'05_Master KPI'!$B$5:$G$100,2,FALSE)&amp;" ("&amp;VLOOKUP(F110,'05_Master KPI'!$B$5:$G$100,3,FALSE)&amp;")","")</f>
        <v/>
      </c>
      <c r="H110" s="26">
        <f>IFERROR(IF(B110&lt;&gt;'06_Target KPI'!$B$3,0,IF(VLOOKUP(F110,'05_Master KPI'!$B$5:$G$100,6,FALSE)="Kumulatif",INDEX('06_Target KPI'!$E$5:$P$100,MATCH(F110,'06_Target KPI'!$B$5:$B$100,0),MATCH(A110,'06_Target KPI'!$E$4:$P$4,0))*DAY(C110)/DAY(EOMONTH(C110,0)),INDEX('06_Target KPI'!$E$5:$P$100,MATCH(F110,'06_Target KPI'!$B$5:$B$100,0),MATCH(A110,'06_Target KPI'!$E$4:$P$4,0)))),0)</f>
        <v>0</v>
      </c>
      <c r="I110" s="24"/>
      <c r="J110" s="27">
        <f>IFERROR(MIN(IF(VLOOKUP(F110,'05_Master KPI'!$B$5:$G$100,5,FALSE)="Lower",H110/I110,I110/H110),1),0)</f>
        <v>0</v>
      </c>
      <c r="K110" s="26">
        <f>IFERROR(VLOOKUP(F110,'05_Master KPI'!$B$5:$G$100,4,FALSE),0)</f>
        <v>0</v>
      </c>
      <c r="L110" s="28">
        <f t="shared" si="1"/>
        <v>0</v>
      </c>
      <c r="M110" s="26" t="str">
        <f>IF(D110="","",IF(J110&gt;='13_Setting'!$H$7,"Tercapai",IF(J110&gt;='13_Setting'!$H$6,"On Track","Tertinggal")))</f>
        <v/>
      </c>
      <c r="N110" s="24"/>
    </row>
    <row r="111" spans="1:14">
      <c r="A111" s="24"/>
      <c r="B111" s="24"/>
      <c r="C111" s="25"/>
      <c r="D111" s="24"/>
      <c r="E111" s="26" t="str">
        <f>IFERROR(VLOOKUP(D111,'04_Master Karyawan'!$A$5:$F$50,2,FALSE),"")</f>
        <v/>
      </c>
      <c r="F111" s="24"/>
      <c r="G111" s="26" t="str">
        <f>IFERROR(VLOOKUP(F111,'05_Master KPI'!$B$5:$G$100,2,FALSE)&amp;" ("&amp;VLOOKUP(F111,'05_Master KPI'!$B$5:$G$100,3,FALSE)&amp;")","")</f>
        <v/>
      </c>
      <c r="H111" s="26">
        <f>IFERROR(IF(B111&lt;&gt;'06_Target KPI'!$B$3,0,IF(VLOOKUP(F111,'05_Master KPI'!$B$5:$G$100,6,FALSE)="Kumulatif",INDEX('06_Target KPI'!$E$5:$P$100,MATCH(F111,'06_Target KPI'!$B$5:$B$100,0),MATCH(A111,'06_Target KPI'!$E$4:$P$4,0))*DAY(C111)/DAY(EOMONTH(C111,0)),INDEX('06_Target KPI'!$E$5:$P$100,MATCH(F111,'06_Target KPI'!$B$5:$B$100,0),MATCH(A111,'06_Target KPI'!$E$4:$P$4,0)))),0)</f>
        <v>0</v>
      </c>
      <c r="I111" s="24"/>
      <c r="J111" s="27">
        <f>IFERROR(MIN(IF(VLOOKUP(F111,'05_Master KPI'!$B$5:$G$100,5,FALSE)="Lower",H111/I111,I111/H111),1),0)</f>
        <v>0</v>
      </c>
      <c r="K111" s="26">
        <f>IFERROR(VLOOKUP(F111,'05_Master KPI'!$B$5:$G$100,4,FALSE),0)</f>
        <v>0</v>
      </c>
      <c r="L111" s="28">
        <f t="shared" si="1"/>
        <v>0</v>
      </c>
      <c r="M111" s="26" t="str">
        <f>IF(D111="","",IF(J111&gt;='13_Setting'!$H$7,"Tercapai",IF(J111&gt;='13_Setting'!$H$6,"On Track","Tertinggal")))</f>
        <v/>
      </c>
      <c r="N111" s="24"/>
    </row>
    <row r="112" spans="1:14">
      <c r="A112" s="24"/>
      <c r="B112" s="24"/>
      <c r="C112" s="25"/>
      <c r="D112" s="24"/>
      <c r="E112" s="26" t="str">
        <f>IFERROR(VLOOKUP(D112,'04_Master Karyawan'!$A$5:$F$50,2,FALSE),"")</f>
        <v/>
      </c>
      <c r="F112" s="24"/>
      <c r="G112" s="26" t="str">
        <f>IFERROR(VLOOKUP(F112,'05_Master KPI'!$B$5:$G$100,2,FALSE)&amp;" ("&amp;VLOOKUP(F112,'05_Master KPI'!$B$5:$G$100,3,FALSE)&amp;")","")</f>
        <v/>
      </c>
      <c r="H112" s="26">
        <f>IFERROR(IF(B112&lt;&gt;'06_Target KPI'!$B$3,0,IF(VLOOKUP(F112,'05_Master KPI'!$B$5:$G$100,6,FALSE)="Kumulatif",INDEX('06_Target KPI'!$E$5:$P$100,MATCH(F112,'06_Target KPI'!$B$5:$B$100,0),MATCH(A112,'06_Target KPI'!$E$4:$P$4,0))*DAY(C112)/DAY(EOMONTH(C112,0)),INDEX('06_Target KPI'!$E$5:$P$100,MATCH(F112,'06_Target KPI'!$B$5:$B$100,0),MATCH(A112,'06_Target KPI'!$E$4:$P$4,0)))),0)</f>
        <v>0</v>
      </c>
      <c r="I112" s="24"/>
      <c r="J112" s="27">
        <f>IFERROR(MIN(IF(VLOOKUP(F112,'05_Master KPI'!$B$5:$G$100,5,FALSE)="Lower",H112/I112,I112/H112),1),0)</f>
        <v>0</v>
      </c>
      <c r="K112" s="26">
        <f>IFERROR(VLOOKUP(F112,'05_Master KPI'!$B$5:$G$100,4,FALSE),0)</f>
        <v>0</v>
      </c>
      <c r="L112" s="28">
        <f t="shared" si="1"/>
        <v>0</v>
      </c>
      <c r="M112" s="26" t="str">
        <f>IF(D112="","",IF(J112&gt;='13_Setting'!$H$7,"Tercapai",IF(J112&gt;='13_Setting'!$H$6,"On Track","Tertinggal")))</f>
        <v/>
      </c>
      <c r="N112" s="24"/>
    </row>
    <row r="113" spans="1:14">
      <c r="A113" s="24"/>
      <c r="B113" s="24"/>
      <c r="C113" s="25"/>
      <c r="D113" s="24"/>
      <c r="E113" s="26" t="str">
        <f>IFERROR(VLOOKUP(D113,'04_Master Karyawan'!$A$5:$F$50,2,FALSE),"")</f>
        <v/>
      </c>
      <c r="F113" s="24"/>
      <c r="G113" s="26" t="str">
        <f>IFERROR(VLOOKUP(F113,'05_Master KPI'!$B$5:$G$100,2,FALSE)&amp;" ("&amp;VLOOKUP(F113,'05_Master KPI'!$B$5:$G$100,3,FALSE)&amp;")","")</f>
        <v/>
      </c>
      <c r="H113" s="26">
        <f>IFERROR(IF(B113&lt;&gt;'06_Target KPI'!$B$3,0,IF(VLOOKUP(F113,'05_Master KPI'!$B$5:$G$100,6,FALSE)="Kumulatif",INDEX('06_Target KPI'!$E$5:$P$100,MATCH(F113,'06_Target KPI'!$B$5:$B$100,0),MATCH(A113,'06_Target KPI'!$E$4:$P$4,0))*DAY(C113)/DAY(EOMONTH(C113,0)),INDEX('06_Target KPI'!$E$5:$P$100,MATCH(F113,'06_Target KPI'!$B$5:$B$100,0),MATCH(A113,'06_Target KPI'!$E$4:$P$4,0)))),0)</f>
        <v>0</v>
      </c>
      <c r="I113" s="24"/>
      <c r="J113" s="27">
        <f>IFERROR(MIN(IF(VLOOKUP(F113,'05_Master KPI'!$B$5:$G$100,5,FALSE)="Lower",H113/I113,I113/H113),1),0)</f>
        <v>0</v>
      </c>
      <c r="K113" s="26">
        <f>IFERROR(VLOOKUP(F113,'05_Master KPI'!$B$5:$G$100,4,FALSE),0)</f>
        <v>0</v>
      </c>
      <c r="L113" s="28">
        <f t="shared" si="1"/>
        <v>0</v>
      </c>
      <c r="M113" s="26" t="str">
        <f>IF(D113="","",IF(J113&gt;='13_Setting'!$H$7,"Tercapai",IF(J113&gt;='13_Setting'!$H$6,"On Track","Tertinggal")))</f>
        <v/>
      </c>
      <c r="N113" s="24"/>
    </row>
    <row r="114" spans="1:14">
      <c r="A114" s="24"/>
      <c r="B114" s="24"/>
      <c r="C114" s="25"/>
      <c r="D114" s="24"/>
      <c r="E114" s="26" t="str">
        <f>IFERROR(VLOOKUP(D114,'04_Master Karyawan'!$A$5:$F$50,2,FALSE),"")</f>
        <v/>
      </c>
      <c r="F114" s="24"/>
      <c r="G114" s="26" t="str">
        <f>IFERROR(VLOOKUP(F114,'05_Master KPI'!$B$5:$G$100,2,FALSE)&amp;" ("&amp;VLOOKUP(F114,'05_Master KPI'!$B$5:$G$100,3,FALSE)&amp;")","")</f>
        <v/>
      </c>
      <c r="H114" s="26">
        <f>IFERROR(IF(B114&lt;&gt;'06_Target KPI'!$B$3,0,IF(VLOOKUP(F114,'05_Master KPI'!$B$5:$G$100,6,FALSE)="Kumulatif",INDEX('06_Target KPI'!$E$5:$P$100,MATCH(F114,'06_Target KPI'!$B$5:$B$100,0),MATCH(A114,'06_Target KPI'!$E$4:$P$4,0))*DAY(C114)/DAY(EOMONTH(C114,0)),INDEX('06_Target KPI'!$E$5:$P$100,MATCH(F114,'06_Target KPI'!$B$5:$B$100,0),MATCH(A114,'06_Target KPI'!$E$4:$P$4,0)))),0)</f>
        <v>0</v>
      </c>
      <c r="I114" s="24"/>
      <c r="J114" s="27">
        <f>IFERROR(MIN(IF(VLOOKUP(F114,'05_Master KPI'!$B$5:$G$100,5,FALSE)="Lower",H114/I114,I114/H114),1),0)</f>
        <v>0</v>
      </c>
      <c r="K114" s="26">
        <f>IFERROR(VLOOKUP(F114,'05_Master KPI'!$B$5:$G$100,4,FALSE),0)</f>
        <v>0</v>
      </c>
      <c r="L114" s="28">
        <f t="shared" si="1"/>
        <v>0</v>
      </c>
      <c r="M114" s="26" t="str">
        <f>IF(D114="","",IF(J114&gt;='13_Setting'!$H$7,"Tercapai",IF(J114&gt;='13_Setting'!$H$6,"On Track","Tertinggal")))</f>
        <v/>
      </c>
      <c r="N114" s="24"/>
    </row>
    <row r="115" spans="1:14">
      <c r="A115" s="24"/>
      <c r="B115" s="24"/>
      <c r="C115" s="25"/>
      <c r="D115" s="24"/>
      <c r="E115" s="26" t="str">
        <f>IFERROR(VLOOKUP(D115,'04_Master Karyawan'!$A$5:$F$50,2,FALSE),"")</f>
        <v/>
      </c>
      <c r="F115" s="24"/>
      <c r="G115" s="26" t="str">
        <f>IFERROR(VLOOKUP(F115,'05_Master KPI'!$B$5:$G$100,2,FALSE)&amp;" ("&amp;VLOOKUP(F115,'05_Master KPI'!$B$5:$G$100,3,FALSE)&amp;")","")</f>
        <v/>
      </c>
      <c r="H115" s="26">
        <f>IFERROR(IF(B115&lt;&gt;'06_Target KPI'!$B$3,0,IF(VLOOKUP(F115,'05_Master KPI'!$B$5:$G$100,6,FALSE)="Kumulatif",INDEX('06_Target KPI'!$E$5:$P$100,MATCH(F115,'06_Target KPI'!$B$5:$B$100,0),MATCH(A115,'06_Target KPI'!$E$4:$P$4,0))*DAY(C115)/DAY(EOMONTH(C115,0)),INDEX('06_Target KPI'!$E$5:$P$100,MATCH(F115,'06_Target KPI'!$B$5:$B$100,0),MATCH(A115,'06_Target KPI'!$E$4:$P$4,0)))),0)</f>
        <v>0</v>
      </c>
      <c r="I115" s="24"/>
      <c r="J115" s="27">
        <f>IFERROR(MIN(IF(VLOOKUP(F115,'05_Master KPI'!$B$5:$G$100,5,FALSE)="Lower",H115/I115,I115/H115),1),0)</f>
        <v>0</v>
      </c>
      <c r="K115" s="26">
        <f>IFERROR(VLOOKUP(F115,'05_Master KPI'!$B$5:$G$100,4,FALSE),0)</f>
        <v>0</v>
      </c>
      <c r="L115" s="28">
        <f t="shared" si="1"/>
        <v>0</v>
      </c>
      <c r="M115" s="26" t="str">
        <f>IF(D115="","",IF(J115&gt;='13_Setting'!$H$7,"Tercapai",IF(J115&gt;='13_Setting'!$H$6,"On Track","Tertinggal")))</f>
        <v/>
      </c>
      <c r="N115" s="24"/>
    </row>
    <row r="116" spans="1:14">
      <c r="A116" s="24"/>
      <c r="B116" s="24"/>
      <c r="C116" s="25"/>
      <c r="D116" s="24"/>
      <c r="E116" s="26" t="str">
        <f>IFERROR(VLOOKUP(D116,'04_Master Karyawan'!$A$5:$F$50,2,FALSE),"")</f>
        <v/>
      </c>
      <c r="F116" s="24"/>
      <c r="G116" s="26" t="str">
        <f>IFERROR(VLOOKUP(F116,'05_Master KPI'!$B$5:$G$100,2,FALSE)&amp;" ("&amp;VLOOKUP(F116,'05_Master KPI'!$B$5:$G$100,3,FALSE)&amp;")","")</f>
        <v/>
      </c>
      <c r="H116" s="26">
        <f>IFERROR(IF(B116&lt;&gt;'06_Target KPI'!$B$3,0,IF(VLOOKUP(F116,'05_Master KPI'!$B$5:$G$100,6,FALSE)="Kumulatif",INDEX('06_Target KPI'!$E$5:$P$100,MATCH(F116,'06_Target KPI'!$B$5:$B$100,0),MATCH(A116,'06_Target KPI'!$E$4:$P$4,0))*DAY(C116)/DAY(EOMONTH(C116,0)),INDEX('06_Target KPI'!$E$5:$P$100,MATCH(F116,'06_Target KPI'!$B$5:$B$100,0),MATCH(A116,'06_Target KPI'!$E$4:$P$4,0)))),0)</f>
        <v>0</v>
      </c>
      <c r="I116" s="24"/>
      <c r="J116" s="27">
        <f>IFERROR(MIN(IF(VLOOKUP(F116,'05_Master KPI'!$B$5:$G$100,5,FALSE)="Lower",H116/I116,I116/H116),1),0)</f>
        <v>0</v>
      </c>
      <c r="K116" s="26">
        <f>IFERROR(VLOOKUP(F116,'05_Master KPI'!$B$5:$G$100,4,FALSE),0)</f>
        <v>0</v>
      </c>
      <c r="L116" s="28">
        <f t="shared" si="1"/>
        <v>0</v>
      </c>
      <c r="M116" s="26" t="str">
        <f>IF(D116="","",IF(J116&gt;='13_Setting'!$H$7,"Tercapai",IF(J116&gt;='13_Setting'!$H$6,"On Track","Tertinggal")))</f>
        <v/>
      </c>
      <c r="N116" s="24"/>
    </row>
    <row r="117" spans="1:14">
      <c r="A117" s="24"/>
      <c r="B117" s="24"/>
      <c r="C117" s="25"/>
      <c r="D117" s="24"/>
      <c r="E117" s="26" t="str">
        <f>IFERROR(VLOOKUP(D117,'04_Master Karyawan'!$A$5:$F$50,2,FALSE),"")</f>
        <v/>
      </c>
      <c r="F117" s="24"/>
      <c r="G117" s="26" t="str">
        <f>IFERROR(VLOOKUP(F117,'05_Master KPI'!$B$5:$G$100,2,FALSE)&amp;" ("&amp;VLOOKUP(F117,'05_Master KPI'!$B$5:$G$100,3,FALSE)&amp;")","")</f>
        <v/>
      </c>
      <c r="H117" s="26">
        <f>IFERROR(IF(B117&lt;&gt;'06_Target KPI'!$B$3,0,IF(VLOOKUP(F117,'05_Master KPI'!$B$5:$G$100,6,FALSE)="Kumulatif",INDEX('06_Target KPI'!$E$5:$P$100,MATCH(F117,'06_Target KPI'!$B$5:$B$100,0),MATCH(A117,'06_Target KPI'!$E$4:$P$4,0))*DAY(C117)/DAY(EOMONTH(C117,0)),INDEX('06_Target KPI'!$E$5:$P$100,MATCH(F117,'06_Target KPI'!$B$5:$B$100,0),MATCH(A117,'06_Target KPI'!$E$4:$P$4,0)))),0)</f>
        <v>0</v>
      </c>
      <c r="I117" s="24"/>
      <c r="J117" s="27">
        <f>IFERROR(MIN(IF(VLOOKUP(F117,'05_Master KPI'!$B$5:$G$100,5,FALSE)="Lower",H117/I117,I117/H117),1),0)</f>
        <v>0</v>
      </c>
      <c r="K117" s="26">
        <f>IFERROR(VLOOKUP(F117,'05_Master KPI'!$B$5:$G$100,4,FALSE),0)</f>
        <v>0</v>
      </c>
      <c r="L117" s="28">
        <f t="shared" si="1"/>
        <v>0</v>
      </c>
      <c r="M117" s="26" t="str">
        <f>IF(D117="","",IF(J117&gt;='13_Setting'!$H$7,"Tercapai",IF(J117&gt;='13_Setting'!$H$6,"On Track","Tertinggal")))</f>
        <v/>
      </c>
      <c r="N117" s="24"/>
    </row>
    <row r="118" spans="1:14">
      <c r="A118" s="24"/>
      <c r="B118" s="24"/>
      <c r="C118" s="25"/>
      <c r="D118" s="24"/>
      <c r="E118" s="26" t="str">
        <f>IFERROR(VLOOKUP(D118,'04_Master Karyawan'!$A$5:$F$50,2,FALSE),"")</f>
        <v/>
      </c>
      <c r="F118" s="24"/>
      <c r="G118" s="26" t="str">
        <f>IFERROR(VLOOKUP(F118,'05_Master KPI'!$B$5:$G$100,2,FALSE)&amp;" ("&amp;VLOOKUP(F118,'05_Master KPI'!$B$5:$G$100,3,FALSE)&amp;")","")</f>
        <v/>
      </c>
      <c r="H118" s="26">
        <f>IFERROR(IF(B118&lt;&gt;'06_Target KPI'!$B$3,0,IF(VLOOKUP(F118,'05_Master KPI'!$B$5:$G$100,6,FALSE)="Kumulatif",INDEX('06_Target KPI'!$E$5:$P$100,MATCH(F118,'06_Target KPI'!$B$5:$B$100,0),MATCH(A118,'06_Target KPI'!$E$4:$P$4,0))*DAY(C118)/DAY(EOMONTH(C118,0)),INDEX('06_Target KPI'!$E$5:$P$100,MATCH(F118,'06_Target KPI'!$B$5:$B$100,0),MATCH(A118,'06_Target KPI'!$E$4:$P$4,0)))),0)</f>
        <v>0</v>
      </c>
      <c r="I118" s="24"/>
      <c r="J118" s="27">
        <f>IFERROR(MIN(IF(VLOOKUP(F118,'05_Master KPI'!$B$5:$G$100,5,FALSE)="Lower",H118/I118,I118/H118),1),0)</f>
        <v>0</v>
      </c>
      <c r="K118" s="26">
        <f>IFERROR(VLOOKUP(F118,'05_Master KPI'!$B$5:$G$100,4,FALSE),0)</f>
        <v>0</v>
      </c>
      <c r="L118" s="28">
        <f t="shared" si="1"/>
        <v>0</v>
      </c>
      <c r="M118" s="26" t="str">
        <f>IF(D118="","",IF(J118&gt;='13_Setting'!$H$7,"Tercapai",IF(J118&gt;='13_Setting'!$H$6,"On Track","Tertinggal")))</f>
        <v/>
      </c>
      <c r="N118" s="24"/>
    </row>
    <row r="119" spans="1:14">
      <c r="A119" s="24"/>
      <c r="B119" s="24"/>
      <c r="C119" s="25"/>
      <c r="D119" s="24"/>
      <c r="E119" s="26" t="str">
        <f>IFERROR(VLOOKUP(D119,'04_Master Karyawan'!$A$5:$F$50,2,FALSE),"")</f>
        <v/>
      </c>
      <c r="F119" s="24"/>
      <c r="G119" s="26" t="str">
        <f>IFERROR(VLOOKUP(F119,'05_Master KPI'!$B$5:$G$100,2,FALSE)&amp;" ("&amp;VLOOKUP(F119,'05_Master KPI'!$B$5:$G$100,3,FALSE)&amp;")","")</f>
        <v/>
      </c>
      <c r="H119" s="26">
        <f>IFERROR(IF(B119&lt;&gt;'06_Target KPI'!$B$3,0,IF(VLOOKUP(F119,'05_Master KPI'!$B$5:$G$100,6,FALSE)="Kumulatif",INDEX('06_Target KPI'!$E$5:$P$100,MATCH(F119,'06_Target KPI'!$B$5:$B$100,0),MATCH(A119,'06_Target KPI'!$E$4:$P$4,0))*DAY(C119)/DAY(EOMONTH(C119,0)),INDEX('06_Target KPI'!$E$5:$P$100,MATCH(F119,'06_Target KPI'!$B$5:$B$100,0),MATCH(A119,'06_Target KPI'!$E$4:$P$4,0)))),0)</f>
        <v>0</v>
      </c>
      <c r="I119" s="24"/>
      <c r="J119" s="27">
        <f>IFERROR(MIN(IF(VLOOKUP(F119,'05_Master KPI'!$B$5:$G$100,5,FALSE)="Lower",H119/I119,I119/H119),1),0)</f>
        <v>0</v>
      </c>
      <c r="K119" s="26">
        <f>IFERROR(VLOOKUP(F119,'05_Master KPI'!$B$5:$G$100,4,FALSE),0)</f>
        <v>0</v>
      </c>
      <c r="L119" s="28">
        <f t="shared" si="1"/>
        <v>0</v>
      </c>
      <c r="M119" s="26" t="str">
        <f>IF(D119="","",IF(J119&gt;='13_Setting'!$H$7,"Tercapai",IF(J119&gt;='13_Setting'!$H$6,"On Track","Tertinggal")))</f>
        <v/>
      </c>
      <c r="N119" s="24"/>
    </row>
    <row r="120" spans="1:14">
      <c r="A120" s="24"/>
      <c r="B120" s="24"/>
      <c r="C120" s="25"/>
      <c r="D120" s="24"/>
      <c r="E120" s="26" t="str">
        <f>IFERROR(VLOOKUP(D120,'04_Master Karyawan'!$A$5:$F$50,2,FALSE),"")</f>
        <v/>
      </c>
      <c r="F120" s="24"/>
      <c r="G120" s="26" t="str">
        <f>IFERROR(VLOOKUP(F120,'05_Master KPI'!$B$5:$G$100,2,FALSE)&amp;" ("&amp;VLOOKUP(F120,'05_Master KPI'!$B$5:$G$100,3,FALSE)&amp;")","")</f>
        <v/>
      </c>
      <c r="H120" s="26">
        <f>IFERROR(IF(B120&lt;&gt;'06_Target KPI'!$B$3,0,IF(VLOOKUP(F120,'05_Master KPI'!$B$5:$G$100,6,FALSE)="Kumulatif",INDEX('06_Target KPI'!$E$5:$P$100,MATCH(F120,'06_Target KPI'!$B$5:$B$100,0),MATCH(A120,'06_Target KPI'!$E$4:$P$4,0))*DAY(C120)/DAY(EOMONTH(C120,0)),INDEX('06_Target KPI'!$E$5:$P$100,MATCH(F120,'06_Target KPI'!$B$5:$B$100,0),MATCH(A120,'06_Target KPI'!$E$4:$P$4,0)))),0)</f>
        <v>0</v>
      </c>
      <c r="I120" s="24"/>
      <c r="J120" s="27">
        <f>IFERROR(MIN(IF(VLOOKUP(F120,'05_Master KPI'!$B$5:$G$100,5,FALSE)="Lower",H120/I120,I120/H120),1),0)</f>
        <v>0</v>
      </c>
      <c r="K120" s="26">
        <f>IFERROR(VLOOKUP(F120,'05_Master KPI'!$B$5:$G$100,4,FALSE),0)</f>
        <v>0</v>
      </c>
      <c r="L120" s="28">
        <f t="shared" si="1"/>
        <v>0</v>
      </c>
      <c r="M120" s="26" t="str">
        <f>IF(D120="","",IF(J120&gt;='13_Setting'!$H$7,"Tercapai",IF(J120&gt;='13_Setting'!$H$6,"On Track","Tertinggal")))</f>
        <v/>
      </c>
      <c r="N120" s="24"/>
    </row>
    <row r="121" spans="1:14">
      <c r="A121" s="24"/>
      <c r="B121" s="24"/>
      <c r="C121" s="25"/>
      <c r="D121" s="24"/>
      <c r="E121" s="26" t="str">
        <f>IFERROR(VLOOKUP(D121,'04_Master Karyawan'!$A$5:$F$50,2,FALSE),"")</f>
        <v/>
      </c>
      <c r="F121" s="24"/>
      <c r="G121" s="26" t="str">
        <f>IFERROR(VLOOKUP(F121,'05_Master KPI'!$B$5:$G$100,2,FALSE)&amp;" ("&amp;VLOOKUP(F121,'05_Master KPI'!$B$5:$G$100,3,FALSE)&amp;")","")</f>
        <v/>
      </c>
      <c r="H121" s="26">
        <f>IFERROR(IF(B121&lt;&gt;'06_Target KPI'!$B$3,0,IF(VLOOKUP(F121,'05_Master KPI'!$B$5:$G$100,6,FALSE)="Kumulatif",INDEX('06_Target KPI'!$E$5:$P$100,MATCH(F121,'06_Target KPI'!$B$5:$B$100,0),MATCH(A121,'06_Target KPI'!$E$4:$P$4,0))*DAY(C121)/DAY(EOMONTH(C121,0)),INDEX('06_Target KPI'!$E$5:$P$100,MATCH(F121,'06_Target KPI'!$B$5:$B$100,0),MATCH(A121,'06_Target KPI'!$E$4:$P$4,0)))),0)</f>
        <v>0</v>
      </c>
      <c r="I121" s="24"/>
      <c r="J121" s="27">
        <f>IFERROR(MIN(IF(VLOOKUP(F121,'05_Master KPI'!$B$5:$G$100,5,FALSE)="Lower",H121/I121,I121/H121),1),0)</f>
        <v>0</v>
      </c>
      <c r="K121" s="26">
        <f>IFERROR(VLOOKUP(F121,'05_Master KPI'!$B$5:$G$100,4,FALSE),0)</f>
        <v>0</v>
      </c>
      <c r="L121" s="28">
        <f t="shared" si="1"/>
        <v>0</v>
      </c>
      <c r="M121" s="26" t="str">
        <f>IF(D121="","",IF(J121&gt;='13_Setting'!$H$7,"Tercapai",IF(J121&gt;='13_Setting'!$H$6,"On Track","Tertinggal")))</f>
        <v/>
      </c>
      <c r="N121" s="24"/>
    </row>
    <row r="122" spans="1:14">
      <c r="A122" s="24"/>
      <c r="B122" s="24"/>
      <c r="C122" s="25"/>
      <c r="D122" s="24"/>
      <c r="E122" s="26" t="str">
        <f>IFERROR(VLOOKUP(D122,'04_Master Karyawan'!$A$5:$F$50,2,FALSE),"")</f>
        <v/>
      </c>
      <c r="F122" s="24"/>
      <c r="G122" s="26" t="str">
        <f>IFERROR(VLOOKUP(F122,'05_Master KPI'!$B$5:$G$100,2,FALSE)&amp;" ("&amp;VLOOKUP(F122,'05_Master KPI'!$B$5:$G$100,3,FALSE)&amp;")","")</f>
        <v/>
      </c>
      <c r="H122" s="26">
        <f>IFERROR(IF(B122&lt;&gt;'06_Target KPI'!$B$3,0,IF(VLOOKUP(F122,'05_Master KPI'!$B$5:$G$100,6,FALSE)="Kumulatif",INDEX('06_Target KPI'!$E$5:$P$100,MATCH(F122,'06_Target KPI'!$B$5:$B$100,0),MATCH(A122,'06_Target KPI'!$E$4:$P$4,0))*DAY(C122)/DAY(EOMONTH(C122,0)),INDEX('06_Target KPI'!$E$5:$P$100,MATCH(F122,'06_Target KPI'!$B$5:$B$100,0),MATCH(A122,'06_Target KPI'!$E$4:$P$4,0)))),0)</f>
        <v>0</v>
      </c>
      <c r="I122" s="24"/>
      <c r="J122" s="27">
        <f>IFERROR(MIN(IF(VLOOKUP(F122,'05_Master KPI'!$B$5:$G$100,5,FALSE)="Lower",H122/I122,I122/H122),1),0)</f>
        <v>0</v>
      </c>
      <c r="K122" s="26">
        <f>IFERROR(VLOOKUP(F122,'05_Master KPI'!$B$5:$G$100,4,FALSE),0)</f>
        <v>0</v>
      </c>
      <c r="L122" s="28">
        <f t="shared" si="1"/>
        <v>0</v>
      </c>
      <c r="M122" s="26" t="str">
        <f>IF(D122="","",IF(J122&gt;='13_Setting'!$H$7,"Tercapai",IF(J122&gt;='13_Setting'!$H$6,"On Track","Tertinggal")))</f>
        <v/>
      </c>
      <c r="N122" s="24"/>
    </row>
    <row r="123" spans="1:14">
      <c r="A123" s="24"/>
      <c r="B123" s="24"/>
      <c r="C123" s="25"/>
      <c r="D123" s="24"/>
      <c r="E123" s="26" t="str">
        <f>IFERROR(VLOOKUP(D123,'04_Master Karyawan'!$A$5:$F$50,2,FALSE),"")</f>
        <v/>
      </c>
      <c r="F123" s="24"/>
      <c r="G123" s="26" t="str">
        <f>IFERROR(VLOOKUP(F123,'05_Master KPI'!$B$5:$G$100,2,FALSE)&amp;" ("&amp;VLOOKUP(F123,'05_Master KPI'!$B$5:$G$100,3,FALSE)&amp;")","")</f>
        <v/>
      </c>
      <c r="H123" s="26">
        <f>IFERROR(IF(B123&lt;&gt;'06_Target KPI'!$B$3,0,IF(VLOOKUP(F123,'05_Master KPI'!$B$5:$G$100,6,FALSE)="Kumulatif",INDEX('06_Target KPI'!$E$5:$P$100,MATCH(F123,'06_Target KPI'!$B$5:$B$100,0),MATCH(A123,'06_Target KPI'!$E$4:$P$4,0))*DAY(C123)/DAY(EOMONTH(C123,0)),INDEX('06_Target KPI'!$E$5:$P$100,MATCH(F123,'06_Target KPI'!$B$5:$B$100,0),MATCH(A123,'06_Target KPI'!$E$4:$P$4,0)))),0)</f>
        <v>0</v>
      </c>
      <c r="I123" s="24"/>
      <c r="J123" s="27">
        <f>IFERROR(MIN(IF(VLOOKUP(F123,'05_Master KPI'!$B$5:$G$100,5,FALSE)="Lower",H123/I123,I123/H123),1),0)</f>
        <v>0</v>
      </c>
      <c r="K123" s="26">
        <f>IFERROR(VLOOKUP(F123,'05_Master KPI'!$B$5:$G$100,4,FALSE),0)</f>
        <v>0</v>
      </c>
      <c r="L123" s="28">
        <f t="shared" si="1"/>
        <v>0</v>
      </c>
      <c r="M123" s="26" t="str">
        <f>IF(D123="","",IF(J123&gt;='13_Setting'!$H$7,"Tercapai",IF(J123&gt;='13_Setting'!$H$6,"On Track","Tertinggal")))</f>
        <v/>
      </c>
      <c r="N123" s="24"/>
    </row>
    <row r="124" spans="1:14">
      <c r="A124" s="24"/>
      <c r="B124" s="24"/>
      <c r="C124" s="25"/>
      <c r="D124" s="24"/>
      <c r="E124" s="26" t="str">
        <f>IFERROR(VLOOKUP(D124,'04_Master Karyawan'!$A$5:$F$50,2,FALSE),"")</f>
        <v/>
      </c>
      <c r="F124" s="24"/>
      <c r="G124" s="26" t="str">
        <f>IFERROR(VLOOKUP(F124,'05_Master KPI'!$B$5:$G$100,2,FALSE)&amp;" ("&amp;VLOOKUP(F124,'05_Master KPI'!$B$5:$G$100,3,FALSE)&amp;")","")</f>
        <v/>
      </c>
      <c r="H124" s="26">
        <f>IFERROR(IF(B124&lt;&gt;'06_Target KPI'!$B$3,0,IF(VLOOKUP(F124,'05_Master KPI'!$B$5:$G$100,6,FALSE)="Kumulatif",INDEX('06_Target KPI'!$E$5:$P$100,MATCH(F124,'06_Target KPI'!$B$5:$B$100,0),MATCH(A124,'06_Target KPI'!$E$4:$P$4,0))*DAY(C124)/DAY(EOMONTH(C124,0)),INDEX('06_Target KPI'!$E$5:$P$100,MATCH(F124,'06_Target KPI'!$B$5:$B$100,0),MATCH(A124,'06_Target KPI'!$E$4:$P$4,0)))),0)</f>
        <v>0</v>
      </c>
      <c r="I124" s="24"/>
      <c r="J124" s="27">
        <f>IFERROR(MIN(IF(VLOOKUP(F124,'05_Master KPI'!$B$5:$G$100,5,FALSE)="Lower",H124/I124,I124/H124),1),0)</f>
        <v>0</v>
      </c>
      <c r="K124" s="26">
        <f>IFERROR(VLOOKUP(F124,'05_Master KPI'!$B$5:$G$100,4,FALSE),0)</f>
        <v>0</v>
      </c>
      <c r="L124" s="28">
        <f t="shared" si="1"/>
        <v>0</v>
      </c>
      <c r="M124" s="26" t="str">
        <f>IF(D124="","",IF(J124&gt;='13_Setting'!$H$7,"Tercapai",IF(J124&gt;='13_Setting'!$H$6,"On Track","Tertinggal")))</f>
        <v/>
      </c>
      <c r="N124" s="24"/>
    </row>
    <row r="125" spans="1:14">
      <c r="A125" s="24"/>
      <c r="B125" s="24"/>
      <c r="C125" s="25"/>
      <c r="D125" s="24"/>
      <c r="E125" s="26" t="str">
        <f>IFERROR(VLOOKUP(D125,'04_Master Karyawan'!$A$5:$F$50,2,FALSE),"")</f>
        <v/>
      </c>
      <c r="F125" s="24"/>
      <c r="G125" s="26" t="str">
        <f>IFERROR(VLOOKUP(F125,'05_Master KPI'!$B$5:$G$100,2,FALSE)&amp;" ("&amp;VLOOKUP(F125,'05_Master KPI'!$B$5:$G$100,3,FALSE)&amp;")","")</f>
        <v/>
      </c>
      <c r="H125" s="26">
        <f>IFERROR(IF(B125&lt;&gt;'06_Target KPI'!$B$3,0,IF(VLOOKUP(F125,'05_Master KPI'!$B$5:$G$100,6,FALSE)="Kumulatif",INDEX('06_Target KPI'!$E$5:$P$100,MATCH(F125,'06_Target KPI'!$B$5:$B$100,0),MATCH(A125,'06_Target KPI'!$E$4:$P$4,0))*DAY(C125)/DAY(EOMONTH(C125,0)),INDEX('06_Target KPI'!$E$5:$P$100,MATCH(F125,'06_Target KPI'!$B$5:$B$100,0),MATCH(A125,'06_Target KPI'!$E$4:$P$4,0)))),0)</f>
        <v>0</v>
      </c>
      <c r="I125" s="24"/>
      <c r="J125" s="27">
        <f>IFERROR(MIN(IF(VLOOKUP(F125,'05_Master KPI'!$B$5:$G$100,5,FALSE)="Lower",H125/I125,I125/H125),1),0)</f>
        <v>0</v>
      </c>
      <c r="K125" s="26">
        <f>IFERROR(VLOOKUP(F125,'05_Master KPI'!$B$5:$G$100,4,FALSE),0)</f>
        <v>0</v>
      </c>
      <c r="L125" s="28">
        <f t="shared" si="1"/>
        <v>0</v>
      </c>
      <c r="M125" s="26" t="str">
        <f>IF(D125="","",IF(J125&gt;='13_Setting'!$H$7,"Tercapai",IF(J125&gt;='13_Setting'!$H$6,"On Track","Tertinggal")))</f>
        <v/>
      </c>
      <c r="N125" s="24"/>
    </row>
    <row r="126" spans="1:14">
      <c r="A126" s="24"/>
      <c r="B126" s="24"/>
      <c r="C126" s="25"/>
      <c r="D126" s="24"/>
      <c r="E126" s="26" t="str">
        <f>IFERROR(VLOOKUP(D126,'04_Master Karyawan'!$A$5:$F$50,2,FALSE),"")</f>
        <v/>
      </c>
      <c r="F126" s="24"/>
      <c r="G126" s="26" t="str">
        <f>IFERROR(VLOOKUP(F126,'05_Master KPI'!$B$5:$G$100,2,FALSE)&amp;" ("&amp;VLOOKUP(F126,'05_Master KPI'!$B$5:$G$100,3,FALSE)&amp;")","")</f>
        <v/>
      </c>
      <c r="H126" s="26">
        <f>IFERROR(IF(B126&lt;&gt;'06_Target KPI'!$B$3,0,IF(VLOOKUP(F126,'05_Master KPI'!$B$5:$G$100,6,FALSE)="Kumulatif",INDEX('06_Target KPI'!$E$5:$P$100,MATCH(F126,'06_Target KPI'!$B$5:$B$100,0),MATCH(A126,'06_Target KPI'!$E$4:$P$4,0))*DAY(C126)/DAY(EOMONTH(C126,0)),INDEX('06_Target KPI'!$E$5:$P$100,MATCH(F126,'06_Target KPI'!$B$5:$B$100,0),MATCH(A126,'06_Target KPI'!$E$4:$P$4,0)))),0)</f>
        <v>0</v>
      </c>
      <c r="I126" s="24"/>
      <c r="J126" s="27">
        <f>IFERROR(MIN(IF(VLOOKUP(F126,'05_Master KPI'!$B$5:$G$100,5,FALSE)="Lower",H126/I126,I126/H126),1),0)</f>
        <v>0</v>
      </c>
      <c r="K126" s="26">
        <f>IFERROR(VLOOKUP(F126,'05_Master KPI'!$B$5:$G$100,4,FALSE),0)</f>
        <v>0</v>
      </c>
      <c r="L126" s="28">
        <f t="shared" si="1"/>
        <v>0</v>
      </c>
      <c r="M126" s="26" t="str">
        <f>IF(D126="","",IF(J126&gt;='13_Setting'!$H$7,"Tercapai",IF(J126&gt;='13_Setting'!$H$6,"On Track","Tertinggal")))</f>
        <v/>
      </c>
      <c r="N126" s="24"/>
    </row>
    <row r="127" spans="1:14">
      <c r="A127" s="24"/>
      <c r="B127" s="24"/>
      <c r="C127" s="25"/>
      <c r="D127" s="24"/>
      <c r="E127" s="26" t="str">
        <f>IFERROR(VLOOKUP(D127,'04_Master Karyawan'!$A$5:$F$50,2,FALSE),"")</f>
        <v/>
      </c>
      <c r="F127" s="24"/>
      <c r="G127" s="26" t="str">
        <f>IFERROR(VLOOKUP(F127,'05_Master KPI'!$B$5:$G$100,2,FALSE)&amp;" ("&amp;VLOOKUP(F127,'05_Master KPI'!$B$5:$G$100,3,FALSE)&amp;")","")</f>
        <v/>
      </c>
      <c r="H127" s="26">
        <f>IFERROR(IF(B127&lt;&gt;'06_Target KPI'!$B$3,0,IF(VLOOKUP(F127,'05_Master KPI'!$B$5:$G$100,6,FALSE)="Kumulatif",INDEX('06_Target KPI'!$E$5:$P$100,MATCH(F127,'06_Target KPI'!$B$5:$B$100,0),MATCH(A127,'06_Target KPI'!$E$4:$P$4,0))*DAY(C127)/DAY(EOMONTH(C127,0)),INDEX('06_Target KPI'!$E$5:$P$100,MATCH(F127,'06_Target KPI'!$B$5:$B$100,0),MATCH(A127,'06_Target KPI'!$E$4:$P$4,0)))),0)</f>
        <v>0</v>
      </c>
      <c r="I127" s="24"/>
      <c r="J127" s="27">
        <f>IFERROR(MIN(IF(VLOOKUP(F127,'05_Master KPI'!$B$5:$G$100,5,FALSE)="Lower",H127/I127,I127/H127),1),0)</f>
        <v>0</v>
      </c>
      <c r="K127" s="26">
        <f>IFERROR(VLOOKUP(F127,'05_Master KPI'!$B$5:$G$100,4,FALSE),0)</f>
        <v>0</v>
      </c>
      <c r="L127" s="28">
        <f t="shared" si="1"/>
        <v>0</v>
      </c>
      <c r="M127" s="26" t="str">
        <f>IF(D127="","",IF(J127&gt;='13_Setting'!$H$7,"Tercapai",IF(J127&gt;='13_Setting'!$H$6,"On Track","Tertinggal")))</f>
        <v/>
      </c>
      <c r="N127" s="24"/>
    </row>
    <row r="128" spans="1:14">
      <c r="A128" s="24"/>
      <c r="B128" s="24"/>
      <c r="C128" s="25"/>
      <c r="D128" s="24"/>
      <c r="E128" s="26" t="str">
        <f>IFERROR(VLOOKUP(D128,'04_Master Karyawan'!$A$5:$F$50,2,FALSE),"")</f>
        <v/>
      </c>
      <c r="F128" s="24"/>
      <c r="G128" s="26" t="str">
        <f>IFERROR(VLOOKUP(F128,'05_Master KPI'!$B$5:$G$100,2,FALSE)&amp;" ("&amp;VLOOKUP(F128,'05_Master KPI'!$B$5:$G$100,3,FALSE)&amp;")","")</f>
        <v/>
      </c>
      <c r="H128" s="26">
        <f>IFERROR(IF(B128&lt;&gt;'06_Target KPI'!$B$3,0,IF(VLOOKUP(F128,'05_Master KPI'!$B$5:$G$100,6,FALSE)="Kumulatif",INDEX('06_Target KPI'!$E$5:$P$100,MATCH(F128,'06_Target KPI'!$B$5:$B$100,0),MATCH(A128,'06_Target KPI'!$E$4:$P$4,0))*DAY(C128)/DAY(EOMONTH(C128,0)),INDEX('06_Target KPI'!$E$5:$P$100,MATCH(F128,'06_Target KPI'!$B$5:$B$100,0),MATCH(A128,'06_Target KPI'!$E$4:$P$4,0)))),0)</f>
        <v>0</v>
      </c>
      <c r="I128" s="24"/>
      <c r="J128" s="27">
        <f>IFERROR(MIN(IF(VLOOKUP(F128,'05_Master KPI'!$B$5:$G$100,5,FALSE)="Lower",H128/I128,I128/H128),1),0)</f>
        <v>0</v>
      </c>
      <c r="K128" s="26">
        <f>IFERROR(VLOOKUP(F128,'05_Master KPI'!$B$5:$G$100,4,FALSE),0)</f>
        <v>0</v>
      </c>
      <c r="L128" s="28">
        <f t="shared" si="1"/>
        <v>0</v>
      </c>
      <c r="M128" s="26" t="str">
        <f>IF(D128="","",IF(J128&gt;='13_Setting'!$H$7,"Tercapai",IF(J128&gt;='13_Setting'!$H$6,"On Track","Tertinggal")))</f>
        <v/>
      </c>
      <c r="N128" s="24"/>
    </row>
    <row r="129" spans="1:14">
      <c r="A129" s="24"/>
      <c r="B129" s="24"/>
      <c r="C129" s="25"/>
      <c r="D129" s="24"/>
      <c r="E129" s="26" t="str">
        <f>IFERROR(VLOOKUP(D129,'04_Master Karyawan'!$A$5:$F$50,2,FALSE),"")</f>
        <v/>
      </c>
      <c r="F129" s="24"/>
      <c r="G129" s="26" t="str">
        <f>IFERROR(VLOOKUP(F129,'05_Master KPI'!$B$5:$G$100,2,FALSE)&amp;" ("&amp;VLOOKUP(F129,'05_Master KPI'!$B$5:$G$100,3,FALSE)&amp;")","")</f>
        <v/>
      </c>
      <c r="H129" s="26">
        <f>IFERROR(IF(B129&lt;&gt;'06_Target KPI'!$B$3,0,IF(VLOOKUP(F129,'05_Master KPI'!$B$5:$G$100,6,FALSE)="Kumulatif",INDEX('06_Target KPI'!$E$5:$P$100,MATCH(F129,'06_Target KPI'!$B$5:$B$100,0),MATCH(A129,'06_Target KPI'!$E$4:$P$4,0))*DAY(C129)/DAY(EOMONTH(C129,0)),INDEX('06_Target KPI'!$E$5:$P$100,MATCH(F129,'06_Target KPI'!$B$5:$B$100,0),MATCH(A129,'06_Target KPI'!$E$4:$P$4,0)))),0)</f>
        <v>0</v>
      </c>
      <c r="I129" s="24"/>
      <c r="J129" s="27">
        <f>IFERROR(MIN(IF(VLOOKUP(F129,'05_Master KPI'!$B$5:$G$100,5,FALSE)="Lower",H129/I129,I129/H129),1),0)</f>
        <v>0</v>
      </c>
      <c r="K129" s="26">
        <f>IFERROR(VLOOKUP(F129,'05_Master KPI'!$B$5:$G$100,4,FALSE),0)</f>
        <v>0</v>
      </c>
      <c r="L129" s="28">
        <f t="shared" si="1"/>
        <v>0</v>
      </c>
      <c r="M129" s="26" t="str">
        <f>IF(D129="","",IF(J129&gt;='13_Setting'!$H$7,"Tercapai",IF(J129&gt;='13_Setting'!$H$6,"On Track","Tertinggal")))</f>
        <v/>
      </c>
      <c r="N129" s="24"/>
    </row>
    <row r="130" spans="1:14">
      <c r="A130" s="24"/>
      <c r="B130" s="24"/>
      <c r="C130" s="25"/>
      <c r="D130" s="24"/>
      <c r="E130" s="26" t="str">
        <f>IFERROR(VLOOKUP(D130,'04_Master Karyawan'!$A$5:$F$50,2,FALSE),"")</f>
        <v/>
      </c>
      <c r="F130" s="24"/>
      <c r="G130" s="26" t="str">
        <f>IFERROR(VLOOKUP(F130,'05_Master KPI'!$B$5:$G$100,2,FALSE)&amp;" ("&amp;VLOOKUP(F130,'05_Master KPI'!$B$5:$G$100,3,FALSE)&amp;")","")</f>
        <v/>
      </c>
      <c r="H130" s="26">
        <f>IFERROR(IF(B130&lt;&gt;'06_Target KPI'!$B$3,0,IF(VLOOKUP(F130,'05_Master KPI'!$B$5:$G$100,6,FALSE)="Kumulatif",INDEX('06_Target KPI'!$E$5:$P$100,MATCH(F130,'06_Target KPI'!$B$5:$B$100,0),MATCH(A130,'06_Target KPI'!$E$4:$P$4,0))*DAY(C130)/DAY(EOMONTH(C130,0)),INDEX('06_Target KPI'!$E$5:$P$100,MATCH(F130,'06_Target KPI'!$B$5:$B$100,0),MATCH(A130,'06_Target KPI'!$E$4:$P$4,0)))),0)</f>
        <v>0</v>
      </c>
      <c r="I130" s="24"/>
      <c r="J130" s="27">
        <f>IFERROR(MIN(IF(VLOOKUP(F130,'05_Master KPI'!$B$5:$G$100,5,FALSE)="Lower",H130/I130,I130/H130),1),0)</f>
        <v>0</v>
      </c>
      <c r="K130" s="26">
        <f>IFERROR(VLOOKUP(F130,'05_Master KPI'!$B$5:$G$100,4,FALSE),0)</f>
        <v>0</v>
      </c>
      <c r="L130" s="28">
        <f t="shared" si="1"/>
        <v>0</v>
      </c>
      <c r="M130" s="26" t="str">
        <f>IF(D130="","",IF(J130&gt;='13_Setting'!$H$7,"Tercapai",IF(J130&gt;='13_Setting'!$H$6,"On Track","Tertinggal")))</f>
        <v/>
      </c>
      <c r="N130" s="24"/>
    </row>
    <row r="131" spans="1:14">
      <c r="A131" s="24"/>
      <c r="B131" s="24"/>
      <c r="C131" s="25"/>
      <c r="D131" s="24"/>
      <c r="E131" s="26" t="str">
        <f>IFERROR(VLOOKUP(D131,'04_Master Karyawan'!$A$5:$F$50,2,FALSE),"")</f>
        <v/>
      </c>
      <c r="F131" s="24"/>
      <c r="G131" s="26" t="str">
        <f>IFERROR(VLOOKUP(F131,'05_Master KPI'!$B$5:$G$100,2,FALSE)&amp;" ("&amp;VLOOKUP(F131,'05_Master KPI'!$B$5:$G$100,3,FALSE)&amp;")","")</f>
        <v/>
      </c>
      <c r="H131" s="26">
        <f>IFERROR(IF(B131&lt;&gt;'06_Target KPI'!$B$3,0,IF(VLOOKUP(F131,'05_Master KPI'!$B$5:$G$100,6,FALSE)="Kumulatif",INDEX('06_Target KPI'!$E$5:$P$100,MATCH(F131,'06_Target KPI'!$B$5:$B$100,0),MATCH(A131,'06_Target KPI'!$E$4:$P$4,0))*DAY(C131)/DAY(EOMONTH(C131,0)),INDEX('06_Target KPI'!$E$5:$P$100,MATCH(F131,'06_Target KPI'!$B$5:$B$100,0),MATCH(A131,'06_Target KPI'!$E$4:$P$4,0)))),0)</f>
        <v>0</v>
      </c>
      <c r="I131" s="24"/>
      <c r="J131" s="27">
        <f>IFERROR(MIN(IF(VLOOKUP(F131,'05_Master KPI'!$B$5:$G$100,5,FALSE)="Lower",H131/I131,I131/H131),1),0)</f>
        <v>0</v>
      </c>
      <c r="K131" s="26">
        <f>IFERROR(VLOOKUP(F131,'05_Master KPI'!$B$5:$G$100,4,FALSE),0)</f>
        <v>0</v>
      </c>
      <c r="L131" s="28">
        <f t="shared" si="1"/>
        <v>0</v>
      </c>
      <c r="M131" s="26" t="str">
        <f>IF(D131="","",IF(J131&gt;='13_Setting'!$H$7,"Tercapai",IF(J131&gt;='13_Setting'!$H$6,"On Track","Tertinggal")))</f>
        <v/>
      </c>
      <c r="N131" s="24"/>
    </row>
    <row r="132" spans="1:14">
      <c r="A132" s="24"/>
      <c r="B132" s="24"/>
      <c r="C132" s="25"/>
      <c r="D132" s="24"/>
      <c r="E132" s="26" t="str">
        <f>IFERROR(VLOOKUP(D132,'04_Master Karyawan'!$A$5:$F$50,2,FALSE),"")</f>
        <v/>
      </c>
      <c r="F132" s="24"/>
      <c r="G132" s="26" t="str">
        <f>IFERROR(VLOOKUP(F132,'05_Master KPI'!$B$5:$G$100,2,FALSE)&amp;" ("&amp;VLOOKUP(F132,'05_Master KPI'!$B$5:$G$100,3,FALSE)&amp;")","")</f>
        <v/>
      </c>
      <c r="H132" s="26">
        <f>IFERROR(IF(B132&lt;&gt;'06_Target KPI'!$B$3,0,IF(VLOOKUP(F132,'05_Master KPI'!$B$5:$G$100,6,FALSE)="Kumulatif",INDEX('06_Target KPI'!$E$5:$P$100,MATCH(F132,'06_Target KPI'!$B$5:$B$100,0),MATCH(A132,'06_Target KPI'!$E$4:$P$4,0))*DAY(C132)/DAY(EOMONTH(C132,0)),INDEX('06_Target KPI'!$E$5:$P$100,MATCH(F132,'06_Target KPI'!$B$5:$B$100,0),MATCH(A132,'06_Target KPI'!$E$4:$P$4,0)))),0)</f>
        <v>0</v>
      </c>
      <c r="I132" s="24"/>
      <c r="J132" s="27">
        <f>IFERROR(MIN(IF(VLOOKUP(F132,'05_Master KPI'!$B$5:$G$100,5,FALSE)="Lower",H132/I132,I132/H132),1),0)</f>
        <v>0</v>
      </c>
      <c r="K132" s="26">
        <f>IFERROR(VLOOKUP(F132,'05_Master KPI'!$B$5:$G$100,4,FALSE),0)</f>
        <v>0</v>
      </c>
      <c r="L132" s="28">
        <f t="shared" si="1"/>
        <v>0</v>
      </c>
      <c r="M132" s="26" t="str">
        <f>IF(D132="","",IF(J132&gt;='13_Setting'!$H$7,"Tercapai",IF(J132&gt;='13_Setting'!$H$6,"On Track","Tertinggal")))</f>
        <v/>
      </c>
      <c r="N132" s="24"/>
    </row>
    <row r="133" spans="1:14">
      <c r="A133" s="24"/>
      <c r="B133" s="24"/>
      <c r="C133" s="25"/>
      <c r="D133" s="24"/>
      <c r="E133" s="26" t="str">
        <f>IFERROR(VLOOKUP(D133,'04_Master Karyawan'!$A$5:$F$50,2,FALSE),"")</f>
        <v/>
      </c>
      <c r="F133" s="24"/>
      <c r="G133" s="26" t="str">
        <f>IFERROR(VLOOKUP(F133,'05_Master KPI'!$B$5:$G$100,2,FALSE)&amp;" ("&amp;VLOOKUP(F133,'05_Master KPI'!$B$5:$G$100,3,FALSE)&amp;")","")</f>
        <v/>
      </c>
      <c r="H133" s="26">
        <f>IFERROR(IF(B133&lt;&gt;'06_Target KPI'!$B$3,0,IF(VLOOKUP(F133,'05_Master KPI'!$B$5:$G$100,6,FALSE)="Kumulatif",INDEX('06_Target KPI'!$E$5:$P$100,MATCH(F133,'06_Target KPI'!$B$5:$B$100,0),MATCH(A133,'06_Target KPI'!$E$4:$P$4,0))*DAY(C133)/DAY(EOMONTH(C133,0)),INDEX('06_Target KPI'!$E$5:$P$100,MATCH(F133,'06_Target KPI'!$B$5:$B$100,0),MATCH(A133,'06_Target KPI'!$E$4:$P$4,0)))),0)</f>
        <v>0</v>
      </c>
      <c r="I133" s="24"/>
      <c r="J133" s="27">
        <f>IFERROR(MIN(IF(VLOOKUP(F133,'05_Master KPI'!$B$5:$G$100,5,FALSE)="Lower",H133/I133,I133/H133),1),0)</f>
        <v>0</v>
      </c>
      <c r="K133" s="26">
        <f>IFERROR(VLOOKUP(F133,'05_Master KPI'!$B$5:$G$100,4,FALSE),0)</f>
        <v>0</v>
      </c>
      <c r="L133" s="28">
        <f t="shared" ref="L133:L196" si="2">J133*K133</f>
        <v>0</v>
      </c>
      <c r="M133" s="26" t="str">
        <f>IF(D133="","",IF(J133&gt;='13_Setting'!$H$7,"Tercapai",IF(J133&gt;='13_Setting'!$H$6,"On Track","Tertinggal")))</f>
        <v/>
      </c>
      <c r="N133" s="24"/>
    </row>
    <row r="134" spans="1:14">
      <c r="A134" s="24"/>
      <c r="B134" s="24"/>
      <c r="C134" s="25"/>
      <c r="D134" s="24"/>
      <c r="E134" s="26" t="str">
        <f>IFERROR(VLOOKUP(D134,'04_Master Karyawan'!$A$5:$F$50,2,FALSE),"")</f>
        <v/>
      </c>
      <c r="F134" s="24"/>
      <c r="G134" s="26" t="str">
        <f>IFERROR(VLOOKUP(F134,'05_Master KPI'!$B$5:$G$100,2,FALSE)&amp;" ("&amp;VLOOKUP(F134,'05_Master KPI'!$B$5:$G$100,3,FALSE)&amp;")","")</f>
        <v/>
      </c>
      <c r="H134" s="26">
        <f>IFERROR(IF(B134&lt;&gt;'06_Target KPI'!$B$3,0,IF(VLOOKUP(F134,'05_Master KPI'!$B$5:$G$100,6,FALSE)="Kumulatif",INDEX('06_Target KPI'!$E$5:$P$100,MATCH(F134,'06_Target KPI'!$B$5:$B$100,0),MATCH(A134,'06_Target KPI'!$E$4:$P$4,0))*DAY(C134)/DAY(EOMONTH(C134,0)),INDEX('06_Target KPI'!$E$5:$P$100,MATCH(F134,'06_Target KPI'!$B$5:$B$100,0),MATCH(A134,'06_Target KPI'!$E$4:$P$4,0)))),0)</f>
        <v>0</v>
      </c>
      <c r="I134" s="24"/>
      <c r="J134" s="27">
        <f>IFERROR(MIN(IF(VLOOKUP(F134,'05_Master KPI'!$B$5:$G$100,5,FALSE)="Lower",H134/I134,I134/H134),1),0)</f>
        <v>0</v>
      </c>
      <c r="K134" s="26">
        <f>IFERROR(VLOOKUP(F134,'05_Master KPI'!$B$5:$G$100,4,FALSE),0)</f>
        <v>0</v>
      </c>
      <c r="L134" s="28">
        <f t="shared" si="2"/>
        <v>0</v>
      </c>
      <c r="M134" s="26" t="str">
        <f>IF(D134="","",IF(J134&gt;='13_Setting'!$H$7,"Tercapai",IF(J134&gt;='13_Setting'!$H$6,"On Track","Tertinggal")))</f>
        <v/>
      </c>
      <c r="N134" s="24"/>
    </row>
    <row r="135" spans="1:14">
      <c r="A135" s="24"/>
      <c r="B135" s="24"/>
      <c r="C135" s="25"/>
      <c r="D135" s="24"/>
      <c r="E135" s="26" t="str">
        <f>IFERROR(VLOOKUP(D135,'04_Master Karyawan'!$A$5:$F$50,2,FALSE),"")</f>
        <v/>
      </c>
      <c r="F135" s="24"/>
      <c r="G135" s="26" t="str">
        <f>IFERROR(VLOOKUP(F135,'05_Master KPI'!$B$5:$G$100,2,FALSE)&amp;" ("&amp;VLOOKUP(F135,'05_Master KPI'!$B$5:$G$100,3,FALSE)&amp;")","")</f>
        <v/>
      </c>
      <c r="H135" s="26">
        <f>IFERROR(IF(B135&lt;&gt;'06_Target KPI'!$B$3,0,IF(VLOOKUP(F135,'05_Master KPI'!$B$5:$G$100,6,FALSE)="Kumulatif",INDEX('06_Target KPI'!$E$5:$P$100,MATCH(F135,'06_Target KPI'!$B$5:$B$100,0),MATCH(A135,'06_Target KPI'!$E$4:$P$4,0))*DAY(C135)/DAY(EOMONTH(C135,0)),INDEX('06_Target KPI'!$E$5:$P$100,MATCH(F135,'06_Target KPI'!$B$5:$B$100,0),MATCH(A135,'06_Target KPI'!$E$4:$P$4,0)))),0)</f>
        <v>0</v>
      </c>
      <c r="I135" s="24"/>
      <c r="J135" s="27">
        <f>IFERROR(MIN(IF(VLOOKUP(F135,'05_Master KPI'!$B$5:$G$100,5,FALSE)="Lower",H135/I135,I135/H135),1),0)</f>
        <v>0</v>
      </c>
      <c r="K135" s="26">
        <f>IFERROR(VLOOKUP(F135,'05_Master KPI'!$B$5:$G$100,4,FALSE),0)</f>
        <v>0</v>
      </c>
      <c r="L135" s="28">
        <f t="shared" si="2"/>
        <v>0</v>
      </c>
      <c r="M135" s="26" t="str">
        <f>IF(D135="","",IF(J135&gt;='13_Setting'!$H$7,"Tercapai",IF(J135&gt;='13_Setting'!$H$6,"On Track","Tertinggal")))</f>
        <v/>
      </c>
      <c r="N135" s="24"/>
    </row>
    <row r="136" spans="1:14">
      <c r="A136" s="24"/>
      <c r="B136" s="24"/>
      <c r="C136" s="25"/>
      <c r="D136" s="24"/>
      <c r="E136" s="26" t="str">
        <f>IFERROR(VLOOKUP(D136,'04_Master Karyawan'!$A$5:$F$50,2,FALSE),"")</f>
        <v/>
      </c>
      <c r="F136" s="24"/>
      <c r="G136" s="26" t="str">
        <f>IFERROR(VLOOKUP(F136,'05_Master KPI'!$B$5:$G$100,2,FALSE)&amp;" ("&amp;VLOOKUP(F136,'05_Master KPI'!$B$5:$G$100,3,FALSE)&amp;")","")</f>
        <v/>
      </c>
      <c r="H136" s="26">
        <f>IFERROR(IF(B136&lt;&gt;'06_Target KPI'!$B$3,0,IF(VLOOKUP(F136,'05_Master KPI'!$B$5:$G$100,6,FALSE)="Kumulatif",INDEX('06_Target KPI'!$E$5:$P$100,MATCH(F136,'06_Target KPI'!$B$5:$B$100,0),MATCH(A136,'06_Target KPI'!$E$4:$P$4,0))*DAY(C136)/DAY(EOMONTH(C136,0)),INDEX('06_Target KPI'!$E$5:$P$100,MATCH(F136,'06_Target KPI'!$B$5:$B$100,0),MATCH(A136,'06_Target KPI'!$E$4:$P$4,0)))),0)</f>
        <v>0</v>
      </c>
      <c r="I136" s="24"/>
      <c r="J136" s="27">
        <f>IFERROR(MIN(IF(VLOOKUP(F136,'05_Master KPI'!$B$5:$G$100,5,FALSE)="Lower",H136/I136,I136/H136),1),0)</f>
        <v>0</v>
      </c>
      <c r="K136" s="26">
        <f>IFERROR(VLOOKUP(F136,'05_Master KPI'!$B$5:$G$100,4,FALSE),0)</f>
        <v>0</v>
      </c>
      <c r="L136" s="28">
        <f t="shared" si="2"/>
        <v>0</v>
      </c>
      <c r="M136" s="26" t="str">
        <f>IF(D136="","",IF(J136&gt;='13_Setting'!$H$7,"Tercapai",IF(J136&gt;='13_Setting'!$H$6,"On Track","Tertinggal")))</f>
        <v/>
      </c>
      <c r="N136" s="24"/>
    </row>
    <row r="137" spans="1:14">
      <c r="A137" s="24"/>
      <c r="B137" s="24"/>
      <c r="C137" s="25"/>
      <c r="D137" s="24"/>
      <c r="E137" s="26" t="str">
        <f>IFERROR(VLOOKUP(D137,'04_Master Karyawan'!$A$5:$F$50,2,FALSE),"")</f>
        <v/>
      </c>
      <c r="F137" s="24"/>
      <c r="G137" s="26" t="str">
        <f>IFERROR(VLOOKUP(F137,'05_Master KPI'!$B$5:$G$100,2,FALSE)&amp;" ("&amp;VLOOKUP(F137,'05_Master KPI'!$B$5:$G$100,3,FALSE)&amp;")","")</f>
        <v/>
      </c>
      <c r="H137" s="26">
        <f>IFERROR(IF(B137&lt;&gt;'06_Target KPI'!$B$3,0,IF(VLOOKUP(F137,'05_Master KPI'!$B$5:$G$100,6,FALSE)="Kumulatif",INDEX('06_Target KPI'!$E$5:$P$100,MATCH(F137,'06_Target KPI'!$B$5:$B$100,0),MATCH(A137,'06_Target KPI'!$E$4:$P$4,0))*DAY(C137)/DAY(EOMONTH(C137,0)),INDEX('06_Target KPI'!$E$5:$P$100,MATCH(F137,'06_Target KPI'!$B$5:$B$100,0),MATCH(A137,'06_Target KPI'!$E$4:$P$4,0)))),0)</f>
        <v>0</v>
      </c>
      <c r="I137" s="24"/>
      <c r="J137" s="27">
        <f>IFERROR(MIN(IF(VLOOKUP(F137,'05_Master KPI'!$B$5:$G$100,5,FALSE)="Lower",H137/I137,I137/H137),1),0)</f>
        <v>0</v>
      </c>
      <c r="K137" s="26">
        <f>IFERROR(VLOOKUP(F137,'05_Master KPI'!$B$5:$G$100,4,FALSE),0)</f>
        <v>0</v>
      </c>
      <c r="L137" s="28">
        <f t="shared" si="2"/>
        <v>0</v>
      </c>
      <c r="M137" s="26" t="str">
        <f>IF(D137="","",IF(J137&gt;='13_Setting'!$H$7,"Tercapai",IF(J137&gt;='13_Setting'!$H$6,"On Track","Tertinggal")))</f>
        <v/>
      </c>
      <c r="N137" s="24"/>
    </row>
    <row r="138" spans="1:14">
      <c r="A138" s="24"/>
      <c r="B138" s="24"/>
      <c r="C138" s="25"/>
      <c r="D138" s="24"/>
      <c r="E138" s="26" t="str">
        <f>IFERROR(VLOOKUP(D138,'04_Master Karyawan'!$A$5:$F$50,2,FALSE),"")</f>
        <v/>
      </c>
      <c r="F138" s="24"/>
      <c r="G138" s="26" t="str">
        <f>IFERROR(VLOOKUP(F138,'05_Master KPI'!$B$5:$G$100,2,FALSE)&amp;" ("&amp;VLOOKUP(F138,'05_Master KPI'!$B$5:$G$100,3,FALSE)&amp;")","")</f>
        <v/>
      </c>
      <c r="H138" s="26">
        <f>IFERROR(IF(B138&lt;&gt;'06_Target KPI'!$B$3,0,IF(VLOOKUP(F138,'05_Master KPI'!$B$5:$G$100,6,FALSE)="Kumulatif",INDEX('06_Target KPI'!$E$5:$P$100,MATCH(F138,'06_Target KPI'!$B$5:$B$100,0),MATCH(A138,'06_Target KPI'!$E$4:$P$4,0))*DAY(C138)/DAY(EOMONTH(C138,0)),INDEX('06_Target KPI'!$E$5:$P$100,MATCH(F138,'06_Target KPI'!$B$5:$B$100,0),MATCH(A138,'06_Target KPI'!$E$4:$P$4,0)))),0)</f>
        <v>0</v>
      </c>
      <c r="I138" s="24"/>
      <c r="J138" s="27">
        <f>IFERROR(MIN(IF(VLOOKUP(F138,'05_Master KPI'!$B$5:$G$100,5,FALSE)="Lower",H138/I138,I138/H138),1),0)</f>
        <v>0</v>
      </c>
      <c r="K138" s="26">
        <f>IFERROR(VLOOKUP(F138,'05_Master KPI'!$B$5:$G$100,4,FALSE),0)</f>
        <v>0</v>
      </c>
      <c r="L138" s="28">
        <f t="shared" si="2"/>
        <v>0</v>
      </c>
      <c r="M138" s="26" t="str">
        <f>IF(D138="","",IF(J138&gt;='13_Setting'!$H$7,"Tercapai",IF(J138&gt;='13_Setting'!$H$6,"On Track","Tertinggal")))</f>
        <v/>
      </c>
      <c r="N138" s="24"/>
    </row>
    <row r="139" spans="1:14">
      <c r="A139" s="24"/>
      <c r="B139" s="24"/>
      <c r="C139" s="25"/>
      <c r="D139" s="24"/>
      <c r="E139" s="26" t="str">
        <f>IFERROR(VLOOKUP(D139,'04_Master Karyawan'!$A$5:$F$50,2,FALSE),"")</f>
        <v/>
      </c>
      <c r="F139" s="24"/>
      <c r="G139" s="26" t="str">
        <f>IFERROR(VLOOKUP(F139,'05_Master KPI'!$B$5:$G$100,2,FALSE)&amp;" ("&amp;VLOOKUP(F139,'05_Master KPI'!$B$5:$G$100,3,FALSE)&amp;")","")</f>
        <v/>
      </c>
      <c r="H139" s="26">
        <f>IFERROR(IF(B139&lt;&gt;'06_Target KPI'!$B$3,0,IF(VLOOKUP(F139,'05_Master KPI'!$B$5:$G$100,6,FALSE)="Kumulatif",INDEX('06_Target KPI'!$E$5:$P$100,MATCH(F139,'06_Target KPI'!$B$5:$B$100,0),MATCH(A139,'06_Target KPI'!$E$4:$P$4,0))*DAY(C139)/DAY(EOMONTH(C139,0)),INDEX('06_Target KPI'!$E$5:$P$100,MATCH(F139,'06_Target KPI'!$B$5:$B$100,0),MATCH(A139,'06_Target KPI'!$E$4:$P$4,0)))),0)</f>
        <v>0</v>
      </c>
      <c r="I139" s="24"/>
      <c r="J139" s="27">
        <f>IFERROR(MIN(IF(VLOOKUP(F139,'05_Master KPI'!$B$5:$G$100,5,FALSE)="Lower",H139/I139,I139/H139),1),0)</f>
        <v>0</v>
      </c>
      <c r="K139" s="26">
        <f>IFERROR(VLOOKUP(F139,'05_Master KPI'!$B$5:$G$100,4,FALSE),0)</f>
        <v>0</v>
      </c>
      <c r="L139" s="28">
        <f t="shared" si="2"/>
        <v>0</v>
      </c>
      <c r="M139" s="26" t="str">
        <f>IF(D139="","",IF(J139&gt;='13_Setting'!$H$7,"Tercapai",IF(J139&gt;='13_Setting'!$H$6,"On Track","Tertinggal")))</f>
        <v/>
      </c>
      <c r="N139" s="24"/>
    </row>
    <row r="140" spans="1:14">
      <c r="A140" s="24"/>
      <c r="B140" s="24"/>
      <c r="C140" s="25"/>
      <c r="D140" s="24"/>
      <c r="E140" s="26" t="str">
        <f>IFERROR(VLOOKUP(D140,'04_Master Karyawan'!$A$5:$F$50,2,FALSE),"")</f>
        <v/>
      </c>
      <c r="F140" s="24"/>
      <c r="G140" s="26" t="str">
        <f>IFERROR(VLOOKUP(F140,'05_Master KPI'!$B$5:$G$100,2,FALSE)&amp;" ("&amp;VLOOKUP(F140,'05_Master KPI'!$B$5:$G$100,3,FALSE)&amp;")","")</f>
        <v/>
      </c>
      <c r="H140" s="26">
        <f>IFERROR(IF(B140&lt;&gt;'06_Target KPI'!$B$3,0,IF(VLOOKUP(F140,'05_Master KPI'!$B$5:$G$100,6,FALSE)="Kumulatif",INDEX('06_Target KPI'!$E$5:$P$100,MATCH(F140,'06_Target KPI'!$B$5:$B$100,0),MATCH(A140,'06_Target KPI'!$E$4:$P$4,0))*DAY(C140)/DAY(EOMONTH(C140,0)),INDEX('06_Target KPI'!$E$5:$P$100,MATCH(F140,'06_Target KPI'!$B$5:$B$100,0),MATCH(A140,'06_Target KPI'!$E$4:$P$4,0)))),0)</f>
        <v>0</v>
      </c>
      <c r="I140" s="24"/>
      <c r="J140" s="27">
        <f>IFERROR(MIN(IF(VLOOKUP(F140,'05_Master KPI'!$B$5:$G$100,5,FALSE)="Lower",H140/I140,I140/H140),1),0)</f>
        <v>0</v>
      </c>
      <c r="K140" s="26">
        <f>IFERROR(VLOOKUP(F140,'05_Master KPI'!$B$5:$G$100,4,FALSE),0)</f>
        <v>0</v>
      </c>
      <c r="L140" s="28">
        <f t="shared" si="2"/>
        <v>0</v>
      </c>
      <c r="M140" s="26" t="str">
        <f>IF(D140="","",IF(J140&gt;='13_Setting'!$H$7,"Tercapai",IF(J140&gt;='13_Setting'!$H$6,"On Track","Tertinggal")))</f>
        <v/>
      </c>
      <c r="N140" s="24"/>
    </row>
    <row r="141" spans="1:14">
      <c r="A141" s="24"/>
      <c r="B141" s="24"/>
      <c r="C141" s="25"/>
      <c r="D141" s="24"/>
      <c r="E141" s="26" t="str">
        <f>IFERROR(VLOOKUP(D141,'04_Master Karyawan'!$A$5:$F$50,2,FALSE),"")</f>
        <v/>
      </c>
      <c r="F141" s="24"/>
      <c r="G141" s="26" t="str">
        <f>IFERROR(VLOOKUP(F141,'05_Master KPI'!$B$5:$G$100,2,FALSE)&amp;" ("&amp;VLOOKUP(F141,'05_Master KPI'!$B$5:$G$100,3,FALSE)&amp;")","")</f>
        <v/>
      </c>
      <c r="H141" s="26">
        <f>IFERROR(IF(B141&lt;&gt;'06_Target KPI'!$B$3,0,IF(VLOOKUP(F141,'05_Master KPI'!$B$5:$G$100,6,FALSE)="Kumulatif",INDEX('06_Target KPI'!$E$5:$P$100,MATCH(F141,'06_Target KPI'!$B$5:$B$100,0),MATCH(A141,'06_Target KPI'!$E$4:$P$4,0))*DAY(C141)/DAY(EOMONTH(C141,0)),INDEX('06_Target KPI'!$E$5:$P$100,MATCH(F141,'06_Target KPI'!$B$5:$B$100,0),MATCH(A141,'06_Target KPI'!$E$4:$P$4,0)))),0)</f>
        <v>0</v>
      </c>
      <c r="I141" s="24"/>
      <c r="J141" s="27">
        <f>IFERROR(MIN(IF(VLOOKUP(F141,'05_Master KPI'!$B$5:$G$100,5,FALSE)="Lower",H141/I141,I141/H141),1),0)</f>
        <v>0</v>
      </c>
      <c r="K141" s="26">
        <f>IFERROR(VLOOKUP(F141,'05_Master KPI'!$B$5:$G$100,4,FALSE),0)</f>
        <v>0</v>
      </c>
      <c r="L141" s="28">
        <f t="shared" si="2"/>
        <v>0</v>
      </c>
      <c r="M141" s="26" t="str">
        <f>IF(D141="","",IF(J141&gt;='13_Setting'!$H$7,"Tercapai",IF(J141&gt;='13_Setting'!$H$6,"On Track","Tertinggal")))</f>
        <v/>
      </c>
      <c r="N141" s="24"/>
    </row>
    <row r="142" spans="1:14">
      <c r="A142" s="24"/>
      <c r="B142" s="24"/>
      <c r="C142" s="25"/>
      <c r="D142" s="24"/>
      <c r="E142" s="26" t="str">
        <f>IFERROR(VLOOKUP(D142,'04_Master Karyawan'!$A$5:$F$50,2,FALSE),"")</f>
        <v/>
      </c>
      <c r="F142" s="24"/>
      <c r="G142" s="26" t="str">
        <f>IFERROR(VLOOKUP(F142,'05_Master KPI'!$B$5:$G$100,2,FALSE)&amp;" ("&amp;VLOOKUP(F142,'05_Master KPI'!$B$5:$G$100,3,FALSE)&amp;")","")</f>
        <v/>
      </c>
      <c r="H142" s="26">
        <f>IFERROR(IF(B142&lt;&gt;'06_Target KPI'!$B$3,0,IF(VLOOKUP(F142,'05_Master KPI'!$B$5:$G$100,6,FALSE)="Kumulatif",INDEX('06_Target KPI'!$E$5:$P$100,MATCH(F142,'06_Target KPI'!$B$5:$B$100,0),MATCH(A142,'06_Target KPI'!$E$4:$P$4,0))*DAY(C142)/DAY(EOMONTH(C142,0)),INDEX('06_Target KPI'!$E$5:$P$100,MATCH(F142,'06_Target KPI'!$B$5:$B$100,0),MATCH(A142,'06_Target KPI'!$E$4:$P$4,0)))),0)</f>
        <v>0</v>
      </c>
      <c r="I142" s="24"/>
      <c r="J142" s="27">
        <f>IFERROR(MIN(IF(VLOOKUP(F142,'05_Master KPI'!$B$5:$G$100,5,FALSE)="Lower",H142/I142,I142/H142),1),0)</f>
        <v>0</v>
      </c>
      <c r="K142" s="26">
        <f>IFERROR(VLOOKUP(F142,'05_Master KPI'!$B$5:$G$100,4,FALSE),0)</f>
        <v>0</v>
      </c>
      <c r="L142" s="28">
        <f t="shared" si="2"/>
        <v>0</v>
      </c>
      <c r="M142" s="26" t="str">
        <f>IF(D142="","",IF(J142&gt;='13_Setting'!$H$7,"Tercapai",IF(J142&gt;='13_Setting'!$H$6,"On Track","Tertinggal")))</f>
        <v/>
      </c>
      <c r="N142" s="24"/>
    </row>
    <row r="143" spans="1:14">
      <c r="A143" s="24"/>
      <c r="B143" s="24"/>
      <c r="C143" s="25"/>
      <c r="D143" s="24"/>
      <c r="E143" s="26" t="str">
        <f>IFERROR(VLOOKUP(D143,'04_Master Karyawan'!$A$5:$F$50,2,FALSE),"")</f>
        <v/>
      </c>
      <c r="F143" s="24"/>
      <c r="G143" s="26" t="str">
        <f>IFERROR(VLOOKUP(F143,'05_Master KPI'!$B$5:$G$100,2,FALSE)&amp;" ("&amp;VLOOKUP(F143,'05_Master KPI'!$B$5:$G$100,3,FALSE)&amp;")","")</f>
        <v/>
      </c>
      <c r="H143" s="26">
        <f>IFERROR(IF(B143&lt;&gt;'06_Target KPI'!$B$3,0,IF(VLOOKUP(F143,'05_Master KPI'!$B$5:$G$100,6,FALSE)="Kumulatif",INDEX('06_Target KPI'!$E$5:$P$100,MATCH(F143,'06_Target KPI'!$B$5:$B$100,0),MATCH(A143,'06_Target KPI'!$E$4:$P$4,0))*DAY(C143)/DAY(EOMONTH(C143,0)),INDEX('06_Target KPI'!$E$5:$P$100,MATCH(F143,'06_Target KPI'!$B$5:$B$100,0),MATCH(A143,'06_Target KPI'!$E$4:$P$4,0)))),0)</f>
        <v>0</v>
      </c>
      <c r="I143" s="24"/>
      <c r="J143" s="27">
        <f>IFERROR(MIN(IF(VLOOKUP(F143,'05_Master KPI'!$B$5:$G$100,5,FALSE)="Lower",H143/I143,I143/H143),1),0)</f>
        <v>0</v>
      </c>
      <c r="K143" s="26">
        <f>IFERROR(VLOOKUP(F143,'05_Master KPI'!$B$5:$G$100,4,FALSE),0)</f>
        <v>0</v>
      </c>
      <c r="L143" s="28">
        <f t="shared" si="2"/>
        <v>0</v>
      </c>
      <c r="M143" s="26" t="str">
        <f>IF(D143="","",IF(J143&gt;='13_Setting'!$H$7,"Tercapai",IF(J143&gt;='13_Setting'!$H$6,"On Track","Tertinggal")))</f>
        <v/>
      </c>
      <c r="N143" s="24"/>
    </row>
    <row r="144" spans="1:14">
      <c r="A144" s="24"/>
      <c r="B144" s="24"/>
      <c r="C144" s="25"/>
      <c r="D144" s="24"/>
      <c r="E144" s="26" t="str">
        <f>IFERROR(VLOOKUP(D144,'04_Master Karyawan'!$A$5:$F$50,2,FALSE),"")</f>
        <v/>
      </c>
      <c r="F144" s="24"/>
      <c r="G144" s="26" t="str">
        <f>IFERROR(VLOOKUP(F144,'05_Master KPI'!$B$5:$G$100,2,FALSE)&amp;" ("&amp;VLOOKUP(F144,'05_Master KPI'!$B$5:$G$100,3,FALSE)&amp;")","")</f>
        <v/>
      </c>
      <c r="H144" s="26">
        <f>IFERROR(IF(B144&lt;&gt;'06_Target KPI'!$B$3,0,IF(VLOOKUP(F144,'05_Master KPI'!$B$5:$G$100,6,FALSE)="Kumulatif",INDEX('06_Target KPI'!$E$5:$P$100,MATCH(F144,'06_Target KPI'!$B$5:$B$100,0),MATCH(A144,'06_Target KPI'!$E$4:$P$4,0))*DAY(C144)/DAY(EOMONTH(C144,0)),INDEX('06_Target KPI'!$E$5:$P$100,MATCH(F144,'06_Target KPI'!$B$5:$B$100,0),MATCH(A144,'06_Target KPI'!$E$4:$P$4,0)))),0)</f>
        <v>0</v>
      </c>
      <c r="I144" s="24"/>
      <c r="J144" s="27">
        <f>IFERROR(MIN(IF(VLOOKUP(F144,'05_Master KPI'!$B$5:$G$100,5,FALSE)="Lower",H144/I144,I144/H144),1),0)</f>
        <v>0</v>
      </c>
      <c r="K144" s="26">
        <f>IFERROR(VLOOKUP(F144,'05_Master KPI'!$B$5:$G$100,4,FALSE),0)</f>
        <v>0</v>
      </c>
      <c r="L144" s="28">
        <f t="shared" si="2"/>
        <v>0</v>
      </c>
      <c r="M144" s="26" t="str">
        <f>IF(D144="","",IF(J144&gt;='13_Setting'!$H$7,"Tercapai",IF(J144&gt;='13_Setting'!$H$6,"On Track","Tertinggal")))</f>
        <v/>
      </c>
      <c r="N144" s="24"/>
    </row>
    <row r="145" spans="1:14">
      <c r="A145" s="24"/>
      <c r="B145" s="24"/>
      <c r="C145" s="25"/>
      <c r="D145" s="24"/>
      <c r="E145" s="26" t="str">
        <f>IFERROR(VLOOKUP(D145,'04_Master Karyawan'!$A$5:$F$50,2,FALSE),"")</f>
        <v/>
      </c>
      <c r="F145" s="24"/>
      <c r="G145" s="26" t="str">
        <f>IFERROR(VLOOKUP(F145,'05_Master KPI'!$B$5:$G$100,2,FALSE)&amp;" ("&amp;VLOOKUP(F145,'05_Master KPI'!$B$5:$G$100,3,FALSE)&amp;")","")</f>
        <v/>
      </c>
      <c r="H145" s="26">
        <f>IFERROR(IF(B145&lt;&gt;'06_Target KPI'!$B$3,0,IF(VLOOKUP(F145,'05_Master KPI'!$B$5:$G$100,6,FALSE)="Kumulatif",INDEX('06_Target KPI'!$E$5:$P$100,MATCH(F145,'06_Target KPI'!$B$5:$B$100,0),MATCH(A145,'06_Target KPI'!$E$4:$P$4,0))*DAY(C145)/DAY(EOMONTH(C145,0)),INDEX('06_Target KPI'!$E$5:$P$100,MATCH(F145,'06_Target KPI'!$B$5:$B$100,0),MATCH(A145,'06_Target KPI'!$E$4:$P$4,0)))),0)</f>
        <v>0</v>
      </c>
      <c r="I145" s="24"/>
      <c r="J145" s="27">
        <f>IFERROR(MIN(IF(VLOOKUP(F145,'05_Master KPI'!$B$5:$G$100,5,FALSE)="Lower",H145/I145,I145/H145),1),0)</f>
        <v>0</v>
      </c>
      <c r="K145" s="26">
        <f>IFERROR(VLOOKUP(F145,'05_Master KPI'!$B$5:$G$100,4,FALSE),0)</f>
        <v>0</v>
      </c>
      <c r="L145" s="28">
        <f t="shared" si="2"/>
        <v>0</v>
      </c>
      <c r="M145" s="26" t="str">
        <f>IF(D145="","",IF(J145&gt;='13_Setting'!$H$7,"Tercapai",IF(J145&gt;='13_Setting'!$H$6,"On Track","Tertinggal")))</f>
        <v/>
      </c>
      <c r="N145" s="24"/>
    </row>
    <row r="146" spans="1:14">
      <c r="A146" s="24"/>
      <c r="B146" s="24"/>
      <c r="C146" s="25"/>
      <c r="D146" s="24"/>
      <c r="E146" s="26" t="str">
        <f>IFERROR(VLOOKUP(D146,'04_Master Karyawan'!$A$5:$F$50,2,FALSE),"")</f>
        <v/>
      </c>
      <c r="F146" s="24"/>
      <c r="G146" s="26" t="str">
        <f>IFERROR(VLOOKUP(F146,'05_Master KPI'!$B$5:$G$100,2,FALSE)&amp;" ("&amp;VLOOKUP(F146,'05_Master KPI'!$B$5:$G$100,3,FALSE)&amp;")","")</f>
        <v/>
      </c>
      <c r="H146" s="26">
        <f>IFERROR(IF(B146&lt;&gt;'06_Target KPI'!$B$3,0,IF(VLOOKUP(F146,'05_Master KPI'!$B$5:$G$100,6,FALSE)="Kumulatif",INDEX('06_Target KPI'!$E$5:$P$100,MATCH(F146,'06_Target KPI'!$B$5:$B$100,0),MATCH(A146,'06_Target KPI'!$E$4:$P$4,0))*DAY(C146)/DAY(EOMONTH(C146,0)),INDEX('06_Target KPI'!$E$5:$P$100,MATCH(F146,'06_Target KPI'!$B$5:$B$100,0),MATCH(A146,'06_Target KPI'!$E$4:$P$4,0)))),0)</f>
        <v>0</v>
      </c>
      <c r="I146" s="24"/>
      <c r="J146" s="27">
        <f>IFERROR(MIN(IF(VLOOKUP(F146,'05_Master KPI'!$B$5:$G$100,5,FALSE)="Lower",H146/I146,I146/H146),1),0)</f>
        <v>0</v>
      </c>
      <c r="K146" s="26">
        <f>IFERROR(VLOOKUP(F146,'05_Master KPI'!$B$5:$G$100,4,FALSE),0)</f>
        <v>0</v>
      </c>
      <c r="L146" s="28">
        <f t="shared" si="2"/>
        <v>0</v>
      </c>
      <c r="M146" s="26" t="str">
        <f>IF(D146="","",IF(J146&gt;='13_Setting'!$H$7,"Tercapai",IF(J146&gt;='13_Setting'!$H$6,"On Track","Tertinggal")))</f>
        <v/>
      </c>
      <c r="N146" s="24"/>
    </row>
    <row r="147" spans="1:14">
      <c r="A147" s="24"/>
      <c r="B147" s="24"/>
      <c r="C147" s="25"/>
      <c r="D147" s="24"/>
      <c r="E147" s="26" t="str">
        <f>IFERROR(VLOOKUP(D147,'04_Master Karyawan'!$A$5:$F$50,2,FALSE),"")</f>
        <v/>
      </c>
      <c r="F147" s="24"/>
      <c r="G147" s="26" t="str">
        <f>IFERROR(VLOOKUP(F147,'05_Master KPI'!$B$5:$G$100,2,FALSE)&amp;" ("&amp;VLOOKUP(F147,'05_Master KPI'!$B$5:$G$100,3,FALSE)&amp;")","")</f>
        <v/>
      </c>
      <c r="H147" s="26">
        <f>IFERROR(IF(B147&lt;&gt;'06_Target KPI'!$B$3,0,IF(VLOOKUP(F147,'05_Master KPI'!$B$5:$G$100,6,FALSE)="Kumulatif",INDEX('06_Target KPI'!$E$5:$P$100,MATCH(F147,'06_Target KPI'!$B$5:$B$100,0),MATCH(A147,'06_Target KPI'!$E$4:$P$4,0))*DAY(C147)/DAY(EOMONTH(C147,0)),INDEX('06_Target KPI'!$E$5:$P$100,MATCH(F147,'06_Target KPI'!$B$5:$B$100,0),MATCH(A147,'06_Target KPI'!$E$4:$P$4,0)))),0)</f>
        <v>0</v>
      </c>
      <c r="I147" s="24"/>
      <c r="J147" s="27">
        <f>IFERROR(MIN(IF(VLOOKUP(F147,'05_Master KPI'!$B$5:$G$100,5,FALSE)="Lower",H147/I147,I147/H147),1),0)</f>
        <v>0</v>
      </c>
      <c r="K147" s="26">
        <f>IFERROR(VLOOKUP(F147,'05_Master KPI'!$B$5:$G$100,4,FALSE),0)</f>
        <v>0</v>
      </c>
      <c r="L147" s="28">
        <f t="shared" si="2"/>
        <v>0</v>
      </c>
      <c r="M147" s="26" t="str">
        <f>IF(D147="","",IF(J147&gt;='13_Setting'!$H$7,"Tercapai",IF(J147&gt;='13_Setting'!$H$6,"On Track","Tertinggal")))</f>
        <v/>
      </c>
      <c r="N147" s="24"/>
    </row>
    <row r="148" spans="1:14">
      <c r="A148" s="24"/>
      <c r="B148" s="24"/>
      <c r="C148" s="25"/>
      <c r="D148" s="24"/>
      <c r="E148" s="26" t="str">
        <f>IFERROR(VLOOKUP(D148,'04_Master Karyawan'!$A$5:$F$50,2,FALSE),"")</f>
        <v/>
      </c>
      <c r="F148" s="24"/>
      <c r="G148" s="26" t="str">
        <f>IFERROR(VLOOKUP(F148,'05_Master KPI'!$B$5:$G$100,2,FALSE)&amp;" ("&amp;VLOOKUP(F148,'05_Master KPI'!$B$5:$G$100,3,FALSE)&amp;")","")</f>
        <v/>
      </c>
      <c r="H148" s="26">
        <f>IFERROR(IF(B148&lt;&gt;'06_Target KPI'!$B$3,0,IF(VLOOKUP(F148,'05_Master KPI'!$B$5:$G$100,6,FALSE)="Kumulatif",INDEX('06_Target KPI'!$E$5:$P$100,MATCH(F148,'06_Target KPI'!$B$5:$B$100,0),MATCH(A148,'06_Target KPI'!$E$4:$P$4,0))*DAY(C148)/DAY(EOMONTH(C148,0)),INDEX('06_Target KPI'!$E$5:$P$100,MATCH(F148,'06_Target KPI'!$B$5:$B$100,0),MATCH(A148,'06_Target KPI'!$E$4:$P$4,0)))),0)</f>
        <v>0</v>
      </c>
      <c r="I148" s="24"/>
      <c r="J148" s="27">
        <f>IFERROR(MIN(IF(VLOOKUP(F148,'05_Master KPI'!$B$5:$G$100,5,FALSE)="Lower",H148/I148,I148/H148),1),0)</f>
        <v>0</v>
      </c>
      <c r="K148" s="26">
        <f>IFERROR(VLOOKUP(F148,'05_Master KPI'!$B$5:$G$100,4,FALSE),0)</f>
        <v>0</v>
      </c>
      <c r="L148" s="28">
        <f t="shared" si="2"/>
        <v>0</v>
      </c>
      <c r="M148" s="26" t="str">
        <f>IF(D148="","",IF(J148&gt;='13_Setting'!$H$7,"Tercapai",IF(J148&gt;='13_Setting'!$H$6,"On Track","Tertinggal")))</f>
        <v/>
      </c>
      <c r="N148" s="24"/>
    </row>
    <row r="149" spans="1:14">
      <c r="A149" s="24"/>
      <c r="B149" s="24"/>
      <c r="C149" s="25"/>
      <c r="D149" s="24"/>
      <c r="E149" s="26" t="str">
        <f>IFERROR(VLOOKUP(D149,'04_Master Karyawan'!$A$5:$F$50,2,FALSE),"")</f>
        <v/>
      </c>
      <c r="F149" s="24"/>
      <c r="G149" s="26" t="str">
        <f>IFERROR(VLOOKUP(F149,'05_Master KPI'!$B$5:$G$100,2,FALSE)&amp;" ("&amp;VLOOKUP(F149,'05_Master KPI'!$B$5:$G$100,3,FALSE)&amp;")","")</f>
        <v/>
      </c>
      <c r="H149" s="26">
        <f>IFERROR(IF(B149&lt;&gt;'06_Target KPI'!$B$3,0,IF(VLOOKUP(F149,'05_Master KPI'!$B$5:$G$100,6,FALSE)="Kumulatif",INDEX('06_Target KPI'!$E$5:$P$100,MATCH(F149,'06_Target KPI'!$B$5:$B$100,0),MATCH(A149,'06_Target KPI'!$E$4:$P$4,0))*DAY(C149)/DAY(EOMONTH(C149,0)),INDEX('06_Target KPI'!$E$5:$P$100,MATCH(F149,'06_Target KPI'!$B$5:$B$100,0),MATCH(A149,'06_Target KPI'!$E$4:$P$4,0)))),0)</f>
        <v>0</v>
      </c>
      <c r="I149" s="24"/>
      <c r="J149" s="27">
        <f>IFERROR(MIN(IF(VLOOKUP(F149,'05_Master KPI'!$B$5:$G$100,5,FALSE)="Lower",H149/I149,I149/H149),1),0)</f>
        <v>0</v>
      </c>
      <c r="K149" s="26">
        <f>IFERROR(VLOOKUP(F149,'05_Master KPI'!$B$5:$G$100,4,FALSE),0)</f>
        <v>0</v>
      </c>
      <c r="L149" s="28">
        <f t="shared" si="2"/>
        <v>0</v>
      </c>
      <c r="M149" s="26" t="str">
        <f>IF(D149="","",IF(J149&gt;='13_Setting'!$H$7,"Tercapai",IF(J149&gt;='13_Setting'!$H$6,"On Track","Tertinggal")))</f>
        <v/>
      </c>
      <c r="N149" s="24"/>
    </row>
    <row r="150" spans="1:14">
      <c r="A150" s="24"/>
      <c r="B150" s="24"/>
      <c r="C150" s="25"/>
      <c r="D150" s="24"/>
      <c r="E150" s="26" t="str">
        <f>IFERROR(VLOOKUP(D150,'04_Master Karyawan'!$A$5:$F$50,2,FALSE),"")</f>
        <v/>
      </c>
      <c r="F150" s="24"/>
      <c r="G150" s="26" t="str">
        <f>IFERROR(VLOOKUP(F150,'05_Master KPI'!$B$5:$G$100,2,FALSE)&amp;" ("&amp;VLOOKUP(F150,'05_Master KPI'!$B$5:$G$100,3,FALSE)&amp;")","")</f>
        <v/>
      </c>
      <c r="H150" s="26">
        <f>IFERROR(IF(B150&lt;&gt;'06_Target KPI'!$B$3,0,IF(VLOOKUP(F150,'05_Master KPI'!$B$5:$G$100,6,FALSE)="Kumulatif",INDEX('06_Target KPI'!$E$5:$P$100,MATCH(F150,'06_Target KPI'!$B$5:$B$100,0),MATCH(A150,'06_Target KPI'!$E$4:$P$4,0))*DAY(C150)/DAY(EOMONTH(C150,0)),INDEX('06_Target KPI'!$E$5:$P$100,MATCH(F150,'06_Target KPI'!$B$5:$B$100,0),MATCH(A150,'06_Target KPI'!$E$4:$P$4,0)))),0)</f>
        <v>0</v>
      </c>
      <c r="I150" s="24"/>
      <c r="J150" s="27">
        <f>IFERROR(MIN(IF(VLOOKUP(F150,'05_Master KPI'!$B$5:$G$100,5,FALSE)="Lower",H150/I150,I150/H150),1),0)</f>
        <v>0</v>
      </c>
      <c r="K150" s="26">
        <f>IFERROR(VLOOKUP(F150,'05_Master KPI'!$B$5:$G$100,4,FALSE),0)</f>
        <v>0</v>
      </c>
      <c r="L150" s="28">
        <f t="shared" si="2"/>
        <v>0</v>
      </c>
      <c r="M150" s="26" t="str">
        <f>IF(D150="","",IF(J150&gt;='13_Setting'!$H$7,"Tercapai",IF(J150&gt;='13_Setting'!$H$6,"On Track","Tertinggal")))</f>
        <v/>
      </c>
      <c r="N150" s="24"/>
    </row>
    <row r="151" spans="1:14">
      <c r="A151" s="24"/>
      <c r="B151" s="24"/>
      <c r="C151" s="25"/>
      <c r="D151" s="24"/>
      <c r="E151" s="26" t="str">
        <f>IFERROR(VLOOKUP(D151,'04_Master Karyawan'!$A$5:$F$50,2,FALSE),"")</f>
        <v/>
      </c>
      <c r="F151" s="24"/>
      <c r="G151" s="26" t="str">
        <f>IFERROR(VLOOKUP(F151,'05_Master KPI'!$B$5:$G$100,2,FALSE)&amp;" ("&amp;VLOOKUP(F151,'05_Master KPI'!$B$5:$G$100,3,FALSE)&amp;")","")</f>
        <v/>
      </c>
      <c r="H151" s="26">
        <f>IFERROR(IF(B151&lt;&gt;'06_Target KPI'!$B$3,0,IF(VLOOKUP(F151,'05_Master KPI'!$B$5:$G$100,6,FALSE)="Kumulatif",INDEX('06_Target KPI'!$E$5:$P$100,MATCH(F151,'06_Target KPI'!$B$5:$B$100,0),MATCH(A151,'06_Target KPI'!$E$4:$P$4,0))*DAY(C151)/DAY(EOMONTH(C151,0)),INDEX('06_Target KPI'!$E$5:$P$100,MATCH(F151,'06_Target KPI'!$B$5:$B$100,0),MATCH(A151,'06_Target KPI'!$E$4:$P$4,0)))),0)</f>
        <v>0</v>
      </c>
      <c r="I151" s="24"/>
      <c r="J151" s="27">
        <f>IFERROR(MIN(IF(VLOOKUP(F151,'05_Master KPI'!$B$5:$G$100,5,FALSE)="Lower",H151/I151,I151/H151),1),0)</f>
        <v>0</v>
      </c>
      <c r="K151" s="26">
        <f>IFERROR(VLOOKUP(F151,'05_Master KPI'!$B$5:$G$100,4,FALSE),0)</f>
        <v>0</v>
      </c>
      <c r="L151" s="28">
        <f t="shared" si="2"/>
        <v>0</v>
      </c>
      <c r="M151" s="26" t="str">
        <f>IF(D151="","",IF(J151&gt;='13_Setting'!$H$7,"Tercapai",IF(J151&gt;='13_Setting'!$H$6,"On Track","Tertinggal")))</f>
        <v/>
      </c>
      <c r="N151" s="24"/>
    </row>
    <row r="152" spans="1:14">
      <c r="A152" s="24"/>
      <c r="B152" s="24"/>
      <c r="C152" s="25"/>
      <c r="D152" s="24"/>
      <c r="E152" s="26" t="str">
        <f>IFERROR(VLOOKUP(D152,'04_Master Karyawan'!$A$5:$F$50,2,FALSE),"")</f>
        <v/>
      </c>
      <c r="F152" s="24"/>
      <c r="G152" s="26" t="str">
        <f>IFERROR(VLOOKUP(F152,'05_Master KPI'!$B$5:$G$100,2,FALSE)&amp;" ("&amp;VLOOKUP(F152,'05_Master KPI'!$B$5:$G$100,3,FALSE)&amp;")","")</f>
        <v/>
      </c>
      <c r="H152" s="26">
        <f>IFERROR(IF(B152&lt;&gt;'06_Target KPI'!$B$3,0,IF(VLOOKUP(F152,'05_Master KPI'!$B$5:$G$100,6,FALSE)="Kumulatif",INDEX('06_Target KPI'!$E$5:$P$100,MATCH(F152,'06_Target KPI'!$B$5:$B$100,0),MATCH(A152,'06_Target KPI'!$E$4:$P$4,0))*DAY(C152)/DAY(EOMONTH(C152,0)),INDEX('06_Target KPI'!$E$5:$P$100,MATCH(F152,'06_Target KPI'!$B$5:$B$100,0),MATCH(A152,'06_Target KPI'!$E$4:$P$4,0)))),0)</f>
        <v>0</v>
      </c>
      <c r="I152" s="24"/>
      <c r="J152" s="27">
        <f>IFERROR(MIN(IF(VLOOKUP(F152,'05_Master KPI'!$B$5:$G$100,5,FALSE)="Lower",H152/I152,I152/H152),1),0)</f>
        <v>0</v>
      </c>
      <c r="K152" s="26">
        <f>IFERROR(VLOOKUP(F152,'05_Master KPI'!$B$5:$G$100,4,FALSE),0)</f>
        <v>0</v>
      </c>
      <c r="L152" s="28">
        <f t="shared" si="2"/>
        <v>0</v>
      </c>
      <c r="M152" s="26" t="str">
        <f>IF(D152="","",IF(J152&gt;='13_Setting'!$H$7,"Tercapai",IF(J152&gt;='13_Setting'!$H$6,"On Track","Tertinggal")))</f>
        <v/>
      </c>
      <c r="N152" s="24"/>
    </row>
    <row r="153" spans="1:14">
      <c r="A153" s="24"/>
      <c r="B153" s="24"/>
      <c r="C153" s="25"/>
      <c r="D153" s="24"/>
      <c r="E153" s="26" t="str">
        <f>IFERROR(VLOOKUP(D153,'04_Master Karyawan'!$A$5:$F$50,2,FALSE),"")</f>
        <v/>
      </c>
      <c r="F153" s="24"/>
      <c r="G153" s="26" t="str">
        <f>IFERROR(VLOOKUP(F153,'05_Master KPI'!$B$5:$G$100,2,FALSE)&amp;" ("&amp;VLOOKUP(F153,'05_Master KPI'!$B$5:$G$100,3,FALSE)&amp;")","")</f>
        <v/>
      </c>
      <c r="H153" s="26">
        <f>IFERROR(IF(B153&lt;&gt;'06_Target KPI'!$B$3,0,IF(VLOOKUP(F153,'05_Master KPI'!$B$5:$G$100,6,FALSE)="Kumulatif",INDEX('06_Target KPI'!$E$5:$P$100,MATCH(F153,'06_Target KPI'!$B$5:$B$100,0),MATCH(A153,'06_Target KPI'!$E$4:$P$4,0))*DAY(C153)/DAY(EOMONTH(C153,0)),INDEX('06_Target KPI'!$E$5:$P$100,MATCH(F153,'06_Target KPI'!$B$5:$B$100,0),MATCH(A153,'06_Target KPI'!$E$4:$P$4,0)))),0)</f>
        <v>0</v>
      </c>
      <c r="I153" s="24"/>
      <c r="J153" s="27">
        <f>IFERROR(MIN(IF(VLOOKUP(F153,'05_Master KPI'!$B$5:$G$100,5,FALSE)="Lower",H153/I153,I153/H153),1),0)</f>
        <v>0</v>
      </c>
      <c r="K153" s="26">
        <f>IFERROR(VLOOKUP(F153,'05_Master KPI'!$B$5:$G$100,4,FALSE),0)</f>
        <v>0</v>
      </c>
      <c r="L153" s="28">
        <f t="shared" si="2"/>
        <v>0</v>
      </c>
      <c r="M153" s="26" t="str">
        <f>IF(D153="","",IF(J153&gt;='13_Setting'!$H$7,"Tercapai",IF(J153&gt;='13_Setting'!$H$6,"On Track","Tertinggal")))</f>
        <v/>
      </c>
      <c r="N153" s="24"/>
    </row>
    <row r="154" spans="1:14">
      <c r="A154" s="24"/>
      <c r="B154" s="24"/>
      <c r="C154" s="25"/>
      <c r="D154" s="24"/>
      <c r="E154" s="26" t="str">
        <f>IFERROR(VLOOKUP(D154,'04_Master Karyawan'!$A$5:$F$50,2,FALSE),"")</f>
        <v/>
      </c>
      <c r="F154" s="24"/>
      <c r="G154" s="26" t="str">
        <f>IFERROR(VLOOKUP(F154,'05_Master KPI'!$B$5:$G$100,2,FALSE)&amp;" ("&amp;VLOOKUP(F154,'05_Master KPI'!$B$5:$G$100,3,FALSE)&amp;")","")</f>
        <v/>
      </c>
      <c r="H154" s="26">
        <f>IFERROR(IF(B154&lt;&gt;'06_Target KPI'!$B$3,0,IF(VLOOKUP(F154,'05_Master KPI'!$B$5:$G$100,6,FALSE)="Kumulatif",INDEX('06_Target KPI'!$E$5:$P$100,MATCH(F154,'06_Target KPI'!$B$5:$B$100,0),MATCH(A154,'06_Target KPI'!$E$4:$P$4,0))*DAY(C154)/DAY(EOMONTH(C154,0)),INDEX('06_Target KPI'!$E$5:$P$100,MATCH(F154,'06_Target KPI'!$B$5:$B$100,0),MATCH(A154,'06_Target KPI'!$E$4:$P$4,0)))),0)</f>
        <v>0</v>
      </c>
      <c r="I154" s="24"/>
      <c r="J154" s="27">
        <f>IFERROR(MIN(IF(VLOOKUP(F154,'05_Master KPI'!$B$5:$G$100,5,FALSE)="Lower",H154/I154,I154/H154),1),0)</f>
        <v>0</v>
      </c>
      <c r="K154" s="26">
        <f>IFERROR(VLOOKUP(F154,'05_Master KPI'!$B$5:$G$100,4,FALSE),0)</f>
        <v>0</v>
      </c>
      <c r="L154" s="28">
        <f t="shared" si="2"/>
        <v>0</v>
      </c>
      <c r="M154" s="26" t="str">
        <f>IF(D154="","",IF(J154&gt;='13_Setting'!$H$7,"Tercapai",IF(J154&gt;='13_Setting'!$H$6,"On Track","Tertinggal")))</f>
        <v/>
      </c>
      <c r="N154" s="24"/>
    </row>
    <row r="155" spans="1:14">
      <c r="A155" s="24"/>
      <c r="B155" s="24"/>
      <c r="C155" s="25"/>
      <c r="D155" s="24"/>
      <c r="E155" s="26" t="str">
        <f>IFERROR(VLOOKUP(D155,'04_Master Karyawan'!$A$5:$F$50,2,FALSE),"")</f>
        <v/>
      </c>
      <c r="F155" s="24"/>
      <c r="G155" s="26" t="str">
        <f>IFERROR(VLOOKUP(F155,'05_Master KPI'!$B$5:$G$100,2,FALSE)&amp;" ("&amp;VLOOKUP(F155,'05_Master KPI'!$B$5:$G$100,3,FALSE)&amp;")","")</f>
        <v/>
      </c>
      <c r="H155" s="26">
        <f>IFERROR(IF(B155&lt;&gt;'06_Target KPI'!$B$3,0,IF(VLOOKUP(F155,'05_Master KPI'!$B$5:$G$100,6,FALSE)="Kumulatif",INDEX('06_Target KPI'!$E$5:$P$100,MATCH(F155,'06_Target KPI'!$B$5:$B$100,0),MATCH(A155,'06_Target KPI'!$E$4:$P$4,0))*DAY(C155)/DAY(EOMONTH(C155,0)),INDEX('06_Target KPI'!$E$5:$P$100,MATCH(F155,'06_Target KPI'!$B$5:$B$100,0),MATCH(A155,'06_Target KPI'!$E$4:$P$4,0)))),0)</f>
        <v>0</v>
      </c>
      <c r="I155" s="24"/>
      <c r="J155" s="27">
        <f>IFERROR(MIN(IF(VLOOKUP(F155,'05_Master KPI'!$B$5:$G$100,5,FALSE)="Lower",H155/I155,I155/H155),1),0)</f>
        <v>0</v>
      </c>
      <c r="K155" s="26">
        <f>IFERROR(VLOOKUP(F155,'05_Master KPI'!$B$5:$G$100,4,FALSE),0)</f>
        <v>0</v>
      </c>
      <c r="L155" s="28">
        <f t="shared" si="2"/>
        <v>0</v>
      </c>
      <c r="M155" s="26" t="str">
        <f>IF(D155="","",IF(J155&gt;='13_Setting'!$H$7,"Tercapai",IF(J155&gt;='13_Setting'!$H$6,"On Track","Tertinggal")))</f>
        <v/>
      </c>
      <c r="N155" s="24"/>
    </row>
    <row r="156" spans="1:14">
      <c r="A156" s="24"/>
      <c r="B156" s="24"/>
      <c r="C156" s="25"/>
      <c r="D156" s="24"/>
      <c r="E156" s="26" t="str">
        <f>IFERROR(VLOOKUP(D156,'04_Master Karyawan'!$A$5:$F$50,2,FALSE),"")</f>
        <v/>
      </c>
      <c r="F156" s="24"/>
      <c r="G156" s="26" t="str">
        <f>IFERROR(VLOOKUP(F156,'05_Master KPI'!$B$5:$G$100,2,FALSE)&amp;" ("&amp;VLOOKUP(F156,'05_Master KPI'!$B$5:$G$100,3,FALSE)&amp;")","")</f>
        <v/>
      </c>
      <c r="H156" s="26">
        <f>IFERROR(IF(B156&lt;&gt;'06_Target KPI'!$B$3,0,IF(VLOOKUP(F156,'05_Master KPI'!$B$5:$G$100,6,FALSE)="Kumulatif",INDEX('06_Target KPI'!$E$5:$P$100,MATCH(F156,'06_Target KPI'!$B$5:$B$100,0),MATCH(A156,'06_Target KPI'!$E$4:$P$4,0))*DAY(C156)/DAY(EOMONTH(C156,0)),INDEX('06_Target KPI'!$E$5:$P$100,MATCH(F156,'06_Target KPI'!$B$5:$B$100,0),MATCH(A156,'06_Target KPI'!$E$4:$P$4,0)))),0)</f>
        <v>0</v>
      </c>
      <c r="I156" s="24"/>
      <c r="J156" s="27">
        <f>IFERROR(MIN(IF(VLOOKUP(F156,'05_Master KPI'!$B$5:$G$100,5,FALSE)="Lower",H156/I156,I156/H156),1),0)</f>
        <v>0</v>
      </c>
      <c r="K156" s="26">
        <f>IFERROR(VLOOKUP(F156,'05_Master KPI'!$B$5:$G$100,4,FALSE),0)</f>
        <v>0</v>
      </c>
      <c r="L156" s="28">
        <f t="shared" si="2"/>
        <v>0</v>
      </c>
      <c r="M156" s="26" t="str">
        <f>IF(D156="","",IF(J156&gt;='13_Setting'!$H$7,"Tercapai",IF(J156&gt;='13_Setting'!$H$6,"On Track","Tertinggal")))</f>
        <v/>
      </c>
      <c r="N156" s="24"/>
    </row>
    <row r="157" spans="1:14">
      <c r="A157" s="24"/>
      <c r="B157" s="24"/>
      <c r="C157" s="25"/>
      <c r="D157" s="24"/>
      <c r="E157" s="26" t="str">
        <f>IFERROR(VLOOKUP(D157,'04_Master Karyawan'!$A$5:$F$50,2,FALSE),"")</f>
        <v/>
      </c>
      <c r="F157" s="24"/>
      <c r="G157" s="26" t="str">
        <f>IFERROR(VLOOKUP(F157,'05_Master KPI'!$B$5:$G$100,2,FALSE)&amp;" ("&amp;VLOOKUP(F157,'05_Master KPI'!$B$5:$G$100,3,FALSE)&amp;")","")</f>
        <v/>
      </c>
      <c r="H157" s="26">
        <f>IFERROR(IF(B157&lt;&gt;'06_Target KPI'!$B$3,0,IF(VLOOKUP(F157,'05_Master KPI'!$B$5:$G$100,6,FALSE)="Kumulatif",INDEX('06_Target KPI'!$E$5:$P$100,MATCH(F157,'06_Target KPI'!$B$5:$B$100,0),MATCH(A157,'06_Target KPI'!$E$4:$P$4,0))*DAY(C157)/DAY(EOMONTH(C157,0)),INDEX('06_Target KPI'!$E$5:$P$100,MATCH(F157,'06_Target KPI'!$B$5:$B$100,0),MATCH(A157,'06_Target KPI'!$E$4:$P$4,0)))),0)</f>
        <v>0</v>
      </c>
      <c r="I157" s="24"/>
      <c r="J157" s="27">
        <f>IFERROR(MIN(IF(VLOOKUP(F157,'05_Master KPI'!$B$5:$G$100,5,FALSE)="Lower",H157/I157,I157/H157),1),0)</f>
        <v>0</v>
      </c>
      <c r="K157" s="26">
        <f>IFERROR(VLOOKUP(F157,'05_Master KPI'!$B$5:$G$100,4,FALSE),0)</f>
        <v>0</v>
      </c>
      <c r="L157" s="28">
        <f t="shared" si="2"/>
        <v>0</v>
      </c>
      <c r="M157" s="26" t="str">
        <f>IF(D157="","",IF(J157&gt;='13_Setting'!$H$7,"Tercapai",IF(J157&gt;='13_Setting'!$H$6,"On Track","Tertinggal")))</f>
        <v/>
      </c>
      <c r="N157" s="24"/>
    </row>
    <row r="158" spans="1:14">
      <c r="A158" s="24"/>
      <c r="B158" s="24"/>
      <c r="C158" s="25"/>
      <c r="D158" s="24"/>
      <c r="E158" s="26" t="str">
        <f>IFERROR(VLOOKUP(D158,'04_Master Karyawan'!$A$5:$F$50,2,FALSE),"")</f>
        <v/>
      </c>
      <c r="F158" s="24"/>
      <c r="G158" s="26" t="str">
        <f>IFERROR(VLOOKUP(F158,'05_Master KPI'!$B$5:$G$100,2,FALSE)&amp;" ("&amp;VLOOKUP(F158,'05_Master KPI'!$B$5:$G$100,3,FALSE)&amp;")","")</f>
        <v/>
      </c>
      <c r="H158" s="26">
        <f>IFERROR(IF(B158&lt;&gt;'06_Target KPI'!$B$3,0,IF(VLOOKUP(F158,'05_Master KPI'!$B$5:$G$100,6,FALSE)="Kumulatif",INDEX('06_Target KPI'!$E$5:$P$100,MATCH(F158,'06_Target KPI'!$B$5:$B$100,0),MATCH(A158,'06_Target KPI'!$E$4:$P$4,0))*DAY(C158)/DAY(EOMONTH(C158,0)),INDEX('06_Target KPI'!$E$5:$P$100,MATCH(F158,'06_Target KPI'!$B$5:$B$100,0),MATCH(A158,'06_Target KPI'!$E$4:$P$4,0)))),0)</f>
        <v>0</v>
      </c>
      <c r="I158" s="24"/>
      <c r="J158" s="27">
        <f>IFERROR(MIN(IF(VLOOKUP(F158,'05_Master KPI'!$B$5:$G$100,5,FALSE)="Lower",H158/I158,I158/H158),1),0)</f>
        <v>0</v>
      </c>
      <c r="K158" s="26">
        <f>IFERROR(VLOOKUP(F158,'05_Master KPI'!$B$5:$G$100,4,FALSE),0)</f>
        <v>0</v>
      </c>
      <c r="L158" s="28">
        <f t="shared" si="2"/>
        <v>0</v>
      </c>
      <c r="M158" s="26" t="str">
        <f>IF(D158="","",IF(J158&gt;='13_Setting'!$H$7,"Tercapai",IF(J158&gt;='13_Setting'!$H$6,"On Track","Tertinggal")))</f>
        <v/>
      </c>
      <c r="N158" s="24"/>
    </row>
    <row r="159" spans="1:14">
      <c r="A159" s="24"/>
      <c r="B159" s="24"/>
      <c r="C159" s="25"/>
      <c r="D159" s="24"/>
      <c r="E159" s="26" t="str">
        <f>IFERROR(VLOOKUP(D159,'04_Master Karyawan'!$A$5:$F$50,2,FALSE),"")</f>
        <v/>
      </c>
      <c r="F159" s="24"/>
      <c r="G159" s="26" t="str">
        <f>IFERROR(VLOOKUP(F159,'05_Master KPI'!$B$5:$G$100,2,FALSE)&amp;" ("&amp;VLOOKUP(F159,'05_Master KPI'!$B$5:$G$100,3,FALSE)&amp;")","")</f>
        <v/>
      </c>
      <c r="H159" s="26">
        <f>IFERROR(IF(B159&lt;&gt;'06_Target KPI'!$B$3,0,IF(VLOOKUP(F159,'05_Master KPI'!$B$5:$G$100,6,FALSE)="Kumulatif",INDEX('06_Target KPI'!$E$5:$P$100,MATCH(F159,'06_Target KPI'!$B$5:$B$100,0),MATCH(A159,'06_Target KPI'!$E$4:$P$4,0))*DAY(C159)/DAY(EOMONTH(C159,0)),INDEX('06_Target KPI'!$E$5:$P$100,MATCH(F159,'06_Target KPI'!$B$5:$B$100,0),MATCH(A159,'06_Target KPI'!$E$4:$P$4,0)))),0)</f>
        <v>0</v>
      </c>
      <c r="I159" s="24"/>
      <c r="J159" s="27">
        <f>IFERROR(MIN(IF(VLOOKUP(F159,'05_Master KPI'!$B$5:$G$100,5,FALSE)="Lower",H159/I159,I159/H159),1),0)</f>
        <v>0</v>
      </c>
      <c r="K159" s="26">
        <f>IFERROR(VLOOKUP(F159,'05_Master KPI'!$B$5:$G$100,4,FALSE),0)</f>
        <v>0</v>
      </c>
      <c r="L159" s="28">
        <f t="shared" si="2"/>
        <v>0</v>
      </c>
      <c r="M159" s="26" t="str">
        <f>IF(D159="","",IF(J159&gt;='13_Setting'!$H$7,"Tercapai",IF(J159&gt;='13_Setting'!$H$6,"On Track","Tertinggal")))</f>
        <v/>
      </c>
      <c r="N159" s="24"/>
    </row>
    <row r="160" spans="1:14">
      <c r="A160" s="24"/>
      <c r="B160" s="24"/>
      <c r="C160" s="25"/>
      <c r="D160" s="24"/>
      <c r="E160" s="26" t="str">
        <f>IFERROR(VLOOKUP(D160,'04_Master Karyawan'!$A$5:$F$50,2,FALSE),"")</f>
        <v/>
      </c>
      <c r="F160" s="24"/>
      <c r="G160" s="26" t="str">
        <f>IFERROR(VLOOKUP(F160,'05_Master KPI'!$B$5:$G$100,2,FALSE)&amp;" ("&amp;VLOOKUP(F160,'05_Master KPI'!$B$5:$G$100,3,FALSE)&amp;")","")</f>
        <v/>
      </c>
      <c r="H160" s="26">
        <f>IFERROR(IF(B160&lt;&gt;'06_Target KPI'!$B$3,0,IF(VLOOKUP(F160,'05_Master KPI'!$B$5:$G$100,6,FALSE)="Kumulatif",INDEX('06_Target KPI'!$E$5:$P$100,MATCH(F160,'06_Target KPI'!$B$5:$B$100,0),MATCH(A160,'06_Target KPI'!$E$4:$P$4,0))*DAY(C160)/DAY(EOMONTH(C160,0)),INDEX('06_Target KPI'!$E$5:$P$100,MATCH(F160,'06_Target KPI'!$B$5:$B$100,0),MATCH(A160,'06_Target KPI'!$E$4:$P$4,0)))),0)</f>
        <v>0</v>
      </c>
      <c r="I160" s="24"/>
      <c r="J160" s="27">
        <f>IFERROR(MIN(IF(VLOOKUP(F160,'05_Master KPI'!$B$5:$G$100,5,FALSE)="Lower",H160/I160,I160/H160),1),0)</f>
        <v>0</v>
      </c>
      <c r="K160" s="26">
        <f>IFERROR(VLOOKUP(F160,'05_Master KPI'!$B$5:$G$100,4,FALSE),0)</f>
        <v>0</v>
      </c>
      <c r="L160" s="28">
        <f t="shared" si="2"/>
        <v>0</v>
      </c>
      <c r="M160" s="26" t="str">
        <f>IF(D160="","",IF(J160&gt;='13_Setting'!$H$7,"Tercapai",IF(J160&gt;='13_Setting'!$H$6,"On Track","Tertinggal")))</f>
        <v/>
      </c>
      <c r="N160" s="24"/>
    </row>
    <row r="161" spans="1:14">
      <c r="A161" s="24"/>
      <c r="B161" s="24"/>
      <c r="C161" s="25"/>
      <c r="D161" s="24"/>
      <c r="E161" s="26" t="str">
        <f>IFERROR(VLOOKUP(D161,'04_Master Karyawan'!$A$5:$F$50,2,FALSE),"")</f>
        <v/>
      </c>
      <c r="F161" s="24"/>
      <c r="G161" s="26" t="str">
        <f>IFERROR(VLOOKUP(F161,'05_Master KPI'!$B$5:$G$100,2,FALSE)&amp;" ("&amp;VLOOKUP(F161,'05_Master KPI'!$B$5:$G$100,3,FALSE)&amp;")","")</f>
        <v/>
      </c>
      <c r="H161" s="26">
        <f>IFERROR(IF(B161&lt;&gt;'06_Target KPI'!$B$3,0,IF(VLOOKUP(F161,'05_Master KPI'!$B$5:$G$100,6,FALSE)="Kumulatif",INDEX('06_Target KPI'!$E$5:$P$100,MATCH(F161,'06_Target KPI'!$B$5:$B$100,0),MATCH(A161,'06_Target KPI'!$E$4:$P$4,0))*DAY(C161)/DAY(EOMONTH(C161,0)),INDEX('06_Target KPI'!$E$5:$P$100,MATCH(F161,'06_Target KPI'!$B$5:$B$100,0),MATCH(A161,'06_Target KPI'!$E$4:$P$4,0)))),0)</f>
        <v>0</v>
      </c>
      <c r="I161" s="24"/>
      <c r="J161" s="27">
        <f>IFERROR(MIN(IF(VLOOKUP(F161,'05_Master KPI'!$B$5:$G$100,5,FALSE)="Lower",H161/I161,I161/H161),1),0)</f>
        <v>0</v>
      </c>
      <c r="K161" s="26">
        <f>IFERROR(VLOOKUP(F161,'05_Master KPI'!$B$5:$G$100,4,FALSE),0)</f>
        <v>0</v>
      </c>
      <c r="L161" s="28">
        <f t="shared" si="2"/>
        <v>0</v>
      </c>
      <c r="M161" s="26" t="str">
        <f>IF(D161="","",IF(J161&gt;='13_Setting'!$H$7,"Tercapai",IF(J161&gt;='13_Setting'!$H$6,"On Track","Tertinggal")))</f>
        <v/>
      </c>
      <c r="N161" s="24"/>
    </row>
    <row r="162" spans="1:14">
      <c r="A162" s="24"/>
      <c r="B162" s="24"/>
      <c r="C162" s="25"/>
      <c r="D162" s="24"/>
      <c r="E162" s="26" t="str">
        <f>IFERROR(VLOOKUP(D162,'04_Master Karyawan'!$A$5:$F$50,2,FALSE),"")</f>
        <v/>
      </c>
      <c r="F162" s="24"/>
      <c r="G162" s="26" t="str">
        <f>IFERROR(VLOOKUP(F162,'05_Master KPI'!$B$5:$G$100,2,FALSE)&amp;" ("&amp;VLOOKUP(F162,'05_Master KPI'!$B$5:$G$100,3,FALSE)&amp;")","")</f>
        <v/>
      </c>
      <c r="H162" s="26">
        <f>IFERROR(IF(B162&lt;&gt;'06_Target KPI'!$B$3,0,IF(VLOOKUP(F162,'05_Master KPI'!$B$5:$G$100,6,FALSE)="Kumulatif",INDEX('06_Target KPI'!$E$5:$P$100,MATCH(F162,'06_Target KPI'!$B$5:$B$100,0),MATCH(A162,'06_Target KPI'!$E$4:$P$4,0))*DAY(C162)/DAY(EOMONTH(C162,0)),INDEX('06_Target KPI'!$E$5:$P$100,MATCH(F162,'06_Target KPI'!$B$5:$B$100,0),MATCH(A162,'06_Target KPI'!$E$4:$P$4,0)))),0)</f>
        <v>0</v>
      </c>
      <c r="I162" s="24"/>
      <c r="J162" s="27">
        <f>IFERROR(MIN(IF(VLOOKUP(F162,'05_Master KPI'!$B$5:$G$100,5,FALSE)="Lower",H162/I162,I162/H162),1),0)</f>
        <v>0</v>
      </c>
      <c r="K162" s="26">
        <f>IFERROR(VLOOKUP(F162,'05_Master KPI'!$B$5:$G$100,4,FALSE),0)</f>
        <v>0</v>
      </c>
      <c r="L162" s="28">
        <f t="shared" si="2"/>
        <v>0</v>
      </c>
      <c r="M162" s="26" t="str">
        <f>IF(D162="","",IF(J162&gt;='13_Setting'!$H$7,"Tercapai",IF(J162&gt;='13_Setting'!$H$6,"On Track","Tertinggal")))</f>
        <v/>
      </c>
      <c r="N162" s="24"/>
    </row>
    <row r="163" spans="1:14">
      <c r="A163" s="24"/>
      <c r="B163" s="24"/>
      <c r="C163" s="25"/>
      <c r="D163" s="24"/>
      <c r="E163" s="26" t="str">
        <f>IFERROR(VLOOKUP(D163,'04_Master Karyawan'!$A$5:$F$50,2,FALSE),"")</f>
        <v/>
      </c>
      <c r="F163" s="24"/>
      <c r="G163" s="26" t="str">
        <f>IFERROR(VLOOKUP(F163,'05_Master KPI'!$B$5:$G$100,2,FALSE)&amp;" ("&amp;VLOOKUP(F163,'05_Master KPI'!$B$5:$G$100,3,FALSE)&amp;")","")</f>
        <v/>
      </c>
      <c r="H163" s="26">
        <f>IFERROR(IF(B163&lt;&gt;'06_Target KPI'!$B$3,0,IF(VLOOKUP(F163,'05_Master KPI'!$B$5:$G$100,6,FALSE)="Kumulatif",INDEX('06_Target KPI'!$E$5:$P$100,MATCH(F163,'06_Target KPI'!$B$5:$B$100,0),MATCH(A163,'06_Target KPI'!$E$4:$P$4,0))*DAY(C163)/DAY(EOMONTH(C163,0)),INDEX('06_Target KPI'!$E$5:$P$100,MATCH(F163,'06_Target KPI'!$B$5:$B$100,0),MATCH(A163,'06_Target KPI'!$E$4:$P$4,0)))),0)</f>
        <v>0</v>
      </c>
      <c r="I163" s="24"/>
      <c r="J163" s="27">
        <f>IFERROR(MIN(IF(VLOOKUP(F163,'05_Master KPI'!$B$5:$G$100,5,FALSE)="Lower",H163/I163,I163/H163),1),0)</f>
        <v>0</v>
      </c>
      <c r="K163" s="26">
        <f>IFERROR(VLOOKUP(F163,'05_Master KPI'!$B$5:$G$100,4,FALSE),0)</f>
        <v>0</v>
      </c>
      <c r="L163" s="28">
        <f t="shared" si="2"/>
        <v>0</v>
      </c>
      <c r="M163" s="26" t="str">
        <f>IF(D163="","",IF(J163&gt;='13_Setting'!$H$7,"Tercapai",IF(J163&gt;='13_Setting'!$H$6,"On Track","Tertinggal")))</f>
        <v/>
      </c>
      <c r="N163" s="24"/>
    </row>
    <row r="164" spans="1:14">
      <c r="A164" s="24"/>
      <c r="B164" s="24"/>
      <c r="C164" s="25"/>
      <c r="D164" s="24"/>
      <c r="E164" s="26" t="str">
        <f>IFERROR(VLOOKUP(D164,'04_Master Karyawan'!$A$5:$F$50,2,FALSE),"")</f>
        <v/>
      </c>
      <c r="F164" s="24"/>
      <c r="G164" s="26" t="str">
        <f>IFERROR(VLOOKUP(F164,'05_Master KPI'!$B$5:$G$100,2,FALSE)&amp;" ("&amp;VLOOKUP(F164,'05_Master KPI'!$B$5:$G$100,3,FALSE)&amp;")","")</f>
        <v/>
      </c>
      <c r="H164" s="26">
        <f>IFERROR(IF(B164&lt;&gt;'06_Target KPI'!$B$3,0,IF(VLOOKUP(F164,'05_Master KPI'!$B$5:$G$100,6,FALSE)="Kumulatif",INDEX('06_Target KPI'!$E$5:$P$100,MATCH(F164,'06_Target KPI'!$B$5:$B$100,0),MATCH(A164,'06_Target KPI'!$E$4:$P$4,0))*DAY(C164)/DAY(EOMONTH(C164,0)),INDEX('06_Target KPI'!$E$5:$P$100,MATCH(F164,'06_Target KPI'!$B$5:$B$100,0),MATCH(A164,'06_Target KPI'!$E$4:$P$4,0)))),0)</f>
        <v>0</v>
      </c>
      <c r="I164" s="24"/>
      <c r="J164" s="27">
        <f>IFERROR(MIN(IF(VLOOKUP(F164,'05_Master KPI'!$B$5:$G$100,5,FALSE)="Lower",H164/I164,I164/H164),1),0)</f>
        <v>0</v>
      </c>
      <c r="K164" s="26">
        <f>IFERROR(VLOOKUP(F164,'05_Master KPI'!$B$5:$G$100,4,FALSE),0)</f>
        <v>0</v>
      </c>
      <c r="L164" s="28">
        <f t="shared" si="2"/>
        <v>0</v>
      </c>
      <c r="M164" s="26" t="str">
        <f>IF(D164="","",IF(J164&gt;='13_Setting'!$H$7,"Tercapai",IF(J164&gt;='13_Setting'!$H$6,"On Track","Tertinggal")))</f>
        <v/>
      </c>
      <c r="N164" s="24"/>
    </row>
    <row r="165" spans="1:14">
      <c r="A165" s="24"/>
      <c r="B165" s="24"/>
      <c r="C165" s="25"/>
      <c r="D165" s="24"/>
      <c r="E165" s="26" t="str">
        <f>IFERROR(VLOOKUP(D165,'04_Master Karyawan'!$A$5:$F$50,2,FALSE),"")</f>
        <v/>
      </c>
      <c r="F165" s="24"/>
      <c r="G165" s="26" t="str">
        <f>IFERROR(VLOOKUP(F165,'05_Master KPI'!$B$5:$G$100,2,FALSE)&amp;" ("&amp;VLOOKUP(F165,'05_Master KPI'!$B$5:$G$100,3,FALSE)&amp;")","")</f>
        <v/>
      </c>
      <c r="H165" s="26">
        <f>IFERROR(IF(B165&lt;&gt;'06_Target KPI'!$B$3,0,IF(VLOOKUP(F165,'05_Master KPI'!$B$5:$G$100,6,FALSE)="Kumulatif",INDEX('06_Target KPI'!$E$5:$P$100,MATCH(F165,'06_Target KPI'!$B$5:$B$100,0),MATCH(A165,'06_Target KPI'!$E$4:$P$4,0))*DAY(C165)/DAY(EOMONTH(C165,0)),INDEX('06_Target KPI'!$E$5:$P$100,MATCH(F165,'06_Target KPI'!$B$5:$B$100,0),MATCH(A165,'06_Target KPI'!$E$4:$P$4,0)))),0)</f>
        <v>0</v>
      </c>
      <c r="I165" s="24"/>
      <c r="J165" s="27">
        <f>IFERROR(MIN(IF(VLOOKUP(F165,'05_Master KPI'!$B$5:$G$100,5,FALSE)="Lower",H165/I165,I165/H165),1),0)</f>
        <v>0</v>
      </c>
      <c r="K165" s="26">
        <f>IFERROR(VLOOKUP(F165,'05_Master KPI'!$B$5:$G$100,4,FALSE),0)</f>
        <v>0</v>
      </c>
      <c r="L165" s="28">
        <f t="shared" si="2"/>
        <v>0</v>
      </c>
      <c r="M165" s="26" t="str">
        <f>IF(D165="","",IF(J165&gt;='13_Setting'!$H$7,"Tercapai",IF(J165&gt;='13_Setting'!$H$6,"On Track","Tertinggal")))</f>
        <v/>
      </c>
      <c r="N165" s="24"/>
    </row>
    <row r="166" spans="1:14">
      <c r="A166" s="24"/>
      <c r="B166" s="24"/>
      <c r="C166" s="25"/>
      <c r="D166" s="24"/>
      <c r="E166" s="26" t="str">
        <f>IFERROR(VLOOKUP(D166,'04_Master Karyawan'!$A$5:$F$50,2,FALSE),"")</f>
        <v/>
      </c>
      <c r="F166" s="24"/>
      <c r="G166" s="26" t="str">
        <f>IFERROR(VLOOKUP(F166,'05_Master KPI'!$B$5:$G$100,2,FALSE)&amp;" ("&amp;VLOOKUP(F166,'05_Master KPI'!$B$5:$G$100,3,FALSE)&amp;")","")</f>
        <v/>
      </c>
      <c r="H166" s="26">
        <f>IFERROR(IF(B166&lt;&gt;'06_Target KPI'!$B$3,0,IF(VLOOKUP(F166,'05_Master KPI'!$B$5:$G$100,6,FALSE)="Kumulatif",INDEX('06_Target KPI'!$E$5:$P$100,MATCH(F166,'06_Target KPI'!$B$5:$B$100,0),MATCH(A166,'06_Target KPI'!$E$4:$P$4,0))*DAY(C166)/DAY(EOMONTH(C166,0)),INDEX('06_Target KPI'!$E$5:$P$100,MATCH(F166,'06_Target KPI'!$B$5:$B$100,0),MATCH(A166,'06_Target KPI'!$E$4:$P$4,0)))),0)</f>
        <v>0</v>
      </c>
      <c r="I166" s="24"/>
      <c r="J166" s="27">
        <f>IFERROR(MIN(IF(VLOOKUP(F166,'05_Master KPI'!$B$5:$G$100,5,FALSE)="Lower",H166/I166,I166/H166),1),0)</f>
        <v>0</v>
      </c>
      <c r="K166" s="26">
        <f>IFERROR(VLOOKUP(F166,'05_Master KPI'!$B$5:$G$100,4,FALSE),0)</f>
        <v>0</v>
      </c>
      <c r="L166" s="28">
        <f t="shared" si="2"/>
        <v>0</v>
      </c>
      <c r="M166" s="26" t="str">
        <f>IF(D166="","",IF(J166&gt;='13_Setting'!$H$7,"Tercapai",IF(J166&gt;='13_Setting'!$H$6,"On Track","Tertinggal")))</f>
        <v/>
      </c>
      <c r="N166" s="24"/>
    </row>
    <row r="167" spans="1:14">
      <c r="A167" s="24"/>
      <c r="B167" s="24"/>
      <c r="C167" s="25"/>
      <c r="D167" s="24"/>
      <c r="E167" s="26" t="str">
        <f>IFERROR(VLOOKUP(D167,'04_Master Karyawan'!$A$5:$F$50,2,FALSE),"")</f>
        <v/>
      </c>
      <c r="F167" s="24"/>
      <c r="G167" s="26" t="str">
        <f>IFERROR(VLOOKUP(F167,'05_Master KPI'!$B$5:$G$100,2,FALSE)&amp;" ("&amp;VLOOKUP(F167,'05_Master KPI'!$B$5:$G$100,3,FALSE)&amp;")","")</f>
        <v/>
      </c>
      <c r="H167" s="26">
        <f>IFERROR(IF(B167&lt;&gt;'06_Target KPI'!$B$3,0,IF(VLOOKUP(F167,'05_Master KPI'!$B$5:$G$100,6,FALSE)="Kumulatif",INDEX('06_Target KPI'!$E$5:$P$100,MATCH(F167,'06_Target KPI'!$B$5:$B$100,0),MATCH(A167,'06_Target KPI'!$E$4:$P$4,0))*DAY(C167)/DAY(EOMONTH(C167,0)),INDEX('06_Target KPI'!$E$5:$P$100,MATCH(F167,'06_Target KPI'!$B$5:$B$100,0),MATCH(A167,'06_Target KPI'!$E$4:$P$4,0)))),0)</f>
        <v>0</v>
      </c>
      <c r="I167" s="24"/>
      <c r="J167" s="27">
        <f>IFERROR(MIN(IF(VLOOKUP(F167,'05_Master KPI'!$B$5:$G$100,5,FALSE)="Lower",H167/I167,I167/H167),1),0)</f>
        <v>0</v>
      </c>
      <c r="K167" s="26">
        <f>IFERROR(VLOOKUP(F167,'05_Master KPI'!$B$5:$G$100,4,FALSE),0)</f>
        <v>0</v>
      </c>
      <c r="L167" s="28">
        <f t="shared" si="2"/>
        <v>0</v>
      </c>
      <c r="M167" s="26" t="str">
        <f>IF(D167="","",IF(J167&gt;='13_Setting'!$H$7,"Tercapai",IF(J167&gt;='13_Setting'!$H$6,"On Track","Tertinggal")))</f>
        <v/>
      </c>
      <c r="N167" s="24"/>
    </row>
    <row r="168" spans="1:14">
      <c r="A168" s="24"/>
      <c r="B168" s="24"/>
      <c r="C168" s="25"/>
      <c r="D168" s="24"/>
      <c r="E168" s="26" t="str">
        <f>IFERROR(VLOOKUP(D168,'04_Master Karyawan'!$A$5:$F$50,2,FALSE),"")</f>
        <v/>
      </c>
      <c r="F168" s="24"/>
      <c r="G168" s="26" t="str">
        <f>IFERROR(VLOOKUP(F168,'05_Master KPI'!$B$5:$G$100,2,FALSE)&amp;" ("&amp;VLOOKUP(F168,'05_Master KPI'!$B$5:$G$100,3,FALSE)&amp;")","")</f>
        <v/>
      </c>
      <c r="H168" s="26">
        <f>IFERROR(IF(B168&lt;&gt;'06_Target KPI'!$B$3,0,IF(VLOOKUP(F168,'05_Master KPI'!$B$5:$G$100,6,FALSE)="Kumulatif",INDEX('06_Target KPI'!$E$5:$P$100,MATCH(F168,'06_Target KPI'!$B$5:$B$100,0),MATCH(A168,'06_Target KPI'!$E$4:$P$4,0))*DAY(C168)/DAY(EOMONTH(C168,0)),INDEX('06_Target KPI'!$E$5:$P$100,MATCH(F168,'06_Target KPI'!$B$5:$B$100,0),MATCH(A168,'06_Target KPI'!$E$4:$P$4,0)))),0)</f>
        <v>0</v>
      </c>
      <c r="I168" s="24"/>
      <c r="J168" s="27">
        <f>IFERROR(MIN(IF(VLOOKUP(F168,'05_Master KPI'!$B$5:$G$100,5,FALSE)="Lower",H168/I168,I168/H168),1),0)</f>
        <v>0</v>
      </c>
      <c r="K168" s="26">
        <f>IFERROR(VLOOKUP(F168,'05_Master KPI'!$B$5:$G$100,4,FALSE),0)</f>
        <v>0</v>
      </c>
      <c r="L168" s="28">
        <f t="shared" si="2"/>
        <v>0</v>
      </c>
      <c r="M168" s="26" t="str">
        <f>IF(D168="","",IF(J168&gt;='13_Setting'!$H$7,"Tercapai",IF(J168&gt;='13_Setting'!$H$6,"On Track","Tertinggal")))</f>
        <v/>
      </c>
      <c r="N168" s="24"/>
    </row>
    <row r="169" spans="1:14">
      <c r="A169" s="24"/>
      <c r="B169" s="24"/>
      <c r="C169" s="25"/>
      <c r="D169" s="24"/>
      <c r="E169" s="26" t="str">
        <f>IFERROR(VLOOKUP(D169,'04_Master Karyawan'!$A$5:$F$50,2,FALSE),"")</f>
        <v/>
      </c>
      <c r="F169" s="24"/>
      <c r="G169" s="26" t="str">
        <f>IFERROR(VLOOKUP(F169,'05_Master KPI'!$B$5:$G$100,2,FALSE)&amp;" ("&amp;VLOOKUP(F169,'05_Master KPI'!$B$5:$G$100,3,FALSE)&amp;")","")</f>
        <v/>
      </c>
      <c r="H169" s="26">
        <f>IFERROR(IF(B169&lt;&gt;'06_Target KPI'!$B$3,0,IF(VLOOKUP(F169,'05_Master KPI'!$B$5:$G$100,6,FALSE)="Kumulatif",INDEX('06_Target KPI'!$E$5:$P$100,MATCH(F169,'06_Target KPI'!$B$5:$B$100,0),MATCH(A169,'06_Target KPI'!$E$4:$P$4,0))*DAY(C169)/DAY(EOMONTH(C169,0)),INDEX('06_Target KPI'!$E$5:$P$100,MATCH(F169,'06_Target KPI'!$B$5:$B$100,0),MATCH(A169,'06_Target KPI'!$E$4:$P$4,0)))),0)</f>
        <v>0</v>
      </c>
      <c r="I169" s="24"/>
      <c r="J169" s="27">
        <f>IFERROR(MIN(IF(VLOOKUP(F169,'05_Master KPI'!$B$5:$G$100,5,FALSE)="Lower",H169/I169,I169/H169),1),0)</f>
        <v>0</v>
      </c>
      <c r="K169" s="26">
        <f>IFERROR(VLOOKUP(F169,'05_Master KPI'!$B$5:$G$100,4,FALSE),0)</f>
        <v>0</v>
      </c>
      <c r="L169" s="28">
        <f t="shared" si="2"/>
        <v>0</v>
      </c>
      <c r="M169" s="26" t="str">
        <f>IF(D169="","",IF(J169&gt;='13_Setting'!$H$7,"Tercapai",IF(J169&gt;='13_Setting'!$H$6,"On Track","Tertinggal")))</f>
        <v/>
      </c>
      <c r="N169" s="24"/>
    </row>
    <row r="170" spans="1:14">
      <c r="A170" s="24"/>
      <c r="B170" s="24"/>
      <c r="C170" s="25"/>
      <c r="D170" s="24"/>
      <c r="E170" s="26" t="str">
        <f>IFERROR(VLOOKUP(D170,'04_Master Karyawan'!$A$5:$F$50,2,FALSE),"")</f>
        <v/>
      </c>
      <c r="F170" s="24"/>
      <c r="G170" s="26" t="str">
        <f>IFERROR(VLOOKUP(F170,'05_Master KPI'!$B$5:$G$100,2,FALSE)&amp;" ("&amp;VLOOKUP(F170,'05_Master KPI'!$B$5:$G$100,3,FALSE)&amp;")","")</f>
        <v/>
      </c>
      <c r="H170" s="26">
        <f>IFERROR(IF(B170&lt;&gt;'06_Target KPI'!$B$3,0,IF(VLOOKUP(F170,'05_Master KPI'!$B$5:$G$100,6,FALSE)="Kumulatif",INDEX('06_Target KPI'!$E$5:$P$100,MATCH(F170,'06_Target KPI'!$B$5:$B$100,0),MATCH(A170,'06_Target KPI'!$E$4:$P$4,0))*DAY(C170)/DAY(EOMONTH(C170,0)),INDEX('06_Target KPI'!$E$5:$P$100,MATCH(F170,'06_Target KPI'!$B$5:$B$100,0),MATCH(A170,'06_Target KPI'!$E$4:$P$4,0)))),0)</f>
        <v>0</v>
      </c>
      <c r="I170" s="24"/>
      <c r="J170" s="27">
        <f>IFERROR(MIN(IF(VLOOKUP(F170,'05_Master KPI'!$B$5:$G$100,5,FALSE)="Lower",H170/I170,I170/H170),1),0)</f>
        <v>0</v>
      </c>
      <c r="K170" s="26">
        <f>IFERROR(VLOOKUP(F170,'05_Master KPI'!$B$5:$G$100,4,FALSE),0)</f>
        <v>0</v>
      </c>
      <c r="L170" s="28">
        <f t="shared" si="2"/>
        <v>0</v>
      </c>
      <c r="M170" s="26" t="str">
        <f>IF(D170="","",IF(J170&gt;='13_Setting'!$H$7,"Tercapai",IF(J170&gt;='13_Setting'!$H$6,"On Track","Tertinggal")))</f>
        <v/>
      </c>
      <c r="N170" s="24"/>
    </row>
    <row r="171" spans="1:14">
      <c r="A171" s="24"/>
      <c r="B171" s="24"/>
      <c r="C171" s="25"/>
      <c r="D171" s="24"/>
      <c r="E171" s="26" t="str">
        <f>IFERROR(VLOOKUP(D171,'04_Master Karyawan'!$A$5:$F$50,2,FALSE),"")</f>
        <v/>
      </c>
      <c r="F171" s="24"/>
      <c r="G171" s="26" t="str">
        <f>IFERROR(VLOOKUP(F171,'05_Master KPI'!$B$5:$G$100,2,FALSE)&amp;" ("&amp;VLOOKUP(F171,'05_Master KPI'!$B$5:$G$100,3,FALSE)&amp;")","")</f>
        <v/>
      </c>
      <c r="H171" s="26">
        <f>IFERROR(IF(B171&lt;&gt;'06_Target KPI'!$B$3,0,IF(VLOOKUP(F171,'05_Master KPI'!$B$5:$G$100,6,FALSE)="Kumulatif",INDEX('06_Target KPI'!$E$5:$P$100,MATCH(F171,'06_Target KPI'!$B$5:$B$100,0),MATCH(A171,'06_Target KPI'!$E$4:$P$4,0))*DAY(C171)/DAY(EOMONTH(C171,0)),INDEX('06_Target KPI'!$E$5:$P$100,MATCH(F171,'06_Target KPI'!$B$5:$B$100,0),MATCH(A171,'06_Target KPI'!$E$4:$P$4,0)))),0)</f>
        <v>0</v>
      </c>
      <c r="I171" s="24"/>
      <c r="J171" s="27">
        <f>IFERROR(MIN(IF(VLOOKUP(F171,'05_Master KPI'!$B$5:$G$100,5,FALSE)="Lower",H171/I171,I171/H171),1),0)</f>
        <v>0</v>
      </c>
      <c r="K171" s="26">
        <f>IFERROR(VLOOKUP(F171,'05_Master KPI'!$B$5:$G$100,4,FALSE),0)</f>
        <v>0</v>
      </c>
      <c r="L171" s="28">
        <f t="shared" si="2"/>
        <v>0</v>
      </c>
      <c r="M171" s="26" t="str">
        <f>IF(D171="","",IF(J171&gt;='13_Setting'!$H$7,"Tercapai",IF(J171&gt;='13_Setting'!$H$6,"On Track","Tertinggal")))</f>
        <v/>
      </c>
      <c r="N171" s="24"/>
    </row>
    <row r="172" spans="1:14">
      <c r="A172" s="24"/>
      <c r="B172" s="24"/>
      <c r="C172" s="25"/>
      <c r="D172" s="24"/>
      <c r="E172" s="26" t="str">
        <f>IFERROR(VLOOKUP(D172,'04_Master Karyawan'!$A$5:$F$50,2,FALSE),"")</f>
        <v/>
      </c>
      <c r="F172" s="24"/>
      <c r="G172" s="26" t="str">
        <f>IFERROR(VLOOKUP(F172,'05_Master KPI'!$B$5:$G$100,2,FALSE)&amp;" ("&amp;VLOOKUP(F172,'05_Master KPI'!$B$5:$G$100,3,FALSE)&amp;")","")</f>
        <v/>
      </c>
      <c r="H172" s="26">
        <f>IFERROR(IF(B172&lt;&gt;'06_Target KPI'!$B$3,0,IF(VLOOKUP(F172,'05_Master KPI'!$B$5:$G$100,6,FALSE)="Kumulatif",INDEX('06_Target KPI'!$E$5:$P$100,MATCH(F172,'06_Target KPI'!$B$5:$B$100,0),MATCH(A172,'06_Target KPI'!$E$4:$P$4,0))*DAY(C172)/DAY(EOMONTH(C172,0)),INDEX('06_Target KPI'!$E$5:$P$100,MATCH(F172,'06_Target KPI'!$B$5:$B$100,0),MATCH(A172,'06_Target KPI'!$E$4:$P$4,0)))),0)</f>
        <v>0</v>
      </c>
      <c r="I172" s="24"/>
      <c r="J172" s="27">
        <f>IFERROR(MIN(IF(VLOOKUP(F172,'05_Master KPI'!$B$5:$G$100,5,FALSE)="Lower",H172/I172,I172/H172),1),0)</f>
        <v>0</v>
      </c>
      <c r="K172" s="26">
        <f>IFERROR(VLOOKUP(F172,'05_Master KPI'!$B$5:$G$100,4,FALSE),0)</f>
        <v>0</v>
      </c>
      <c r="L172" s="28">
        <f t="shared" si="2"/>
        <v>0</v>
      </c>
      <c r="M172" s="26" t="str">
        <f>IF(D172="","",IF(J172&gt;='13_Setting'!$H$7,"Tercapai",IF(J172&gt;='13_Setting'!$H$6,"On Track","Tertinggal")))</f>
        <v/>
      </c>
      <c r="N172" s="24"/>
    </row>
    <row r="173" spans="1:14">
      <c r="A173" s="24"/>
      <c r="B173" s="24"/>
      <c r="C173" s="25"/>
      <c r="D173" s="24"/>
      <c r="E173" s="26" t="str">
        <f>IFERROR(VLOOKUP(D173,'04_Master Karyawan'!$A$5:$F$50,2,FALSE),"")</f>
        <v/>
      </c>
      <c r="F173" s="24"/>
      <c r="G173" s="26" t="str">
        <f>IFERROR(VLOOKUP(F173,'05_Master KPI'!$B$5:$G$100,2,FALSE)&amp;" ("&amp;VLOOKUP(F173,'05_Master KPI'!$B$5:$G$100,3,FALSE)&amp;")","")</f>
        <v/>
      </c>
      <c r="H173" s="26">
        <f>IFERROR(IF(B173&lt;&gt;'06_Target KPI'!$B$3,0,IF(VLOOKUP(F173,'05_Master KPI'!$B$5:$G$100,6,FALSE)="Kumulatif",INDEX('06_Target KPI'!$E$5:$P$100,MATCH(F173,'06_Target KPI'!$B$5:$B$100,0),MATCH(A173,'06_Target KPI'!$E$4:$P$4,0))*DAY(C173)/DAY(EOMONTH(C173,0)),INDEX('06_Target KPI'!$E$5:$P$100,MATCH(F173,'06_Target KPI'!$B$5:$B$100,0),MATCH(A173,'06_Target KPI'!$E$4:$P$4,0)))),0)</f>
        <v>0</v>
      </c>
      <c r="I173" s="24"/>
      <c r="J173" s="27">
        <f>IFERROR(MIN(IF(VLOOKUP(F173,'05_Master KPI'!$B$5:$G$100,5,FALSE)="Lower",H173/I173,I173/H173),1),0)</f>
        <v>0</v>
      </c>
      <c r="K173" s="26">
        <f>IFERROR(VLOOKUP(F173,'05_Master KPI'!$B$5:$G$100,4,FALSE),0)</f>
        <v>0</v>
      </c>
      <c r="L173" s="28">
        <f t="shared" si="2"/>
        <v>0</v>
      </c>
      <c r="M173" s="26" t="str">
        <f>IF(D173="","",IF(J173&gt;='13_Setting'!$H$7,"Tercapai",IF(J173&gt;='13_Setting'!$H$6,"On Track","Tertinggal")))</f>
        <v/>
      </c>
      <c r="N173" s="24"/>
    </row>
    <row r="174" spans="1:14">
      <c r="A174" s="24"/>
      <c r="B174" s="24"/>
      <c r="C174" s="25"/>
      <c r="D174" s="24"/>
      <c r="E174" s="26" t="str">
        <f>IFERROR(VLOOKUP(D174,'04_Master Karyawan'!$A$5:$F$50,2,FALSE),"")</f>
        <v/>
      </c>
      <c r="F174" s="24"/>
      <c r="G174" s="26" t="str">
        <f>IFERROR(VLOOKUP(F174,'05_Master KPI'!$B$5:$G$100,2,FALSE)&amp;" ("&amp;VLOOKUP(F174,'05_Master KPI'!$B$5:$G$100,3,FALSE)&amp;")","")</f>
        <v/>
      </c>
      <c r="H174" s="26">
        <f>IFERROR(IF(B174&lt;&gt;'06_Target KPI'!$B$3,0,IF(VLOOKUP(F174,'05_Master KPI'!$B$5:$G$100,6,FALSE)="Kumulatif",INDEX('06_Target KPI'!$E$5:$P$100,MATCH(F174,'06_Target KPI'!$B$5:$B$100,0),MATCH(A174,'06_Target KPI'!$E$4:$P$4,0))*DAY(C174)/DAY(EOMONTH(C174,0)),INDEX('06_Target KPI'!$E$5:$P$100,MATCH(F174,'06_Target KPI'!$B$5:$B$100,0),MATCH(A174,'06_Target KPI'!$E$4:$P$4,0)))),0)</f>
        <v>0</v>
      </c>
      <c r="I174" s="24"/>
      <c r="J174" s="27">
        <f>IFERROR(MIN(IF(VLOOKUP(F174,'05_Master KPI'!$B$5:$G$100,5,FALSE)="Lower",H174/I174,I174/H174),1),0)</f>
        <v>0</v>
      </c>
      <c r="K174" s="26">
        <f>IFERROR(VLOOKUP(F174,'05_Master KPI'!$B$5:$G$100,4,FALSE),0)</f>
        <v>0</v>
      </c>
      <c r="L174" s="28">
        <f t="shared" si="2"/>
        <v>0</v>
      </c>
      <c r="M174" s="26" t="str">
        <f>IF(D174="","",IF(J174&gt;='13_Setting'!$H$7,"Tercapai",IF(J174&gt;='13_Setting'!$H$6,"On Track","Tertinggal")))</f>
        <v/>
      </c>
      <c r="N174" s="24"/>
    </row>
    <row r="175" spans="1:14">
      <c r="A175" s="24"/>
      <c r="B175" s="24"/>
      <c r="C175" s="25"/>
      <c r="D175" s="24"/>
      <c r="E175" s="26" t="str">
        <f>IFERROR(VLOOKUP(D175,'04_Master Karyawan'!$A$5:$F$50,2,FALSE),"")</f>
        <v/>
      </c>
      <c r="F175" s="24"/>
      <c r="G175" s="26" t="str">
        <f>IFERROR(VLOOKUP(F175,'05_Master KPI'!$B$5:$G$100,2,FALSE)&amp;" ("&amp;VLOOKUP(F175,'05_Master KPI'!$B$5:$G$100,3,FALSE)&amp;")","")</f>
        <v/>
      </c>
      <c r="H175" s="26">
        <f>IFERROR(IF(B175&lt;&gt;'06_Target KPI'!$B$3,0,IF(VLOOKUP(F175,'05_Master KPI'!$B$5:$G$100,6,FALSE)="Kumulatif",INDEX('06_Target KPI'!$E$5:$P$100,MATCH(F175,'06_Target KPI'!$B$5:$B$100,0),MATCH(A175,'06_Target KPI'!$E$4:$P$4,0))*DAY(C175)/DAY(EOMONTH(C175,0)),INDEX('06_Target KPI'!$E$5:$P$100,MATCH(F175,'06_Target KPI'!$B$5:$B$100,0),MATCH(A175,'06_Target KPI'!$E$4:$P$4,0)))),0)</f>
        <v>0</v>
      </c>
      <c r="I175" s="24"/>
      <c r="J175" s="27">
        <f>IFERROR(MIN(IF(VLOOKUP(F175,'05_Master KPI'!$B$5:$G$100,5,FALSE)="Lower",H175/I175,I175/H175),1),0)</f>
        <v>0</v>
      </c>
      <c r="K175" s="26">
        <f>IFERROR(VLOOKUP(F175,'05_Master KPI'!$B$5:$G$100,4,FALSE),0)</f>
        <v>0</v>
      </c>
      <c r="L175" s="28">
        <f t="shared" si="2"/>
        <v>0</v>
      </c>
      <c r="M175" s="26" t="str">
        <f>IF(D175="","",IF(J175&gt;='13_Setting'!$H$7,"Tercapai",IF(J175&gt;='13_Setting'!$H$6,"On Track","Tertinggal")))</f>
        <v/>
      </c>
      <c r="N175" s="24"/>
    </row>
    <row r="176" spans="1:14">
      <c r="A176" s="24"/>
      <c r="B176" s="24"/>
      <c r="C176" s="25"/>
      <c r="D176" s="24"/>
      <c r="E176" s="26" t="str">
        <f>IFERROR(VLOOKUP(D176,'04_Master Karyawan'!$A$5:$F$50,2,FALSE),"")</f>
        <v/>
      </c>
      <c r="F176" s="24"/>
      <c r="G176" s="26" t="str">
        <f>IFERROR(VLOOKUP(F176,'05_Master KPI'!$B$5:$G$100,2,FALSE)&amp;" ("&amp;VLOOKUP(F176,'05_Master KPI'!$B$5:$G$100,3,FALSE)&amp;")","")</f>
        <v/>
      </c>
      <c r="H176" s="26">
        <f>IFERROR(IF(B176&lt;&gt;'06_Target KPI'!$B$3,0,IF(VLOOKUP(F176,'05_Master KPI'!$B$5:$G$100,6,FALSE)="Kumulatif",INDEX('06_Target KPI'!$E$5:$P$100,MATCH(F176,'06_Target KPI'!$B$5:$B$100,0),MATCH(A176,'06_Target KPI'!$E$4:$P$4,0))*DAY(C176)/DAY(EOMONTH(C176,0)),INDEX('06_Target KPI'!$E$5:$P$100,MATCH(F176,'06_Target KPI'!$B$5:$B$100,0),MATCH(A176,'06_Target KPI'!$E$4:$P$4,0)))),0)</f>
        <v>0</v>
      </c>
      <c r="I176" s="24"/>
      <c r="J176" s="27">
        <f>IFERROR(MIN(IF(VLOOKUP(F176,'05_Master KPI'!$B$5:$G$100,5,FALSE)="Lower",H176/I176,I176/H176),1),0)</f>
        <v>0</v>
      </c>
      <c r="K176" s="26">
        <f>IFERROR(VLOOKUP(F176,'05_Master KPI'!$B$5:$G$100,4,FALSE),0)</f>
        <v>0</v>
      </c>
      <c r="L176" s="28">
        <f t="shared" si="2"/>
        <v>0</v>
      </c>
      <c r="M176" s="26" t="str">
        <f>IF(D176="","",IF(J176&gt;='13_Setting'!$H$7,"Tercapai",IF(J176&gt;='13_Setting'!$H$6,"On Track","Tertinggal")))</f>
        <v/>
      </c>
      <c r="N176" s="24"/>
    </row>
    <row r="177" spans="1:14">
      <c r="A177" s="24"/>
      <c r="B177" s="24"/>
      <c r="C177" s="25"/>
      <c r="D177" s="24"/>
      <c r="E177" s="26" t="str">
        <f>IFERROR(VLOOKUP(D177,'04_Master Karyawan'!$A$5:$F$50,2,FALSE),"")</f>
        <v/>
      </c>
      <c r="F177" s="24"/>
      <c r="G177" s="26" t="str">
        <f>IFERROR(VLOOKUP(F177,'05_Master KPI'!$B$5:$G$100,2,FALSE)&amp;" ("&amp;VLOOKUP(F177,'05_Master KPI'!$B$5:$G$100,3,FALSE)&amp;")","")</f>
        <v/>
      </c>
      <c r="H177" s="26">
        <f>IFERROR(IF(B177&lt;&gt;'06_Target KPI'!$B$3,0,IF(VLOOKUP(F177,'05_Master KPI'!$B$5:$G$100,6,FALSE)="Kumulatif",INDEX('06_Target KPI'!$E$5:$P$100,MATCH(F177,'06_Target KPI'!$B$5:$B$100,0),MATCH(A177,'06_Target KPI'!$E$4:$P$4,0))*DAY(C177)/DAY(EOMONTH(C177,0)),INDEX('06_Target KPI'!$E$5:$P$100,MATCH(F177,'06_Target KPI'!$B$5:$B$100,0),MATCH(A177,'06_Target KPI'!$E$4:$P$4,0)))),0)</f>
        <v>0</v>
      </c>
      <c r="I177" s="24"/>
      <c r="J177" s="27">
        <f>IFERROR(MIN(IF(VLOOKUP(F177,'05_Master KPI'!$B$5:$G$100,5,FALSE)="Lower",H177/I177,I177/H177),1),0)</f>
        <v>0</v>
      </c>
      <c r="K177" s="26">
        <f>IFERROR(VLOOKUP(F177,'05_Master KPI'!$B$5:$G$100,4,FALSE),0)</f>
        <v>0</v>
      </c>
      <c r="L177" s="28">
        <f t="shared" si="2"/>
        <v>0</v>
      </c>
      <c r="M177" s="26" t="str">
        <f>IF(D177="","",IF(J177&gt;='13_Setting'!$H$7,"Tercapai",IF(J177&gt;='13_Setting'!$H$6,"On Track","Tertinggal")))</f>
        <v/>
      </c>
      <c r="N177" s="24"/>
    </row>
    <row r="178" spans="1:14">
      <c r="A178" s="24"/>
      <c r="B178" s="24"/>
      <c r="C178" s="25"/>
      <c r="D178" s="24"/>
      <c r="E178" s="26" t="str">
        <f>IFERROR(VLOOKUP(D178,'04_Master Karyawan'!$A$5:$F$50,2,FALSE),"")</f>
        <v/>
      </c>
      <c r="F178" s="24"/>
      <c r="G178" s="26" t="str">
        <f>IFERROR(VLOOKUP(F178,'05_Master KPI'!$B$5:$G$100,2,FALSE)&amp;" ("&amp;VLOOKUP(F178,'05_Master KPI'!$B$5:$G$100,3,FALSE)&amp;")","")</f>
        <v/>
      </c>
      <c r="H178" s="26">
        <f>IFERROR(IF(B178&lt;&gt;'06_Target KPI'!$B$3,0,IF(VLOOKUP(F178,'05_Master KPI'!$B$5:$G$100,6,FALSE)="Kumulatif",INDEX('06_Target KPI'!$E$5:$P$100,MATCH(F178,'06_Target KPI'!$B$5:$B$100,0),MATCH(A178,'06_Target KPI'!$E$4:$P$4,0))*DAY(C178)/DAY(EOMONTH(C178,0)),INDEX('06_Target KPI'!$E$5:$P$100,MATCH(F178,'06_Target KPI'!$B$5:$B$100,0),MATCH(A178,'06_Target KPI'!$E$4:$P$4,0)))),0)</f>
        <v>0</v>
      </c>
      <c r="I178" s="24"/>
      <c r="J178" s="27">
        <f>IFERROR(MIN(IF(VLOOKUP(F178,'05_Master KPI'!$B$5:$G$100,5,FALSE)="Lower",H178/I178,I178/H178),1),0)</f>
        <v>0</v>
      </c>
      <c r="K178" s="26">
        <f>IFERROR(VLOOKUP(F178,'05_Master KPI'!$B$5:$G$100,4,FALSE),0)</f>
        <v>0</v>
      </c>
      <c r="L178" s="28">
        <f t="shared" si="2"/>
        <v>0</v>
      </c>
      <c r="M178" s="26" t="str">
        <f>IF(D178="","",IF(J178&gt;='13_Setting'!$H$7,"Tercapai",IF(J178&gt;='13_Setting'!$H$6,"On Track","Tertinggal")))</f>
        <v/>
      </c>
      <c r="N178" s="24"/>
    </row>
    <row r="179" spans="1:14">
      <c r="A179" s="24"/>
      <c r="B179" s="24"/>
      <c r="C179" s="25"/>
      <c r="D179" s="24"/>
      <c r="E179" s="26" t="str">
        <f>IFERROR(VLOOKUP(D179,'04_Master Karyawan'!$A$5:$F$50,2,FALSE),"")</f>
        <v/>
      </c>
      <c r="F179" s="24"/>
      <c r="G179" s="26" t="str">
        <f>IFERROR(VLOOKUP(F179,'05_Master KPI'!$B$5:$G$100,2,FALSE)&amp;" ("&amp;VLOOKUP(F179,'05_Master KPI'!$B$5:$G$100,3,FALSE)&amp;")","")</f>
        <v/>
      </c>
      <c r="H179" s="26">
        <f>IFERROR(IF(B179&lt;&gt;'06_Target KPI'!$B$3,0,IF(VLOOKUP(F179,'05_Master KPI'!$B$5:$G$100,6,FALSE)="Kumulatif",INDEX('06_Target KPI'!$E$5:$P$100,MATCH(F179,'06_Target KPI'!$B$5:$B$100,0),MATCH(A179,'06_Target KPI'!$E$4:$P$4,0))*DAY(C179)/DAY(EOMONTH(C179,0)),INDEX('06_Target KPI'!$E$5:$P$100,MATCH(F179,'06_Target KPI'!$B$5:$B$100,0),MATCH(A179,'06_Target KPI'!$E$4:$P$4,0)))),0)</f>
        <v>0</v>
      </c>
      <c r="I179" s="24"/>
      <c r="J179" s="27">
        <f>IFERROR(MIN(IF(VLOOKUP(F179,'05_Master KPI'!$B$5:$G$100,5,FALSE)="Lower",H179/I179,I179/H179),1),0)</f>
        <v>0</v>
      </c>
      <c r="K179" s="26">
        <f>IFERROR(VLOOKUP(F179,'05_Master KPI'!$B$5:$G$100,4,FALSE),0)</f>
        <v>0</v>
      </c>
      <c r="L179" s="28">
        <f t="shared" si="2"/>
        <v>0</v>
      </c>
      <c r="M179" s="26" t="str">
        <f>IF(D179="","",IF(J179&gt;='13_Setting'!$H$7,"Tercapai",IF(J179&gt;='13_Setting'!$H$6,"On Track","Tertinggal")))</f>
        <v/>
      </c>
      <c r="N179" s="24"/>
    </row>
    <row r="180" spans="1:14">
      <c r="A180" s="24"/>
      <c r="B180" s="24"/>
      <c r="C180" s="25"/>
      <c r="D180" s="24"/>
      <c r="E180" s="26" t="str">
        <f>IFERROR(VLOOKUP(D180,'04_Master Karyawan'!$A$5:$F$50,2,FALSE),"")</f>
        <v/>
      </c>
      <c r="F180" s="24"/>
      <c r="G180" s="26" t="str">
        <f>IFERROR(VLOOKUP(F180,'05_Master KPI'!$B$5:$G$100,2,FALSE)&amp;" ("&amp;VLOOKUP(F180,'05_Master KPI'!$B$5:$G$100,3,FALSE)&amp;")","")</f>
        <v/>
      </c>
      <c r="H180" s="26">
        <f>IFERROR(IF(B180&lt;&gt;'06_Target KPI'!$B$3,0,IF(VLOOKUP(F180,'05_Master KPI'!$B$5:$G$100,6,FALSE)="Kumulatif",INDEX('06_Target KPI'!$E$5:$P$100,MATCH(F180,'06_Target KPI'!$B$5:$B$100,0),MATCH(A180,'06_Target KPI'!$E$4:$P$4,0))*DAY(C180)/DAY(EOMONTH(C180,0)),INDEX('06_Target KPI'!$E$5:$P$100,MATCH(F180,'06_Target KPI'!$B$5:$B$100,0),MATCH(A180,'06_Target KPI'!$E$4:$P$4,0)))),0)</f>
        <v>0</v>
      </c>
      <c r="I180" s="24"/>
      <c r="J180" s="27">
        <f>IFERROR(MIN(IF(VLOOKUP(F180,'05_Master KPI'!$B$5:$G$100,5,FALSE)="Lower",H180/I180,I180/H180),1),0)</f>
        <v>0</v>
      </c>
      <c r="K180" s="26">
        <f>IFERROR(VLOOKUP(F180,'05_Master KPI'!$B$5:$G$100,4,FALSE),0)</f>
        <v>0</v>
      </c>
      <c r="L180" s="28">
        <f t="shared" si="2"/>
        <v>0</v>
      </c>
      <c r="M180" s="26" t="str">
        <f>IF(D180="","",IF(J180&gt;='13_Setting'!$H$7,"Tercapai",IF(J180&gt;='13_Setting'!$H$6,"On Track","Tertinggal")))</f>
        <v/>
      </c>
      <c r="N180" s="24"/>
    </row>
    <row r="181" spans="1:14">
      <c r="A181" s="24"/>
      <c r="B181" s="24"/>
      <c r="C181" s="25"/>
      <c r="D181" s="24"/>
      <c r="E181" s="26" t="str">
        <f>IFERROR(VLOOKUP(D181,'04_Master Karyawan'!$A$5:$F$50,2,FALSE),"")</f>
        <v/>
      </c>
      <c r="F181" s="24"/>
      <c r="G181" s="26" t="str">
        <f>IFERROR(VLOOKUP(F181,'05_Master KPI'!$B$5:$G$100,2,FALSE)&amp;" ("&amp;VLOOKUP(F181,'05_Master KPI'!$B$5:$G$100,3,FALSE)&amp;")","")</f>
        <v/>
      </c>
      <c r="H181" s="26">
        <f>IFERROR(IF(B181&lt;&gt;'06_Target KPI'!$B$3,0,IF(VLOOKUP(F181,'05_Master KPI'!$B$5:$G$100,6,FALSE)="Kumulatif",INDEX('06_Target KPI'!$E$5:$P$100,MATCH(F181,'06_Target KPI'!$B$5:$B$100,0),MATCH(A181,'06_Target KPI'!$E$4:$P$4,0))*DAY(C181)/DAY(EOMONTH(C181,0)),INDEX('06_Target KPI'!$E$5:$P$100,MATCH(F181,'06_Target KPI'!$B$5:$B$100,0),MATCH(A181,'06_Target KPI'!$E$4:$P$4,0)))),0)</f>
        <v>0</v>
      </c>
      <c r="I181" s="24"/>
      <c r="J181" s="27">
        <f>IFERROR(MIN(IF(VLOOKUP(F181,'05_Master KPI'!$B$5:$G$100,5,FALSE)="Lower",H181/I181,I181/H181),1),0)</f>
        <v>0</v>
      </c>
      <c r="K181" s="26">
        <f>IFERROR(VLOOKUP(F181,'05_Master KPI'!$B$5:$G$100,4,FALSE),0)</f>
        <v>0</v>
      </c>
      <c r="L181" s="28">
        <f t="shared" si="2"/>
        <v>0</v>
      </c>
      <c r="M181" s="26" t="str">
        <f>IF(D181="","",IF(J181&gt;='13_Setting'!$H$7,"Tercapai",IF(J181&gt;='13_Setting'!$H$6,"On Track","Tertinggal")))</f>
        <v/>
      </c>
      <c r="N181" s="24"/>
    </row>
    <row r="182" spans="1:14">
      <c r="A182" s="24"/>
      <c r="B182" s="24"/>
      <c r="C182" s="25"/>
      <c r="D182" s="24"/>
      <c r="E182" s="26" t="str">
        <f>IFERROR(VLOOKUP(D182,'04_Master Karyawan'!$A$5:$F$50,2,FALSE),"")</f>
        <v/>
      </c>
      <c r="F182" s="24"/>
      <c r="G182" s="26" t="str">
        <f>IFERROR(VLOOKUP(F182,'05_Master KPI'!$B$5:$G$100,2,FALSE)&amp;" ("&amp;VLOOKUP(F182,'05_Master KPI'!$B$5:$G$100,3,FALSE)&amp;")","")</f>
        <v/>
      </c>
      <c r="H182" s="26">
        <f>IFERROR(IF(B182&lt;&gt;'06_Target KPI'!$B$3,0,IF(VLOOKUP(F182,'05_Master KPI'!$B$5:$G$100,6,FALSE)="Kumulatif",INDEX('06_Target KPI'!$E$5:$P$100,MATCH(F182,'06_Target KPI'!$B$5:$B$100,0),MATCH(A182,'06_Target KPI'!$E$4:$P$4,0))*DAY(C182)/DAY(EOMONTH(C182,0)),INDEX('06_Target KPI'!$E$5:$P$100,MATCH(F182,'06_Target KPI'!$B$5:$B$100,0),MATCH(A182,'06_Target KPI'!$E$4:$P$4,0)))),0)</f>
        <v>0</v>
      </c>
      <c r="I182" s="24"/>
      <c r="J182" s="27">
        <f>IFERROR(MIN(IF(VLOOKUP(F182,'05_Master KPI'!$B$5:$G$100,5,FALSE)="Lower",H182/I182,I182/H182),1),0)</f>
        <v>0</v>
      </c>
      <c r="K182" s="26">
        <f>IFERROR(VLOOKUP(F182,'05_Master KPI'!$B$5:$G$100,4,FALSE),0)</f>
        <v>0</v>
      </c>
      <c r="L182" s="28">
        <f t="shared" si="2"/>
        <v>0</v>
      </c>
      <c r="M182" s="26" t="str">
        <f>IF(D182="","",IF(J182&gt;='13_Setting'!$H$7,"Tercapai",IF(J182&gt;='13_Setting'!$H$6,"On Track","Tertinggal")))</f>
        <v/>
      </c>
      <c r="N182" s="24"/>
    </row>
    <row r="183" spans="1:14">
      <c r="A183" s="24"/>
      <c r="B183" s="24"/>
      <c r="C183" s="25"/>
      <c r="D183" s="24"/>
      <c r="E183" s="26" t="str">
        <f>IFERROR(VLOOKUP(D183,'04_Master Karyawan'!$A$5:$F$50,2,FALSE),"")</f>
        <v/>
      </c>
      <c r="F183" s="24"/>
      <c r="G183" s="26" t="str">
        <f>IFERROR(VLOOKUP(F183,'05_Master KPI'!$B$5:$G$100,2,FALSE)&amp;" ("&amp;VLOOKUP(F183,'05_Master KPI'!$B$5:$G$100,3,FALSE)&amp;")","")</f>
        <v/>
      </c>
      <c r="H183" s="26">
        <f>IFERROR(IF(B183&lt;&gt;'06_Target KPI'!$B$3,0,IF(VLOOKUP(F183,'05_Master KPI'!$B$5:$G$100,6,FALSE)="Kumulatif",INDEX('06_Target KPI'!$E$5:$P$100,MATCH(F183,'06_Target KPI'!$B$5:$B$100,0),MATCH(A183,'06_Target KPI'!$E$4:$P$4,0))*DAY(C183)/DAY(EOMONTH(C183,0)),INDEX('06_Target KPI'!$E$5:$P$100,MATCH(F183,'06_Target KPI'!$B$5:$B$100,0),MATCH(A183,'06_Target KPI'!$E$4:$P$4,0)))),0)</f>
        <v>0</v>
      </c>
      <c r="I183" s="24"/>
      <c r="J183" s="27">
        <f>IFERROR(MIN(IF(VLOOKUP(F183,'05_Master KPI'!$B$5:$G$100,5,FALSE)="Lower",H183/I183,I183/H183),1),0)</f>
        <v>0</v>
      </c>
      <c r="K183" s="26">
        <f>IFERROR(VLOOKUP(F183,'05_Master KPI'!$B$5:$G$100,4,FALSE),0)</f>
        <v>0</v>
      </c>
      <c r="L183" s="28">
        <f t="shared" si="2"/>
        <v>0</v>
      </c>
      <c r="M183" s="26" t="str">
        <f>IF(D183="","",IF(J183&gt;='13_Setting'!$H$7,"Tercapai",IF(J183&gt;='13_Setting'!$H$6,"On Track","Tertinggal")))</f>
        <v/>
      </c>
      <c r="N183" s="24"/>
    </row>
    <row r="184" spans="1:14">
      <c r="A184" s="24"/>
      <c r="B184" s="24"/>
      <c r="C184" s="25"/>
      <c r="D184" s="24"/>
      <c r="E184" s="26" t="str">
        <f>IFERROR(VLOOKUP(D184,'04_Master Karyawan'!$A$5:$F$50,2,FALSE),"")</f>
        <v/>
      </c>
      <c r="F184" s="24"/>
      <c r="G184" s="26" t="str">
        <f>IFERROR(VLOOKUP(F184,'05_Master KPI'!$B$5:$G$100,2,FALSE)&amp;" ("&amp;VLOOKUP(F184,'05_Master KPI'!$B$5:$G$100,3,FALSE)&amp;")","")</f>
        <v/>
      </c>
      <c r="H184" s="26">
        <f>IFERROR(IF(B184&lt;&gt;'06_Target KPI'!$B$3,0,IF(VLOOKUP(F184,'05_Master KPI'!$B$5:$G$100,6,FALSE)="Kumulatif",INDEX('06_Target KPI'!$E$5:$P$100,MATCH(F184,'06_Target KPI'!$B$5:$B$100,0),MATCH(A184,'06_Target KPI'!$E$4:$P$4,0))*DAY(C184)/DAY(EOMONTH(C184,0)),INDEX('06_Target KPI'!$E$5:$P$100,MATCH(F184,'06_Target KPI'!$B$5:$B$100,0),MATCH(A184,'06_Target KPI'!$E$4:$P$4,0)))),0)</f>
        <v>0</v>
      </c>
      <c r="I184" s="24"/>
      <c r="J184" s="27">
        <f>IFERROR(MIN(IF(VLOOKUP(F184,'05_Master KPI'!$B$5:$G$100,5,FALSE)="Lower",H184/I184,I184/H184),1),0)</f>
        <v>0</v>
      </c>
      <c r="K184" s="26">
        <f>IFERROR(VLOOKUP(F184,'05_Master KPI'!$B$5:$G$100,4,FALSE),0)</f>
        <v>0</v>
      </c>
      <c r="L184" s="28">
        <f t="shared" si="2"/>
        <v>0</v>
      </c>
      <c r="M184" s="26" t="str">
        <f>IF(D184="","",IF(J184&gt;='13_Setting'!$H$7,"Tercapai",IF(J184&gt;='13_Setting'!$H$6,"On Track","Tertinggal")))</f>
        <v/>
      </c>
      <c r="N184" s="24"/>
    </row>
    <row r="185" spans="1:14">
      <c r="A185" s="24"/>
      <c r="B185" s="24"/>
      <c r="C185" s="25"/>
      <c r="D185" s="24"/>
      <c r="E185" s="26" t="str">
        <f>IFERROR(VLOOKUP(D185,'04_Master Karyawan'!$A$5:$F$50,2,FALSE),"")</f>
        <v/>
      </c>
      <c r="F185" s="24"/>
      <c r="G185" s="26" t="str">
        <f>IFERROR(VLOOKUP(F185,'05_Master KPI'!$B$5:$G$100,2,FALSE)&amp;" ("&amp;VLOOKUP(F185,'05_Master KPI'!$B$5:$G$100,3,FALSE)&amp;")","")</f>
        <v/>
      </c>
      <c r="H185" s="26">
        <f>IFERROR(IF(B185&lt;&gt;'06_Target KPI'!$B$3,0,IF(VLOOKUP(F185,'05_Master KPI'!$B$5:$G$100,6,FALSE)="Kumulatif",INDEX('06_Target KPI'!$E$5:$P$100,MATCH(F185,'06_Target KPI'!$B$5:$B$100,0),MATCH(A185,'06_Target KPI'!$E$4:$P$4,0))*DAY(C185)/DAY(EOMONTH(C185,0)),INDEX('06_Target KPI'!$E$5:$P$100,MATCH(F185,'06_Target KPI'!$B$5:$B$100,0),MATCH(A185,'06_Target KPI'!$E$4:$P$4,0)))),0)</f>
        <v>0</v>
      </c>
      <c r="I185" s="24"/>
      <c r="J185" s="27">
        <f>IFERROR(MIN(IF(VLOOKUP(F185,'05_Master KPI'!$B$5:$G$100,5,FALSE)="Lower",H185/I185,I185/H185),1),0)</f>
        <v>0</v>
      </c>
      <c r="K185" s="26">
        <f>IFERROR(VLOOKUP(F185,'05_Master KPI'!$B$5:$G$100,4,FALSE),0)</f>
        <v>0</v>
      </c>
      <c r="L185" s="28">
        <f t="shared" si="2"/>
        <v>0</v>
      </c>
      <c r="M185" s="26" t="str">
        <f>IF(D185="","",IF(J185&gt;='13_Setting'!$H$7,"Tercapai",IF(J185&gt;='13_Setting'!$H$6,"On Track","Tertinggal")))</f>
        <v/>
      </c>
      <c r="N185" s="24"/>
    </row>
    <row r="186" spans="1:14">
      <c r="A186" s="24"/>
      <c r="B186" s="24"/>
      <c r="C186" s="25"/>
      <c r="D186" s="24"/>
      <c r="E186" s="26" t="str">
        <f>IFERROR(VLOOKUP(D186,'04_Master Karyawan'!$A$5:$F$50,2,FALSE),"")</f>
        <v/>
      </c>
      <c r="F186" s="24"/>
      <c r="G186" s="26" t="str">
        <f>IFERROR(VLOOKUP(F186,'05_Master KPI'!$B$5:$G$100,2,FALSE)&amp;" ("&amp;VLOOKUP(F186,'05_Master KPI'!$B$5:$G$100,3,FALSE)&amp;")","")</f>
        <v/>
      </c>
      <c r="H186" s="26">
        <f>IFERROR(IF(B186&lt;&gt;'06_Target KPI'!$B$3,0,IF(VLOOKUP(F186,'05_Master KPI'!$B$5:$G$100,6,FALSE)="Kumulatif",INDEX('06_Target KPI'!$E$5:$P$100,MATCH(F186,'06_Target KPI'!$B$5:$B$100,0),MATCH(A186,'06_Target KPI'!$E$4:$P$4,0))*DAY(C186)/DAY(EOMONTH(C186,0)),INDEX('06_Target KPI'!$E$5:$P$100,MATCH(F186,'06_Target KPI'!$B$5:$B$100,0),MATCH(A186,'06_Target KPI'!$E$4:$P$4,0)))),0)</f>
        <v>0</v>
      </c>
      <c r="I186" s="24"/>
      <c r="J186" s="27">
        <f>IFERROR(MIN(IF(VLOOKUP(F186,'05_Master KPI'!$B$5:$G$100,5,FALSE)="Lower",H186/I186,I186/H186),1),0)</f>
        <v>0</v>
      </c>
      <c r="K186" s="26">
        <f>IFERROR(VLOOKUP(F186,'05_Master KPI'!$B$5:$G$100,4,FALSE),0)</f>
        <v>0</v>
      </c>
      <c r="L186" s="28">
        <f t="shared" si="2"/>
        <v>0</v>
      </c>
      <c r="M186" s="26" t="str">
        <f>IF(D186="","",IF(J186&gt;='13_Setting'!$H$7,"Tercapai",IF(J186&gt;='13_Setting'!$H$6,"On Track","Tertinggal")))</f>
        <v/>
      </c>
      <c r="N186" s="24"/>
    </row>
    <row r="187" spans="1:14">
      <c r="A187" s="24"/>
      <c r="B187" s="24"/>
      <c r="C187" s="25"/>
      <c r="D187" s="24"/>
      <c r="E187" s="26" t="str">
        <f>IFERROR(VLOOKUP(D187,'04_Master Karyawan'!$A$5:$F$50,2,FALSE),"")</f>
        <v/>
      </c>
      <c r="F187" s="24"/>
      <c r="G187" s="26" t="str">
        <f>IFERROR(VLOOKUP(F187,'05_Master KPI'!$B$5:$G$100,2,FALSE)&amp;" ("&amp;VLOOKUP(F187,'05_Master KPI'!$B$5:$G$100,3,FALSE)&amp;")","")</f>
        <v/>
      </c>
      <c r="H187" s="26">
        <f>IFERROR(IF(B187&lt;&gt;'06_Target KPI'!$B$3,0,IF(VLOOKUP(F187,'05_Master KPI'!$B$5:$G$100,6,FALSE)="Kumulatif",INDEX('06_Target KPI'!$E$5:$P$100,MATCH(F187,'06_Target KPI'!$B$5:$B$100,0),MATCH(A187,'06_Target KPI'!$E$4:$P$4,0))*DAY(C187)/DAY(EOMONTH(C187,0)),INDEX('06_Target KPI'!$E$5:$P$100,MATCH(F187,'06_Target KPI'!$B$5:$B$100,0),MATCH(A187,'06_Target KPI'!$E$4:$P$4,0)))),0)</f>
        <v>0</v>
      </c>
      <c r="I187" s="24"/>
      <c r="J187" s="27">
        <f>IFERROR(MIN(IF(VLOOKUP(F187,'05_Master KPI'!$B$5:$G$100,5,FALSE)="Lower",H187/I187,I187/H187),1),0)</f>
        <v>0</v>
      </c>
      <c r="K187" s="26">
        <f>IFERROR(VLOOKUP(F187,'05_Master KPI'!$B$5:$G$100,4,FALSE),0)</f>
        <v>0</v>
      </c>
      <c r="L187" s="28">
        <f t="shared" si="2"/>
        <v>0</v>
      </c>
      <c r="M187" s="26" t="str">
        <f>IF(D187="","",IF(J187&gt;='13_Setting'!$H$7,"Tercapai",IF(J187&gt;='13_Setting'!$H$6,"On Track","Tertinggal")))</f>
        <v/>
      </c>
      <c r="N187" s="24"/>
    </row>
    <row r="188" spans="1:14">
      <c r="A188" s="24"/>
      <c r="B188" s="24"/>
      <c r="C188" s="25"/>
      <c r="D188" s="24"/>
      <c r="E188" s="26" t="str">
        <f>IFERROR(VLOOKUP(D188,'04_Master Karyawan'!$A$5:$F$50,2,FALSE),"")</f>
        <v/>
      </c>
      <c r="F188" s="24"/>
      <c r="G188" s="26" t="str">
        <f>IFERROR(VLOOKUP(F188,'05_Master KPI'!$B$5:$G$100,2,FALSE)&amp;" ("&amp;VLOOKUP(F188,'05_Master KPI'!$B$5:$G$100,3,FALSE)&amp;")","")</f>
        <v/>
      </c>
      <c r="H188" s="26">
        <f>IFERROR(IF(B188&lt;&gt;'06_Target KPI'!$B$3,0,IF(VLOOKUP(F188,'05_Master KPI'!$B$5:$G$100,6,FALSE)="Kumulatif",INDEX('06_Target KPI'!$E$5:$P$100,MATCH(F188,'06_Target KPI'!$B$5:$B$100,0),MATCH(A188,'06_Target KPI'!$E$4:$P$4,0))*DAY(C188)/DAY(EOMONTH(C188,0)),INDEX('06_Target KPI'!$E$5:$P$100,MATCH(F188,'06_Target KPI'!$B$5:$B$100,0),MATCH(A188,'06_Target KPI'!$E$4:$P$4,0)))),0)</f>
        <v>0</v>
      </c>
      <c r="I188" s="24"/>
      <c r="J188" s="27">
        <f>IFERROR(MIN(IF(VLOOKUP(F188,'05_Master KPI'!$B$5:$G$100,5,FALSE)="Lower",H188/I188,I188/H188),1),0)</f>
        <v>0</v>
      </c>
      <c r="K188" s="26">
        <f>IFERROR(VLOOKUP(F188,'05_Master KPI'!$B$5:$G$100,4,FALSE),0)</f>
        <v>0</v>
      </c>
      <c r="L188" s="28">
        <f t="shared" si="2"/>
        <v>0</v>
      </c>
      <c r="M188" s="26" t="str">
        <f>IF(D188="","",IF(J188&gt;='13_Setting'!$H$7,"Tercapai",IF(J188&gt;='13_Setting'!$H$6,"On Track","Tertinggal")))</f>
        <v/>
      </c>
      <c r="N188" s="24"/>
    </row>
    <row r="189" spans="1:14">
      <c r="A189" s="24"/>
      <c r="B189" s="24"/>
      <c r="C189" s="25"/>
      <c r="D189" s="24"/>
      <c r="E189" s="26" t="str">
        <f>IFERROR(VLOOKUP(D189,'04_Master Karyawan'!$A$5:$F$50,2,FALSE),"")</f>
        <v/>
      </c>
      <c r="F189" s="24"/>
      <c r="G189" s="26" t="str">
        <f>IFERROR(VLOOKUP(F189,'05_Master KPI'!$B$5:$G$100,2,FALSE)&amp;" ("&amp;VLOOKUP(F189,'05_Master KPI'!$B$5:$G$100,3,FALSE)&amp;")","")</f>
        <v/>
      </c>
      <c r="H189" s="26">
        <f>IFERROR(IF(B189&lt;&gt;'06_Target KPI'!$B$3,0,IF(VLOOKUP(F189,'05_Master KPI'!$B$5:$G$100,6,FALSE)="Kumulatif",INDEX('06_Target KPI'!$E$5:$P$100,MATCH(F189,'06_Target KPI'!$B$5:$B$100,0),MATCH(A189,'06_Target KPI'!$E$4:$P$4,0))*DAY(C189)/DAY(EOMONTH(C189,0)),INDEX('06_Target KPI'!$E$5:$P$100,MATCH(F189,'06_Target KPI'!$B$5:$B$100,0),MATCH(A189,'06_Target KPI'!$E$4:$P$4,0)))),0)</f>
        <v>0</v>
      </c>
      <c r="I189" s="24"/>
      <c r="J189" s="27">
        <f>IFERROR(MIN(IF(VLOOKUP(F189,'05_Master KPI'!$B$5:$G$100,5,FALSE)="Lower",H189/I189,I189/H189),1),0)</f>
        <v>0</v>
      </c>
      <c r="K189" s="26">
        <f>IFERROR(VLOOKUP(F189,'05_Master KPI'!$B$5:$G$100,4,FALSE),0)</f>
        <v>0</v>
      </c>
      <c r="L189" s="28">
        <f t="shared" si="2"/>
        <v>0</v>
      </c>
      <c r="M189" s="26" t="str">
        <f>IF(D189="","",IF(J189&gt;='13_Setting'!$H$7,"Tercapai",IF(J189&gt;='13_Setting'!$H$6,"On Track","Tertinggal")))</f>
        <v/>
      </c>
      <c r="N189" s="24"/>
    </row>
    <row r="190" spans="1:14">
      <c r="A190" s="24"/>
      <c r="B190" s="24"/>
      <c r="C190" s="25"/>
      <c r="D190" s="24"/>
      <c r="E190" s="26" t="str">
        <f>IFERROR(VLOOKUP(D190,'04_Master Karyawan'!$A$5:$F$50,2,FALSE),"")</f>
        <v/>
      </c>
      <c r="F190" s="24"/>
      <c r="G190" s="26" t="str">
        <f>IFERROR(VLOOKUP(F190,'05_Master KPI'!$B$5:$G$100,2,FALSE)&amp;" ("&amp;VLOOKUP(F190,'05_Master KPI'!$B$5:$G$100,3,FALSE)&amp;")","")</f>
        <v/>
      </c>
      <c r="H190" s="26">
        <f>IFERROR(IF(B190&lt;&gt;'06_Target KPI'!$B$3,0,IF(VLOOKUP(F190,'05_Master KPI'!$B$5:$G$100,6,FALSE)="Kumulatif",INDEX('06_Target KPI'!$E$5:$P$100,MATCH(F190,'06_Target KPI'!$B$5:$B$100,0),MATCH(A190,'06_Target KPI'!$E$4:$P$4,0))*DAY(C190)/DAY(EOMONTH(C190,0)),INDEX('06_Target KPI'!$E$5:$P$100,MATCH(F190,'06_Target KPI'!$B$5:$B$100,0),MATCH(A190,'06_Target KPI'!$E$4:$P$4,0)))),0)</f>
        <v>0</v>
      </c>
      <c r="I190" s="24"/>
      <c r="J190" s="27">
        <f>IFERROR(MIN(IF(VLOOKUP(F190,'05_Master KPI'!$B$5:$G$100,5,FALSE)="Lower",H190/I190,I190/H190),1),0)</f>
        <v>0</v>
      </c>
      <c r="K190" s="26">
        <f>IFERROR(VLOOKUP(F190,'05_Master KPI'!$B$5:$G$100,4,FALSE),0)</f>
        <v>0</v>
      </c>
      <c r="L190" s="28">
        <f t="shared" si="2"/>
        <v>0</v>
      </c>
      <c r="M190" s="26" t="str">
        <f>IF(D190="","",IF(J190&gt;='13_Setting'!$H$7,"Tercapai",IF(J190&gt;='13_Setting'!$H$6,"On Track","Tertinggal")))</f>
        <v/>
      </c>
      <c r="N190" s="24"/>
    </row>
    <row r="191" spans="1:14">
      <c r="A191" s="24"/>
      <c r="B191" s="24"/>
      <c r="C191" s="25"/>
      <c r="D191" s="24"/>
      <c r="E191" s="26" t="str">
        <f>IFERROR(VLOOKUP(D191,'04_Master Karyawan'!$A$5:$F$50,2,FALSE),"")</f>
        <v/>
      </c>
      <c r="F191" s="24"/>
      <c r="G191" s="26" t="str">
        <f>IFERROR(VLOOKUP(F191,'05_Master KPI'!$B$5:$G$100,2,FALSE)&amp;" ("&amp;VLOOKUP(F191,'05_Master KPI'!$B$5:$G$100,3,FALSE)&amp;")","")</f>
        <v/>
      </c>
      <c r="H191" s="26">
        <f>IFERROR(IF(B191&lt;&gt;'06_Target KPI'!$B$3,0,IF(VLOOKUP(F191,'05_Master KPI'!$B$5:$G$100,6,FALSE)="Kumulatif",INDEX('06_Target KPI'!$E$5:$P$100,MATCH(F191,'06_Target KPI'!$B$5:$B$100,0),MATCH(A191,'06_Target KPI'!$E$4:$P$4,0))*DAY(C191)/DAY(EOMONTH(C191,0)),INDEX('06_Target KPI'!$E$5:$P$100,MATCH(F191,'06_Target KPI'!$B$5:$B$100,0),MATCH(A191,'06_Target KPI'!$E$4:$P$4,0)))),0)</f>
        <v>0</v>
      </c>
      <c r="I191" s="24"/>
      <c r="J191" s="27">
        <f>IFERROR(MIN(IF(VLOOKUP(F191,'05_Master KPI'!$B$5:$G$100,5,FALSE)="Lower",H191/I191,I191/H191),1),0)</f>
        <v>0</v>
      </c>
      <c r="K191" s="26">
        <f>IFERROR(VLOOKUP(F191,'05_Master KPI'!$B$5:$G$100,4,FALSE),0)</f>
        <v>0</v>
      </c>
      <c r="L191" s="28">
        <f t="shared" si="2"/>
        <v>0</v>
      </c>
      <c r="M191" s="26" t="str">
        <f>IF(D191="","",IF(J191&gt;='13_Setting'!$H$7,"Tercapai",IF(J191&gt;='13_Setting'!$H$6,"On Track","Tertinggal")))</f>
        <v/>
      </c>
      <c r="N191" s="24"/>
    </row>
    <row r="192" spans="1:14">
      <c r="A192" s="24"/>
      <c r="B192" s="24"/>
      <c r="C192" s="25"/>
      <c r="D192" s="24"/>
      <c r="E192" s="26" t="str">
        <f>IFERROR(VLOOKUP(D192,'04_Master Karyawan'!$A$5:$F$50,2,FALSE),"")</f>
        <v/>
      </c>
      <c r="F192" s="24"/>
      <c r="G192" s="26" t="str">
        <f>IFERROR(VLOOKUP(F192,'05_Master KPI'!$B$5:$G$100,2,FALSE)&amp;" ("&amp;VLOOKUP(F192,'05_Master KPI'!$B$5:$G$100,3,FALSE)&amp;")","")</f>
        <v/>
      </c>
      <c r="H192" s="26">
        <f>IFERROR(IF(B192&lt;&gt;'06_Target KPI'!$B$3,0,IF(VLOOKUP(F192,'05_Master KPI'!$B$5:$G$100,6,FALSE)="Kumulatif",INDEX('06_Target KPI'!$E$5:$P$100,MATCH(F192,'06_Target KPI'!$B$5:$B$100,0),MATCH(A192,'06_Target KPI'!$E$4:$P$4,0))*DAY(C192)/DAY(EOMONTH(C192,0)),INDEX('06_Target KPI'!$E$5:$P$100,MATCH(F192,'06_Target KPI'!$B$5:$B$100,0),MATCH(A192,'06_Target KPI'!$E$4:$P$4,0)))),0)</f>
        <v>0</v>
      </c>
      <c r="I192" s="24"/>
      <c r="J192" s="27">
        <f>IFERROR(MIN(IF(VLOOKUP(F192,'05_Master KPI'!$B$5:$G$100,5,FALSE)="Lower",H192/I192,I192/H192),1),0)</f>
        <v>0</v>
      </c>
      <c r="K192" s="26">
        <f>IFERROR(VLOOKUP(F192,'05_Master KPI'!$B$5:$G$100,4,FALSE),0)</f>
        <v>0</v>
      </c>
      <c r="L192" s="28">
        <f t="shared" si="2"/>
        <v>0</v>
      </c>
      <c r="M192" s="26" t="str">
        <f>IF(D192="","",IF(J192&gt;='13_Setting'!$H$7,"Tercapai",IF(J192&gt;='13_Setting'!$H$6,"On Track","Tertinggal")))</f>
        <v/>
      </c>
      <c r="N192" s="24"/>
    </row>
    <row r="193" spans="1:14">
      <c r="A193" s="24"/>
      <c r="B193" s="24"/>
      <c r="C193" s="25"/>
      <c r="D193" s="24"/>
      <c r="E193" s="26" t="str">
        <f>IFERROR(VLOOKUP(D193,'04_Master Karyawan'!$A$5:$F$50,2,FALSE),"")</f>
        <v/>
      </c>
      <c r="F193" s="24"/>
      <c r="G193" s="26" t="str">
        <f>IFERROR(VLOOKUP(F193,'05_Master KPI'!$B$5:$G$100,2,FALSE)&amp;" ("&amp;VLOOKUP(F193,'05_Master KPI'!$B$5:$G$100,3,FALSE)&amp;")","")</f>
        <v/>
      </c>
      <c r="H193" s="26">
        <f>IFERROR(IF(B193&lt;&gt;'06_Target KPI'!$B$3,0,IF(VLOOKUP(F193,'05_Master KPI'!$B$5:$G$100,6,FALSE)="Kumulatif",INDEX('06_Target KPI'!$E$5:$P$100,MATCH(F193,'06_Target KPI'!$B$5:$B$100,0),MATCH(A193,'06_Target KPI'!$E$4:$P$4,0))*DAY(C193)/DAY(EOMONTH(C193,0)),INDEX('06_Target KPI'!$E$5:$P$100,MATCH(F193,'06_Target KPI'!$B$5:$B$100,0),MATCH(A193,'06_Target KPI'!$E$4:$P$4,0)))),0)</f>
        <v>0</v>
      </c>
      <c r="I193" s="24"/>
      <c r="J193" s="27">
        <f>IFERROR(MIN(IF(VLOOKUP(F193,'05_Master KPI'!$B$5:$G$100,5,FALSE)="Lower",H193/I193,I193/H193),1),0)</f>
        <v>0</v>
      </c>
      <c r="K193" s="26">
        <f>IFERROR(VLOOKUP(F193,'05_Master KPI'!$B$5:$G$100,4,FALSE),0)</f>
        <v>0</v>
      </c>
      <c r="L193" s="28">
        <f t="shared" si="2"/>
        <v>0</v>
      </c>
      <c r="M193" s="26" t="str">
        <f>IF(D193="","",IF(J193&gt;='13_Setting'!$H$7,"Tercapai",IF(J193&gt;='13_Setting'!$H$6,"On Track","Tertinggal")))</f>
        <v/>
      </c>
      <c r="N193" s="24"/>
    </row>
    <row r="194" spans="1:14">
      <c r="A194" s="24"/>
      <c r="B194" s="24"/>
      <c r="C194" s="25"/>
      <c r="D194" s="24"/>
      <c r="E194" s="26" t="str">
        <f>IFERROR(VLOOKUP(D194,'04_Master Karyawan'!$A$5:$F$50,2,FALSE),"")</f>
        <v/>
      </c>
      <c r="F194" s="24"/>
      <c r="G194" s="26" t="str">
        <f>IFERROR(VLOOKUP(F194,'05_Master KPI'!$B$5:$G$100,2,FALSE)&amp;" ("&amp;VLOOKUP(F194,'05_Master KPI'!$B$5:$G$100,3,FALSE)&amp;")","")</f>
        <v/>
      </c>
      <c r="H194" s="26">
        <f>IFERROR(IF(B194&lt;&gt;'06_Target KPI'!$B$3,0,IF(VLOOKUP(F194,'05_Master KPI'!$B$5:$G$100,6,FALSE)="Kumulatif",INDEX('06_Target KPI'!$E$5:$P$100,MATCH(F194,'06_Target KPI'!$B$5:$B$100,0),MATCH(A194,'06_Target KPI'!$E$4:$P$4,0))*DAY(C194)/DAY(EOMONTH(C194,0)),INDEX('06_Target KPI'!$E$5:$P$100,MATCH(F194,'06_Target KPI'!$B$5:$B$100,0),MATCH(A194,'06_Target KPI'!$E$4:$P$4,0)))),0)</f>
        <v>0</v>
      </c>
      <c r="I194" s="24"/>
      <c r="J194" s="27">
        <f>IFERROR(MIN(IF(VLOOKUP(F194,'05_Master KPI'!$B$5:$G$100,5,FALSE)="Lower",H194/I194,I194/H194),1),0)</f>
        <v>0</v>
      </c>
      <c r="K194" s="26">
        <f>IFERROR(VLOOKUP(F194,'05_Master KPI'!$B$5:$G$100,4,FALSE),0)</f>
        <v>0</v>
      </c>
      <c r="L194" s="28">
        <f t="shared" si="2"/>
        <v>0</v>
      </c>
      <c r="M194" s="26" t="str">
        <f>IF(D194="","",IF(J194&gt;='13_Setting'!$H$7,"Tercapai",IF(J194&gt;='13_Setting'!$H$6,"On Track","Tertinggal")))</f>
        <v/>
      </c>
      <c r="N194" s="24"/>
    </row>
    <row r="195" spans="1:14">
      <c r="A195" s="24"/>
      <c r="B195" s="24"/>
      <c r="C195" s="25"/>
      <c r="D195" s="24"/>
      <c r="E195" s="26" t="str">
        <f>IFERROR(VLOOKUP(D195,'04_Master Karyawan'!$A$5:$F$50,2,FALSE),"")</f>
        <v/>
      </c>
      <c r="F195" s="24"/>
      <c r="G195" s="26" t="str">
        <f>IFERROR(VLOOKUP(F195,'05_Master KPI'!$B$5:$G$100,2,FALSE)&amp;" ("&amp;VLOOKUP(F195,'05_Master KPI'!$B$5:$G$100,3,FALSE)&amp;")","")</f>
        <v/>
      </c>
      <c r="H195" s="26">
        <f>IFERROR(IF(B195&lt;&gt;'06_Target KPI'!$B$3,0,IF(VLOOKUP(F195,'05_Master KPI'!$B$5:$G$100,6,FALSE)="Kumulatif",INDEX('06_Target KPI'!$E$5:$P$100,MATCH(F195,'06_Target KPI'!$B$5:$B$100,0),MATCH(A195,'06_Target KPI'!$E$4:$P$4,0))*DAY(C195)/DAY(EOMONTH(C195,0)),INDEX('06_Target KPI'!$E$5:$P$100,MATCH(F195,'06_Target KPI'!$B$5:$B$100,0),MATCH(A195,'06_Target KPI'!$E$4:$P$4,0)))),0)</f>
        <v>0</v>
      </c>
      <c r="I195" s="24"/>
      <c r="J195" s="27">
        <f>IFERROR(MIN(IF(VLOOKUP(F195,'05_Master KPI'!$B$5:$G$100,5,FALSE)="Lower",H195/I195,I195/H195),1),0)</f>
        <v>0</v>
      </c>
      <c r="K195" s="26">
        <f>IFERROR(VLOOKUP(F195,'05_Master KPI'!$B$5:$G$100,4,FALSE),0)</f>
        <v>0</v>
      </c>
      <c r="L195" s="28">
        <f t="shared" si="2"/>
        <v>0</v>
      </c>
      <c r="M195" s="26" t="str">
        <f>IF(D195="","",IF(J195&gt;='13_Setting'!$H$7,"Tercapai",IF(J195&gt;='13_Setting'!$H$6,"On Track","Tertinggal")))</f>
        <v/>
      </c>
      <c r="N195" s="24"/>
    </row>
    <row r="196" spans="1:14">
      <c r="A196" s="24"/>
      <c r="B196" s="24"/>
      <c r="C196" s="25"/>
      <c r="D196" s="24"/>
      <c r="E196" s="26" t="str">
        <f>IFERROR(VLOOKUP(D196,'04_Master Karyawan'!$A$5:$F$50,2,FALSE),"")</f>
        <v/>
      </c>
      <c r="F196" s="24"/>
      <c r="G196" s="26" t="str">
        <f>IFERROR(VLOOKUP(F196,'05_Master KPI'!$B$5:$G$100,2,FALSE)&amp;" ("&amp;VLOOKUP(F196,'05_Master KPI'!$B$5:$G$100,3,FALSE)&amp;")","")</f>
        <v/>
      </c>
      <c r="H196" s="26">
        <f>IFERROR(IF(B196&lt;&gt;'06_Target KPI'!$B$3,0,IF(VLOOKUP(F196,'05_Master KPI'!$B$5:$G$100,6,FALSE)="Kumulatif",INDEX('06_Target KPI'!$E$5:$P$100,MATCH(F196,'06_Target KPI'!$B$5:$B$100,0),MATCH(A196,'06_Target KPI'!$E$4:$P$4,0))*DAY(C196)/DAY(EOMONTH(C196,0)),INDEX('06_Target KPI'!$E$5:$P$100,MATCH(F196,'06_Target KPI'!$B$5:$B$100,0),MATCH(A196,'06_Target KPI'!$E$4:$P$4,0)))),0)</f>
        <v>0</v>
      </c>
      <c r="I196" s="24"/>
      <c r="J196" s="27">
        <f>IFERROR(MIN(IF(VLOOKUP(F196,'05_Master KPI'!$B$5:$G$100,5,FALSE)="Lower",H196/I196,I196/H196),1),0)</f>
        <v>0</v>
      </c>
      <c r="K196" s="26">
        <f>IFERROR(VLOOKUP(F196,'05_Master KPI'!$B$5:$G$100,4,FALSE),0)</f>
        <v>0</v>
      </c>
      <c r="L196" s="28">
        <f t="shared" si="2"/>
        <v>0</v>
      </c>
      <c r="M196" s="26" t="str">
        <f>IF(D196="","",IF(J196&gt;='13_Setting'!$H$7,"Tercapai",IF(J196&gt;='13_Setting'!$H$6,"On Track","Tertinggal")))</f>
        <v/>
      </c>
      <c r="N196" s="24"/>
    </row>
    <row r="197" spans="1:14">
      <c r="A197" s="24"/>
      <c r="B197" s="24"/>
      <c r="C197" s="25"/>
      <c r="D197" s="24"/>
      <c r="E197" s="26" t="str">
        <f>IFERROR(VLOOKUP(D197,'04_Master Karyawan'!$A$5:$F$50,2,FALSE),"")</f>
        <v/>
      </c>
      <c r="F197" s="24"/>
      <c r="G197" s="26" t="str">
        <f>IFERROR(VLOOKUP(F197,'05_Master KPI'!$B$5:$G$100,2,FALSE)&amp;" ("&amp;VLOOKUP(F197,'05_Master KPI'!$B$5:$G$100,3,FALSE)&amp;")","")</f>
        <v/>
      </c>
      <c r="H197" s="26">
        <f>IFERROR(IF(B197&lt;&gt;'06_Target KPI'!$B$3,0,IF(VLOOKUP(F197,'05_Master KPI'!$B$5:$G$100,6,FALSE)="Kumulatif",INDEX('06_Target KPI'!$E$5:$P$100,MATCH(F197,'06_Target KPI'!$B$5:$B$100,0),MATCH(A197,'06_Target KPI'!$E$4:$P$4,0))*DAY(C197)/DAY(EOMONTH(C197,0)),INDEX('06_Target KPI'!$E$5:$P$100,MATCH(F197,'06_Target KPI'!$B$5:$B$100,0),MATCH(A197,'06_Target KPI'!$E$4:$P$4,0)))),0)</f>
        <v>0</v>
      </c>
      <c r="I197" s="24"/>
      <c r="J197" s="27">
        <f>IFERROR(MIN(IF(VLOOKUP(F197,'05_Master KPI'!$B$5:$G$100,5,FALSE)="Lower",H197/I197,I197/H197),1),0)</f>
        <v>0</v>
      </c>
      <c r="K197" s="26">
        <f>IFERROR(VLOOKUP(F197,'05_Master KPI'!$B$5:$G$100,4,FALSE),0)</f>
        <v>0</v>
      </c>
      <c r="L197" s="28">
        <f t="shared" ref="L197:L260" si="3">J197*K197</f>
        <v>0</v>
      </c>
      <c r="M197" s="26" t="str">
        <f>IF(D197="","",IF(J197&gt;='13_Setting'!$H$7,"Tercapai",IF(J197&gt;='13_Setting'!$H$6,"On Track","Tertinggal")))</f>
        <v/>
      </c>
      <c r="N197" s="24"/>
    </row>
    <row r="198" spans="1:14">
      <c r="A198" s="24"/>
      <c r="B198" s="24"/>
      <c r="C198" s="25"/>
      <c r="D198" s="24"/>
      <c r="E198" s="26" t="str">
        <f>IFERROR(VLOOKUP(D198,'04_Master Karyawan'!$A$5:$F$50,2,FALSE),"")</f>
        <v/>
      </c>
      <c r="F198" s="24"/>
      <c r="G198" s="26" t="str">
        <f>IFERROR(VLOOKUP(F198,'05_Master KPI'!$B$5:$G$100,2,FALSE)&amp;" ("&amp;VLOOKUP(F198,'05_Master KPI'!$B$5:$G$100,3,FALSE)&amp;")","")</f>
        <v/>
      </c>
      <c r="H198" s="26">
        <f>IFERROR(IF(B198&lt;&gt;'06_Target KPI'!$B$3,0,IF(VLOOKUP(F198,'05_Master KPI'!$B$5:$G$100,6,FALSE)="Kumulatif",INDEX('06_Target KPI'!$E$5:$P$100,MATCH(F198,'06_Target KPI'!$B$5:$B$100,0),MATCH(A198,'06_Target KPI'!$E$4:$P$4,0))*DAY(C198)/DAY(EOMONTH(C198,0)),INDEX('06_Target KPI'!$E$5:$P$100,MATCH(F198,'06_Target KPI'!$B$5:$B$100,0),MATCH(A198,'06_Target KPI'!$E$4:$P$4,0)))),0)</f>
        <v>0</v>
      </c>
      <c r="I198" s="24"/>
      <c r="J198" s="27">
        <f>IFERROR(MIN(IF(VLOOKUP(F198,'05_Master KPI'!$B$5:$G$100,5,FALSE)="Lower",H198/I198,I198/H198),1),0)</f>
        <v>0</v>
      </c>
      <c r="K198" s="26">
        <f>IFERROR(VLOOKUP(F198,'05_Master KPI'!$B$5:$G$100,4,FALSE),0)</f>
        <v>0</v>
      </c>
      <c r="L198" s="28">
        <f t="shared" si="3"/>
        <v>0</v>
      </c>
      <c r="M198" s="26" t="str">
        <f>IF(D198="","",IF(J198&gt;='13_Setting'!$H$7,"Tercapai",IF(J198&gt;='13_Setting'!$H$6,"On Track","Tertinggal")))</f>
        <v/>
      </c>
      <c r="N198" s="24"/>
    </row>
    <row r="199" spans="1:14">
      <c r="A199" s="24"/>
      <c r="B199" s="24"/>
      <c r="C199" s="25"/>
      <c r="D199" s="24"/>
      <c r="E199" s="26" t="str">
        <f>IFERROR(VLOOKUP(D199,'04_Master Karyawan'!$A$5:$F$50,2,FALSE),"")</f>
        <v/>
      </c>
      <c r="F199" s="24"/>
      <c r="G199" s="26" t="str">
        <f>IFERROR(VLOOKUP(F199,'05_Master KPI'!$B$5:$G$100,2,FALSE)&amp;" ("&amp;VLOOKUP(F199,'05_Master KPI'!$B$5:$G$100,3,FALSE)&amp;")","")</f>
        <v/>
      </c>
      <c r="H199" s="26">
        <f>IFERROR(IF(B199&lt;&gt;'06_Target KPI'!$B$3,0,IF(VLOOKUP(F199,'05_Master KPI'!$B$5:$G$100,6,FALSE)="Kumulatif",INDEX('06_Target KPI'!$E$5:$P$100,MATCH(F199,'06_Target KPI'!$B$5:$B$100,0),MATCH(A199,'06_Target KPI'!$E$4:$P$4,0))*DAY(C199)/DAY(EOMONTH(C199,0)),INDEX('06_Target KPI'!$E$5:$P$100,MATCH(F199,'06_Target KPI'!$B$5:$B$100,0),MATCH(A199,'06_Target KPI'!$E$4:$P$4,0)))),0)</f>
        <v>0</v>
      </c>
      <c r="I199" s="24"/>
      <c r="J199" s="27">
        <f>IFERROR(MIN(IF(VLOOKUP(F199,'05_Master KPI'!$B$5:$G$100,5,FALSE)="Lower",H199/I199,I199/H199),1),0)</f>
        <v>0</v>
      </c>
      <c r="K199" s="26">
        <f>IFERROR(VLOOKUP(F199,'05_Master KPI'!$B$5:$G$100,4,FALSE),0)</f>
        <v>0</v>
      </c>
      <c r="L199" s="28">
        <f t="shared" si="3"/>
        <v>0</v>
      </c>
      <c r="M199" s="26" t="str">
        <f>IF(D199="","",IF(J199&gt;='13_Setting'!$H$7,"Tercapai",IF(J199&gt;='13_Setting'!$H$6,"On Track","Tertinggal")))</f>
        <v/>
      </c>
      <c r="N199" s="24"/>
    </row>
    <row r="200" spans="1:14">
      <c r="A200" s="24"/>
      <c r="B200" s="24"/>
      <c r="C200" s="25"/>
      <c r="D200" s="24"/>
      <c r="E200" s="26" t="str">
        <f>IFERROR(VLOOKUP(D200,'04_Master Karyawan'!$A$5:$F$50,2,FALSE),"")</f>
        <v/>
      </c>
      <c r="F200" s="24"/>
      <c r="G200" s="26" t="str">
        <f>IFERROR(VLOOKUP(F200,'05_Master KPI'!$B$5:$G$100,2,FALSE)&amp;" ("&amp;VLOOKUP(F200,'05_Master KPI'!$B$5:$G$100,3,FALSE)&amp;")","")</f>
        <v/>
      </c>
      <c r="H200" s="26">
        <f>IFERROR(IF(B200&lt;&gt;'06_Target KPI'!$B$3,0,IF(VLOOKUP(F200,'05_Master KPI'!$B$5:$G$100,6,FALSE)="Kumulatif",INDEX('06_Target KPI'!$E$5:$P$100,MATCH(F200,'06_Target KPI'!$B$5:$B$100,0),MATCH(A200,'06_Target KPI'!$E$4:$P$4,0))*DAY(C200)/DAY(EOMONTH(C200,0)),INDEX('06_Target KPI'!$E$5:$P$100,MATCH(F200,'06_Target KPI'!$B$5:$B$100,0),MATCH(A200,'06_Target KPI'!$E$4:$P$4,0)))),0)</f>
        <v>0</v>
      </c>
      <c r="I200" s="24"/>
      <c r="J200" s="27">
        <f>IFERROR(MIN(IF(VLOOKUP(F200,'05_Master KPI'!$B$5:$G$100,5,FALSE)="Lower",H200/I200,I200/H200),1),0)</f>
        <v>0</v>
      </c>
      <c r="K200" s="26">
        <f>IFERROR(VLOOKUP(F200,'05_Master KPI'!$B$5:$G$100,4,FALSE),0)</f>
        <v>0</v>
      </c>
      <c r="L200" s="28">
        <f t="shared" si="3"/>
        <v>0</v>
      </c>
      <c r="M200" s="26" t="str">
        <f>IF(D200="","",IF(J200&gt;='13_Setting'!$H$7,"Tercapai",IF(J200&gt;='13_Setting'!$H$6,"On Track","Tertinggal")))</f>
        <v/>
      </c>
      <c r="N200" s="24"/>
    </row>
    <row r="201" spans="1:14">
      <c r="A201" s="24"/>
      <c r="B201" s="24"/>
      <c r="C201" s="25"/>
      <c r="D201" s="24"/>
      <c r="E201" s="26" t="str">
        <f>IFERROR(VLOOKUP(D201,'04_Master Karyawan'!$A$5:$F$50,2,FALSE),"")</f>
        <v/>
      </c>
      <c r="F201" s="24"/>
      <c r="G201" s="26" t="str">
        <f>IFERROR(VLOOKUP(F201,'05_Master KPI'!$B$5:$G$100,2,FALSE)&amp;" ("&amp;VLOOKUP(F201,'05_Master KPI'!$B$5:$G$100,3,FALSE)&amp;")","")</f>
        <v/>
      </c>
      <c r="H201" s="26">
        <f>IFERROR(IF(B201&lt;&gt;'06_Target KPI'!$B$3,0,IF(VLOOKUP(F201,'05_Master KPI'!$B$5:$G$100,6,FALSE)="Kumulatif",INDEX('06_Target KPI'!$E$5:$P$100,MATCH(F201,'06_Target KPI'!$B$5:$B$100,0),MATCH(A201,'06_Target KPI'!$E$4:$P$4,0))*DAY(C201)/DAY(EOMONTH(C201,0)),INDEX('06_Target KPI'!$E$5:$P$100,MATCH(F201,'06_Target KPI'!$B$5:$B$100,0),MATCH(A201,'06_Target KPI'!$E$4:$P$4,0)))),0)</f>
        <v>0</v>
      </c>
      <c r="I201" s="24"/>
      <c r="J201" s="27">
        <f>IFERROR(MIN(IF(VLOOKUP(F201,'05_Master KPI'!$B$5:$G$100,5,FALSE)="Lower",H201/I201,I201/H201),1),0)</f>
        <v>0</v>
      </c>
      <c r="K201" s="26">
        <f>IFERROR(VLOOKUP(F201,'05_Master KPI'!$B$5:$G$100,4,FALSE),0)</f>
        <v>0</v>
      </c>
      <c r="L201" s="28">
        <f t="shared" si="3"/>
        <v>0</v>
      </c>
      <c r="M201" s="26" t="str">
        <f>IF(D201="","",IF(J201&gt;='13_Setting'!$H$7,"Tercapai",IF(J201&gt;='13_Setting'!$H$6,"On Track","Tertinggal")))</f>
        <v/>
      </c>
      <c r="N201" s="24"/>
    </row>
    <row r="202" spans="1:14">
      <c r="A202" s="24"/>
      <c r="B202" s="24"/>
      <c r="C202" s="25"/>
      <c r="D202" s="24"/>
      <c r="E202" s="26" t="str">
        <f>IFERROR(VLOOKUP(D202,'04_Master Karyawan'!$A$5:$F$50,2,FALSE),"")</f>
        <v/>
      </c>
      <c r="F202" s="24"/>
      <c r="G202" s="26" t="str">
        <f>IFERROR(VLOOKUP(F202,'05_Master KPI'!$B$5:$G$100,2,FALSE)&amp;" ("&amp;VLOOKUP(F202,'05_Master KPI'!$B$5:$G$100,3,FALSE)&amp;")","")</f>
        <v/>
      </c>
      <c r="H202" s="26">
        <f>IFERROR(IF(B202&lt;&gt;'06_Target KPI'!$B$3,0,IF(VLOOKUP(F202,'05_Master KPI'!$B$5:$G$100,6,FALSE)="Kumulatif",INDEX('06_Target KPI'!$E$5:$P$100,MATCH(F202,'06_Target KPI'!$B$5:$B$100,0),MATCH(A202,'06_Target KPI'!$E$4:$P$4,0))*DAY(C202)/DAY(EOMONTH(C202,0)),INDEX('06_Target KPI'!$E$5:$P$100,MATCH(F202,'06_Target KPI'!$B$5:$B$100,0),MATCH(A202,'06_Target KPI'!$E$4:$P$4,0)))),0)</f>
        <v>0</v>
      </c>
      <c r="I202" s="24"/>
      <c r="J202" s="27">
        <f>IFERROR(MIN(IF(VLOOKUP(F202,'05_Master KPI'!$B$5:$G$100,5,FALSE)="Lower",H202/I202,I202/H202),1),0)</f>
        <v>0</v>
      </c>
      <c r="K202" s="26">
        <f>IFERROR(VLOOKUP(F202,'05_Master KPI'!$B$5:$G$100,4,FALSE),0)</f>
        <v>0</v>
      </c>
      <c r="L202" s="28">
        <f t="shared" si="3"/>
        <v>0</v>
      </c>
      <c r="M202" s="26" t="str">
        <f>IF(D202="","",IF(J202&gt;='13_Setting'!$H$7,"Tercapai",IF(J202&gt;='13_Setting'!$H$6,"On Track","Tertinggal")))</f>
        <v/>
      </c>
      <c r="N202" s="24"/>
    </row>
    <row r="203" spans="1:14">
      <c r="A203" s="24"/>
      <c r="B203" s="24"/>
      <c r="C203" s="25"/>
      <c r="D203" s="24"/>
      <c r="E203" s="26" t="str">
        <f>IFERROR(VLOOKUP(D203,'04_Master Karyawan'!$A$5:$F$50,2,FALSE),"")</f>
        <v/>
      </c>
      <c r="F203" s="24"/>
      <c r="G203" s="26" t="str">
        <f>IFERROR(VLOOKUP(F203,'05_Master KPI'!$B$5:$G$100,2,FALSE)&amp;" ("&amp;VLOOKUP(F203,'05_Master KPI'!$B$5:$G$100,3,FALSE)&amp;")","")</f>
        <v/>
      </c>
      <c r="H203" s="26">
        <f>IFERROR(IF(B203&lt;&gt;'06_Target KPI'!$B$3,0,IF(VLOOKUP(F203,'05_Master KPI'!$B$5:$G$100,6,FALSE)="Kumulatif",INDEX('06_Target KPI'!$E$5:$P$100,MATCH(F203,'06_Target KPI'!$B$5:$B$100,0),MATCH(A203,'06_Target KPI'!$E$4:$P$4,0))*DAY(C203)/DAY(EOMONTH(C203,0)),INDEX('06_Target KPI'!$E$5:$P$100,MATCH(F203,'06_Target KPI'!$B$5:$B$100,0),MATCH(A203,'06_Target KPI'!$E$4:$P$4,0)))),0)</f>
        <v>0</v>
      </c>
      <c r="I203" s="24"/>
      <c r="J203" s="27">
        <f>IFERROR(MIN(IF(VLOOKUP(F203,'05_Master KPI'!$B$5:$G$100,5,FALSE)="Lower",H203/I203,I203/H203),1),0)</f>
        <v>0</v>
      </c>
      <c r="K203" s="26">
        <f>IFERROR(VLOOKUP(F203,'05_Master KPI'!$B$5:$G$100,4,FALSE),0)</f>
        <v>0</v>
      </c>
      <c r="L203" s="28">
        <f t="shared" si="3"/>
        <v>0</v>
      </c>
      <c r="M203" s="26" t="str">
        <f>IF(D203="","",IF(J203&gt;='13_Setting'!$H$7,"Tercapai",IF(J203&gt;='13_Setting'!$H$6,"On Track","Tertinggal")))</f>
        <v/>
      </c>
      <c r="N203" s="24"/>
    </row>
    <row r="204" spans="1:14">
      <c r="A204" s="24"/>
      <c r="B204" s="24"/>
      <c r="C204" s="25"/>
      <c r="D204" s="24"/>
      <c r="E204" s="26" t="str">
        <f>IFERROR(VLOOKUP(D204,'04_Master Karyawan'!$A$5:$F$50,2,FALSE),"")</f>
        <v/>
      </c>
      <c r="F204" s="24"/>
      <c r="G204" s="26" t="str">
        <f>IFERROR(VLOOKUP(F204,'05_Master KPI'!$B$5:$G$100,2,FALSE)&amp;" ("&amp;VLOOKUP(F204,'05_Master KPI'!$B$5:$G$100,3,FALSE)&amp;")","")</f>
        <v/>
      </c>
      <c r="H204" s="26">
        <f>IFERROR(IF(B204&lt;&gt;'06_Target KPI'!$B$3,0,IF(VLOOKUP(F204,'05_Master KPI'!$B$5:$G$100,6,FALSE)="Kumulatif",INDEX('06_Target KPI'!$E$5:$P$100,MATCH(F204,'06_Target KPI'!$B$5:$B$100,0),MATCH(A204,'06_Target KPI'!$E$4:$P$4,0))*DAY(C204)/DAY(EOMONTH(C204,0)),INDEX('06_Target KPI'!$E$5:$P$100,MATCH(F204,'06_Target KPI'!$B$5:$B$100,0),MATCH(A204,'06_Target KPI'!$E$4:$P$4,0)))),0)</f>
        <v>0</v>
      </c>
      <c r="I204" s="24"/>
      <c r="J204" s="27">
        <f>IFERROR(MIN(IF(VLOOKUP(F204,'05_Master KPI'!$B$5:$G$100,5,FALSE)="Lower",H204/I204,I204/H204),1),0)</f>
        <v>0</v>
      </c>
      <c r="K204" s="26">
        <f>IFERROR(VLOOKUP(F204,'05_Master KPI'!$B$5:$G$100,4,FALSE),0)</f>
        <v>0</v>
      </c>
      <c r="L204" s="28">
        <f t="shared" si="3"/>
        <v>0</v>
      </c>
      <c r="M204" s="26" t="str">
        <f>IF(D204="","",IF(J204&gt;='13_Setting'!$H$7,"Tercapai",IF(J204&gt;='13_Setting'!$H$6,"On Track","Tertinggal")))</f>
        <v/>
      </c>
      <c r="N204" s="24"/>
    </row>
    <row r="205" spans="1:14">
      <c r="A205" s="24"/>
      <c r="B205" s="24"/>
      <c r="C205" s="25"/>
      <c r="D205" s="24"/>
      <c r="E205" s="26" t="str">
        <f>IFERROR(VLOOKUP(D205,'04_Master Karyawan'!$A$5:$F$50,2,FALSE),"")</f>
        <v/>
      </c>
      <c r="F205" s="24"/>
      <c r="G205" s="26" t="str">
        <f>IFERROR(VLOOKUP(F205,'05_Master KPI'!$B$5:$G$100,2,FALSE)&amp;" ("&amp;VLOOKUP(F205,'05_Master KPI'!$B$5:$G$100,3,FALSE)&amp;")","")</f>
        <v/>
      </c>
      <c r="H205" s="26">
        <f>IFERROR(IF(B205&lt;&gt;'06_Target KPI'!$B$3,0,IF(VLOOKUP(F205,'05_Master KPI'!$B$5:$G$100,6,FALSE)="Kumulatif",INDEX('06_Target KPI'!$E$5:$P$100,MATCH(F205,'06_Target KPI'!$B$5:$B$100,0),MATCH(A205,'06_Target KPI'!$E$4:$P$4,0))*DAY(C205)/DAY(EOMONTH(C205,0)),INDEX('06_Target KPI'!$E$5:$P$100,MATCH(F205,'06_Target KPI'!$B$5:$B$100,0),MATCH(A205,'06_Target KPI'!$E$4:$P$4,0)))),0)</f>
        <v>0</v>
      </c>
      <c r="I205" s="24"/>
      <c r="J205" s="27">
        <f>IFERROR(MIN(IF(VLOOKUP(F205,'05_Master KPI'!$B$5:$G$100,5,FALSE)="Lower",H205/I205,I205/H205),1),0)</f>
        <v>0</v>
      </c>
      <c r="K205" s="26">
        <f>IFERROR(VLOOKUP(F205,'05_Master KPI'!$B$5:$G$100,4,FALSE),0)</f>
        <v>0</v>
      </c>
      <c r="L205" s="28">
        <f t="shared" si="3"/>
        <v>0</v>
      </c>
      <c r="M205" s="26" t="str">
        <f>IF(D205="","",IF(J205&gt;='13_Setting'!$H$7,"Tercapai",IF(J205&gt;='13_Setting'!$H$6,"On Track","Tertinggal")))</f>
        <v/>
      </c>
      <c r="N205" s="24"/>
    </row>
    <row r="206" spans="1:14">
      <c r="A206" s="24"/>
      <c r="B206" s="24"/>
      <c r="C206" s="25"/>
      <c r="D206" s="24"/>
      <c r="E206" s="26" t="str">
        <f>IFERROR(VLOOKUP(D206,'04_Master Karyawan'!$A$5:$F$50,2,FALSE),"")</f>
        <v/>
      </c>
      <c r="F206" s="24"/>
      <c r="G206" s="26" t="str">
        <f>IFERROR(VLOOKUP(F206,'05_Master KPI'!$B$5:$G$100,2,FALSE)&amp;" ("&amp;VLOOKUP(F206,'05_Master KPI'!$B$5:$G$100,3,FALSE)&amp;")","")</f>
        <v/>
      </c>
      <c r="H206" s="26">
        <f>IFERROR(IF(B206&lt;&gt;'06_Target KPI'!$B$3,0,IF(VLOOKUP(F206,'05_Master KPI'!$B$5:$G$100,6,FALSE)="Kumulatif",INDEX('06_Target KPI'!$E$5:$P$100,MATCH(F206,'06_Target KPI'!$B$5:$B$100,0),MATCH(A206,'06_Target KPI'!$E$4:$P$4,0))*DAY(C206)/DAY(EOMONTH(C206,0)),INDEX('06_Target KPI'!$E$5:$P$100,MATCH(F206,'06_Target KPI'!$B$5:$B$100,0),MATCH(A206,'06_Target KPI'!$E$4:$P$4,0)))),0)</f>
        <v>0</v>
      </c>
      <c r="I206" s="24"/>
      <c r="J206" s="27">
        <f>IFERROR(MIN(IF(VLOOKUP(F206,'05_Master KPI'!$B$5:$G$100,5,FALSE)="Lower",H206/I206,I206/H206),1),0)</f>
        <v>0</v>
      </c>
      <c r="K206" s="26">
        <f>IFERROR(VLOOKUP(F206,'05_Master KPI'!$B$5:$G$100,4,FALSE),0)</f>
        <v>0</v>
      </c>
      <c r="L206" s="28">
        <f t="shared" si="3"/>
        <v>0</v>
      </c>
      <c r="M206" s="26" t="str">
        <f>IF(D206="","",IF(J206&gt;='13_Setting'!$H$7,"Tercapai",IF(J206&gt;='13_Setting'!$H$6,"On Track","Tertinggal")))</f>
        <v/>
      </c>
      <c r="N206" s="24"/>
    </row>
    <row r="207" spans="1:14">
      <c r="A207" s="24"/>
      <c r="B207" s="24"/>
      <c r="C207" s="25"/>
      <c r="D207" s="24"/>
      <c r="E207" s="26" t="str">
        <f>IFERROR(VLOOKUP(D207,'04_Master Karyawan'!$A$5:$F$50,2,FALSE),"")</f>
        <v/>
      </c>
      <c r="F207" s="24"/>
      <c r="G207" s="26" t="str">
        <f>IFERROR(VLOOKUP(F207,'05_Master KPI'!$B$5:$G$100,2,FALSE)&amp;" ("&amp;VLOOKUP(F207,'05_Master KPI'!$B$5:$G$100,3,FALSE)&amp;")","")</f>
        <v/>
      </c>
      <c r="H207" s="26">
        <f>IFERROR(IF(B207&lt;&gt;'06_Target KPI'!$B$3,0,IF(VLOOKUP(F207,'05_Master KPI'!$B$5:$G$100,6,FALSE)="Kumulatif",INDEX('06_Target KPI'!$E$5:$P$100,MATCH(F207,'06_Target KPI'!$B$5:$B$100,0),MATCH(A207,'06_Target KPI'!$E$4:$P$4,0))*DAY(C207)/DAY(EOMONTH(C207,0)),INDEX('06_Target KPI'!$E$5:$P$100,MATCH(F207,'06_Target KPI'!$B$5:$B$100,0),MATCH(A207,'06_Target KPI'!$E$4:$P$4,0)))),0)</f>
        <v>0</v>
      </c>
      <c r="I207" s="24"/>
      <c r="J207" s="27">
        <f>IFERROR(MIN(IF(VLOOKUP(F207,'05_Master KPI'!$B$5:$G$100,5,FALSE)="Lower",H207/I207,I207/H207),1),0)</f>
        <v>0</v>
      </c>
      <c r="K207" s="26">
        <f>IFERROR(VLOOKUP(F207,'05_Master KPI'!$B$5:$G$100,4,FALSE),0)</f>
        <v>0</v>
      </c>
      <c r="L207" s="28">
        <f t="shared" si="3"/>
        <v>0</v>
      </c>
      <c r="M207" s="26" t="str">
        <f>IF(D207="","",IF(J207&gt;='13_Setting'!$H$7,"Tercapai",IF(J207&gt;='13_Setting'!$H$6,"On Track","Tertinggal")))</f>
        <v/>
      </c>
      <c r="N207" s="24"/>
    </row>
    <row r="208" spans="1:14">
      <c r="A208" s="24"/>
      <c r="B208" s="24"/>
      <c r="C208" s="25"/>
      <c r="D208" s="24"/>
      <c r="E208" s="26" t="str">
        <f>IFERROR(VLOOKUP(D208,'04_Master Karyawan'!$A$5:$F$50,2,FALSE),"")</f>
        <v/>
      </c>
      <c r="F208" s="24"/>
      <c r="G208" s="26" t="str">
        <f>IFERROR(VLOOKUP(F208,'05_Master KPI'!$B$5:$G$100,2,FALSE)&amp;" ("&amp;VLOOKUP(F208,'05_Master KPI'!$B$5:$G$100,3,FALSE)&amp;")","")</f>
        <v/>
      </c>
      <c r="H208" s="26">
        <f>IFERROR(IF(B208&lt;&gt;'06_Target KPI'!$B$3,0,IF(VLOOKUP(F208,'05_Master KPI'!$B$5:$G$100,6,FALSE)="Kumulatif",INDEX('06_Target KPI'!$E$5:$P$100,MATCH(F208,'06_Target KPI'!$B$5:$B$100,0),MATCH(A208,'06_Target KPI'!$E$4:$P$4,0))*DAY(C208)/DAY(EOMONTH(C208,0)),INDEX('06_Target KPI'!$E$5:$P$100,MATCH(F208,'06_Target KPI'!$B$5:$B$100,0),MATCH(A208,'06_Target KPI'!$E$4:$P$4,0)))),0)</f>
        <v>0</v>
      </c>
      <c r="I208" s="24"/>
      <c r="J208" s="27">
        <f>IFERROR(MIN(IF(VLOOKUP(F208,'05_Master KPI'!$B$5:$G$100,5,FALSE)="Lower",H208/I208,I208/H208),1),0)</f>
        <v>0</v>
      </c>
      <c r="K208" s="26">
        <f>IFERROR(VLOOKUP(F208,'05_Master KPI'!$B$5:$G$100,4,FALSE),0)</f>
        <v>0</v>
      </c>
      <c r="L208" s="28">
        <f t="shared" si="3"/>
        <v>0</v>
      </c>
      <c r="M208" s="26" t="str">
        <f>IF(D208="","",IF(J208&gt;='13_Setting'!$H$7,"Tercapai",IF(J208&gt;='13_Setting'!$H$6,"On Track","Tertinggal")))</f>
        <v/>
      </c>
      <c r="N208" s="24"/>
    </row>
    <row r="209" spans="1:14">
      <c r="A209" s="24"/>
      <c r="B209" s="24"/>
      <c r="C209" s="25"/>
      <c r="D209" s="24"/>
      <c r="E209" s="26" t="str">
        <f>IFERROR(VLOOKUP(D209,'04_Master Karyawan'!$A$5:$F$50,2,FALSE),"")</f>
        <v/>
      </c>
      <c r="F209" s="24"/>
      <c r="G209" s="26" t="str">
        <f>IFERROR(VLOOKUP(F209,'05_Master KPI'!$B$5:$G$100,2,FALSE)&amp;" ("&amp;VLOOKUP(F209,'05_Master KPI'!$B$5:$G$100,3,FALSE)&amp;")","")</f>
        <v/>
      </c>
      <c r="H209" s="26">
        <f>IFERROR(IF(B209&lt;&gt;'06_Target KPI'!$B$3,0,IF(VLOOKUP(F209,'05_Master KPI'!$B$5:$G$100,6,FALSE)="Kumulatif",INDEX('06_Target KPI'!$E$5:$P$100,MATCH(F209,'06_Target KPI'!$B$5:$B$100,0),MATCH(A209,'06_Target KPI'!$E$4:$P$4,0))*DAY(C209)/DAY(EOMONTH(C209,0)),INDEX('06_Target KPI'!$E$5:$P$100,MATCH(F209,'06_Target KPI'!$B$5:$B$100,0),MATCH(A209,'06_Target KPI'!$E$4:$P$4,0)))),0)</f>
        <v>0</v>
      </c>
      <c r="I209" s="24"/>
      <c r="J209" s="27">
        <f>IFERROR(MIN(IF(VLOOKUP(F209,'05_Master KPI'!$B$5:$G$100,5,FALSE)="Lower",H209/I209,I209/H209),1),0)</f>
        <v>0</v>
      </c>
      <c r="K209" s="26">
        <f>IFERROR(VLOOKUP(F209,'05_Master KPI'!$B$5:$G$100,4,FALSE),0)</f>
        <v>0</v>
      </c>
      <c r="L209" s="28">
        <f t="shared" si="3"/>
        <v>0</v>
      </c>
      <c r="M209" s="26" t="str">
        <f>IF(D209="","",IF(J209&gt;='13_Setting'!$H$7,"Tercapai",IF(J209&gt;='13_Setting'!$H$6,"On Track","Tertinggal")))</f>
        <v/>
      </c>
      <c r="N209" s="24"/>
    </row>
    <row r="210" spans="1:14">
      <c r="A210" s="24"/>
      <c r="B210" s="24"/>
      <c r="C210" s="25"/>
      <c r="D210" s="24"/>
      <c r="E210" s="26" t="str">
        <f>IFERROR(VLOOKUP(D210,'04_Master Karyawan'!$A$5:$F$50,2,FALSE),"")</f>
        <v/>
      </c>
      <c r="F210" s="24"/>
      <c r="G210" s="26" t="str">
        <f>IFERROR(VLOOKUP(F210,'05_Master KPI'!$B$5:$G$100,2,FALSE)&amp;" ("&amp;VLOOKUP(F210,'05_Master KPI'!$B$5:$G$100,3,FALSE)&amp;")","")</f>
        <v/>
      </c>
      <c r="H210" s="26">
        <f>IFERROR(IF(B210&lt;&gt;'06_Target KPI'!$B$3,0,IF(VLOOKUP(F210,'05_Master KPI'!$B$5:$G$100,6,FALSE)="Kumulatif",INDEX('06_Target KPI'!$E$5:$P$100,MATCH(F210,'06_Target KPI'!$B$5:$B$100,0),MATCH(A210,'06_Target KPI'!$E$4:$P$4,0))*DAY(C210)/DAY(EOMONTH(C210,0)),INDEX('06_Target KPI'!$E$5:$P$100,MATCH(F210,'06_Target KPI'!$B$5:$B$100,0),MATCH(A210,'06_Target KPI'!$E$4:$P$4,0)))),0)</f>
        <v>0</v>
      </c>
      <c r="I210" s="24"/>
      <c r="J210" s="27">
        <f>IFERROR(MIN(IF(VLOOKUP(F210,'05_Master KPI'!$B$5:$G$100,5,FALSE)="Lower",H210/I210,I210/H210),1),0)</f>
        <v>0</v>
      </c>
      <c r="K210" s="26">
        <f>IFERROR(VLOOKUP(F210,'05_Master KPI'!$B$5:$G$100,4,FALSE),0)</f>
        <v>0</v>
      </c>
      <c r="L210" s="28">
        <f t="shared" si="3"/>
        <v>0</v>
      </c>
      <c r="M210" s="26" t="str">
        <f>IF(D210="","",IF(J210&gt;='13_Setting'!$H$7,"Tercapai",IF(J210&gt;='13_Setting'!$H$6,"On Track","Tertinggal")))</f>
        <v/>
      </c>
      <c r="N210" s="24"/>
    </row>
    <row r="211" spans="1:14">
      <c r="A211" s="24"/>
      <c r="B211" s="24"/>
      <c r="C211" s="25"/>
      <c r="D211" s="24"/>
      <c r="E211" s="26" t="str">
        <f>IFERROR(VLOOKUP(D211,'04_Master Karyawan'!$A$5:$F$50,2,FALSE),"")</f>
        <v/>
      </c>
      <c r="F211" s="24"/>
      <c r="G211" s="26" t="str">
        <f>IFERROR(VLOOKUP(F211,'05_Master KPI'!$B$5:$G$100,2,FALSE)&amp;" ("&amp;VLOOKUP(F211,'05_Master KPI'!$B$5:$G$100,3,FALSE)&amp;")","")</f>
        <v/>
      </c>
      <c r="H211" s="26">
        <f>IFERROR(IF(B211&lt;&gt;'06_Target KPI'!$B$3,0,IF(VLOOKUP(F211,'05_Master KPI'!$B$5:$G$100,6,FALSE)="Kumulatif",INDEX('06_Target KPI'!$E$5:$P$100,MATCH(F211,'06_Target KPI'!$B$5:$B$100,0),MATCH(A211,'06_Target KPI'!$E$4:$P$4,0))*DAY(C211)/DAY(EOMONTH(C211,0)),INDEX('06_Target KPI'!$E$5:$P$100,MATCH(F211,'06_Target KPI'!$B$5:$B$100,0),MATCH(A211,'06_Target KPI'!$E$4:$P$4,0)))),0)</f>
        <v>0</v>
      </c>
      <c r="I211" s="24"/>
      <c r="J211" s="27">
        <f>IFERROR(MIN(IF(VLOOKUP(F211,'05_Master KPI'!$B$5:$G$100,5,FALSE)="Lower",H211/I211,I211/H211),1),0)</f>
        <v>0</v>
      </c>
      <c r="K211" s="26">
        <f>IFERROR(VLOOKUP(F211,'05_Master KPI'!$B$5:$G$100,4,FALSE),0)</f>
        <v>0</v>
      </c>
      <c r="L211" s="28">
        <f t="shared" si="3"/>
        <v>0</v>
      </c>
      <c r="M211" s="26" t="str">
        <f>IF(D211="","",IF(J211&gt;='13_Setting'!$H$7,"Tercapai",IF(J211&gt;='13_Setting'!$H$6,"On Track","Tertinggal")))</f>
        <v/>
      </c>
      <c r="N211" s="24"/>
    </row>
    <row r="212" spans="1:14">
      <c r="A212" s="24"/>
      <c r="B212" s="24"/>
      <c r="C212" s="25"/>
      <c r="D212" s="24"/>
      <c r="E212" s="26" t="str">
        <f>IFERROR(VLOOKUP(D212,'04_Master Karyawan'!$A$5:$F$50,2,FALSE),"")</f>
        <v/>
      </c>
      <c r="F212" s="24"/>
      <c r="G212" s="26" t="str">
        <f>IFERROR(VLOOKUP(F212,'05_Master KPI'!$B$5:$G$100,2,FALSE)&amp;" ("&amp;VLOOKUP(F212,'05_Master KPI'!$B$5:$G$100,3,FALSE)&amp;")","")</f>
        <v/>
      </c>
      <c r="H212" s="26">
        <f>IFERROR(IF(B212&lt;&gt;'06_Target KPI'!$B$3,0,IF(VLOOKUP(F212,'05_Master KPI'!$B$5:$G$100,6,FALSE)="Kumulatif",INDEX('06_Target KPI'!$E$5:$P$100,MATCH(F212,'06_Target KPI'!$B$5:$B$100,0),MATCH(A212,'06_Target KPI'!$E$4:$P$4,0))*DAY(C212)/DAY(EOMONTH(C212,0)),INDEX('06_Target KPI'!$E$5:$P$100,MATCH(F212,'06_Target KPI'!$B$5:$B$100,0),MATCH(A212,'06_Target KPI'!$E$4:$P$4,0)))),0)</f>
        <v>0</v>
      </c>
      <c r="I212" s="24"/>
      <c r="J212" s="27">
        <f>IFERROR(MIN(IF(VLOOKUP(F212,'05_Master KPI'!$B$5:$G$100,5,FALSE)="Lower",H212/I212,I212/H212),1),0)</f>
        <v>0</v>
      </c>
      <c r="K212" s="26">
        <f>IFERROR(VLOOKUP(F212,'05_Master KPI'!$B$5:$G$100,4,FALSE),0)</f>
        <v>0</v>
      </c>
      <c r="L212" s="28">
        <f t="shared" si="3"/>
        <v>0</v>
      </c>
      <c r="M212" s="26" t="str">
        <f>IF(D212="","",IF(J212&gt;='13_Setting'!$H$7,"Tercapai",IF(J212&gt;='13_Setting'!$H$6,"On Track","Tertinggal")))</f>
        <v/>
      </c>
      <c r="N212" s="24"/>
    </row>
    <row r="213" spans="1:14">
      <c r="A213" s="24"/>
      <c r="B213" s="24"/>
      <c r="C213" s="25"/>
      <c r="D213" s="24"/>
      <c r="E213" s="26" t="str">
        <f>IFERROR(VLOOKUP(D213,'04_Master Karyawan'!$A$5:$F$50,2,FALSE),"")</f>
        <v/>
      </c>
      <c r="F213" s="24"/>
      <c r="G213" s="26" t="str">
        <f>IFERROR(VLOOKUP(F213,'05_Master KPI'!$B$5:$G$100,2,FALSE)&amp;" ("&amp;VLOOKUP(F213,'05_Master KPI'!$B$5:$G$100,3,FALSE)&amp;")","")</f>
        <v/>
      </c>
      <c r="H213" s="26">
        <f>IFERROR(IF(B213&lt;&gt;'06_Target KPI'!$B$3,0,IF(VLOOKUP(F213,'05_Master KPI'!$B$5:$G$100,6,FALSE)="Kumulatif",INDEX('06_Target KPI'!$E$5:$P$100,MATCH(F213,'06_Target KPI'!$B$5:$B$100,0),MATCH(A213,'06_Target KPI'!$E$4:$P$4,0))*DAY(C213)/DAY(EOMONTH(C213,0)),INDEX('06_Target KPI'!$E$5:$P$100,MATCH(F213,'06_Target KPI'!$B$5:$B$100,0),MATCH(A213,'06_Target KPI'!$E$4:$P$4,0)))),0)</f>
        <v>0</v>
      </c>
      <c r="I213" s="24"/>
      <c r="J213" s="27">
        <f>IFERROR(MIN(IF(VLOOKUP(F213,'05_Master KPI'!$B$5:$G$100,5,FALSE)="Lower",H213/I213,I213/H213),1),0)</f>
        <v>0</v>
      </c>
      <c r="K213" s="26">
        <f>IFERROR(VLOOKUP(F213,'05_Master KPI'!$B$5:$G$100,4,FALSE),0)</f>
        <v>0</v>
      </c>
      <c r="L213" s="28">
        <f t="shared" si="3"/>
        <v>0</v>
      </c>
      <c r="M213" s="26" t="str">
        <f>IF(D213="","",IF(J213&gt;='13_Setting'!$H$7,"Tercapai",IF(J213&gt;='13_Setting'!$H$6,"On Track","Tertinggal")))</f>
        <v/>
      </c>
      <c r="N213" s="24"/>
    </row>
    <row r="214" spans="1:14">
      <c r="A214" s="24"/>
      <c r="B214" s="24"/>
      <c r="C214" s="25"/>
      <c r="D214" s="24"/>
      <c r="E214" s="26" t="str">
        <f>IFERROR(VLOOKUP(D214,'04_Master Karyawan'!$A$5:$F$50,2,FALSE),"")</f>
        <v/>
      </c>
      <c r="F214" s="24"/>
      <c r="G214" s="26" t="str">
        <f>IFERROR(VLOOKUP(F214,'05_Master KPI'!$B$5:$G$100,2,FALSE)&amp;" ("&amp;VLOOKUP(F214,'05_Master KPI'!$B$5:$G$100,3,FALSE)&amp;")","")</f>
        <v/>
      </c>
      <c r="H214" s="26">
        <f>IFERROR(IF(B214&lt;&gt;'06_Target KPI'!$B$3,0,IF(VLOOKUP(F214,'05_Master KPI'!$B$5:$G$100,6,FALSE)="Kumulatif",INDEX('06_Target KPI'!$E$5:$P$100,MATCH(F214,'06_Target KPI'!$B$5:$B$100,0),MATCH(A214,'06_Target KPI'!$E$4:$P$4,0))*DAY(C214)/DAY(EOMONTH(C214,0)),INDEX('06_Target KPI'!$E$5:$P$100,MATCH(F214,'06_Target KPI'!$B$5:$B$100,0),MATCH(A214,'06_Target KPI'!$E$4:$P$4,0)))),0)</f>
        <v>0</v>
      </c>
      <c r="I214" s="24"/>
      <c r="J214" s="27">
        <f>IFERROR(MIN(IF(VLOOKUP(F214,'05_Master KPI'!$B$5:$G$100,5,FALSE)="Lower",H214/I214,I214/H214),1),0)</f>
        <v>0</v>
      </c>
      <c r="K214" s="26">
        <f>IFERROR(VLOOKUP(F214,'05_Master KPI'!$B$5:$G$100,4,FALSE),0)</f>
        <v>0</v>
      </c>
      <c r="L214" s="28">
        <f t="shared" si="3"/>
        <v>0</v>
      </c>
      <c r="M214" s="26" t="str">
        <f>IF(D214="","",IF(J214&gt;='13_Setting'!$H$7,"Tercapai",IF(J214&gt;='13_Setting'!$H$6,"On Track","Tertinggal")))</f>
        <v/>
      </c>
      <c r="N214" s="24"/>
    </row>
    <row r="215" spans="1:14">
      <c r="A215" s="24"/>
      <c r="B215" s="24"/>
      <c r="C215" s="25"/>
      <c r="D215" s="24"/>
      <c r="E215" s="26" t="str">
        <f>IFERROR(VLOOKUP(D215,'04_Master Karyawan'!$A$5:$F$50,2,FALSE),"")</f>
        <v/>
      </c>
      <c r="F215" s="24"/>
      <c r="G215" s="26" t="str">
        <f>IFERROR(VLOOKUP(F215,'05_Master KPI'!$B$5:$G$100,2,FALSE)&amp;" ("&amp;VLOOKUP(F215,'05_Master KPI'!$B$5:$G$100,3,FALSE)&amp;")","")</f>
        <v/>
      </c>
      <c r="H215" s="26">
        <f>IFERROR(IF(B215&lt;&gt;'06_Target KPI'!$B$3,0,IF(VLOOKUP(F215,'05_Master KPI'!$B$5:$G$100,6,FALSE)="Kumulatif",INDEX('06_Target KPI'!$E$5:$P$100,MATCH(F215,'06_Target KPI'!$B$5:$B$100,0),MATCH(A215,'06_Target KPI'!$E$4:$P$4,0))*DAY(C215)/DAY(EOMONTH(C215,0)),INDEX('06_Target KPI'!$E$5:$P$100,MATCH(F215,'06_Target KPI'!$B$5:$B$100,0),MATCH(A215,'06_Target KPI'!$E$4:$P$4,0)))),0)</f>
        <v>0</v>
      </c>
      <c r="I215" s="24"/>
      <c r="J215" s="27">
        <f>IFERROR(MIN(IF(VLOOKUP(F215,'05_Master KPI'!$B$5:$G$100,5,FALSE)="Lower",H215/I215,I215/H215),1),0)</f>
        <v>0</v>
      </c>
      <c r="K215" s="26">
        <f>IFERROR(VLOOKUP(F215,'05_Master KPI'!$B$5:$G$100,4,FALSE),0)</f>
        <v>0</v>
      </c>
      <c r="L215" s="28">
        <f t="shared" si="3"/>
        <v>0</v>
      </c>
      <c r="M215" s="26" t="str">
        <f>IF(D215="","",IF(J215&gt;='13_Setting'!$H$7,"Tercapai",IF(J215&gt;='13_Setting'!$H$6,"On Track","Tertinggal")))</f>
        <v/>
      </c>
      <c r="N215" s="24"/>
    </row>
    <row r="216" spans="1:14">
      <c r="A216" s="24"/>
      <c r="B216" s="24"/>
      <c r="C216" s="25"/>
      <c r="D216" s="24"/>
      <c r="E216" s="26" t="str">
        <f>IFERROR(VLOOKUP(D216,'04_Master Karyawan'!$A$5:$F$50,2,FALSE),"")</f>
        <v/>
      </c>
      <c r="F216" s="24"/>
      <c r="G216" s="26" t="str">
        <f>IFERROR(VLOOKUP(F216,'05_Master KPI'!$B$5:$G$100,2,FALSE)&amp;" ("&amp;VLOOKUP(F216,'05_Master KPI'!$B$5:$G$100,3,FALSE)&amp;")","")</f>
        <v/>
      </c>
      <c r="H216" s="26">
        <f>IFERROR(IF(B216&lt;&gt;'06_Target KPI'!$B$3,0,IF(VLOOKUP(F216,'05_Master KPI'!$B$5:$G$100,6,FALSE)="Kumulatif",INDEX('06_Target KPI'!$E$5:$P$100,MATCH(F216,'06_Target KPI'!$B$5:$B$100,0),MATCH(A216,'06_Target KPI'!$E$4:$P$4,0))*DAY(C216)/DAY(EOMONTH(C216,0)),INDEX('06_Target KPI'!$E$5:$P$100,MATCH(F216,'06_Target KPI'!$B$5:$B$100,0),MATCH(A216,'06_Target KPI'!$E$4:$P$4,0)))),0)</f>
        <v>0</v>
      </c>
      <c r="I216" s="24"/>
      <c r="J216" s="27">
        <f>IFERROR(MIN(IF(VLOOKUP(F216,'05_Master KPI'!$B$5:$G$100,5,FALSE)="Lower",H216/I216,I216/H216),1),0)</f>
        <v>0</v>
      </c>
      <c r="K216" s="26">
        <f>IFERROR(VLOOKUP(F216,'05_Master KPI'!$B$5:$G$100,4,FALSE),0)</f>
        <v>0</v>
      </c>
      <c r="L216" s="28">
        <f t="shared" si="3"/>
        <v>0</v>
      </c>
      <c r="M216" s="26" t="str">
        <f>IF(D216="","",IF(J216&gt;='13_Setting'!$H$7,"Tercapai",IF(J216&gt;='13_Setting'!$H$6,"On Track","Tertinggal")))</f>
        <v/>
      </c>
      <c r="N216" s="24"/>
    </row>
    <row r="217" spans="1:14">
      <c r="A217" s="24"/>
      <c r="B217" s="24"/>
      <c r="C217" s="25"/>
      <c r="D217" s="24"/>
      <c r="E217" s="26" t="str">
        <f>IFERROR(VLOOKUP(D217,'04_Master Karyawan'!$A$5:$F$50,2,FALSE),"")</f>
        <v/>
      </c>
      <c r="F217" s="24"/>
      <c r="G217" s="26" t="str">
        <f>IFERROR(VLOOKUP(F217,'05_Master KPI'!$B$5:$G$100,2,FALSE)&amp;" ("&amp;VLOOKUP(F217,'05_Master KPI'!$B$5:$G$100,3,FALSE)&amp;")","")</f>
        <v/>
      </c>
      <c r="H217" s="26">
        <f>IFERROR(IF(B217&lt;&gt;'06_Target KPI'!$B$3,0,IF(VLOOKUP(F217,'05_Master KPI'!$B$5:$G$100,6,FALSE)="Kumulatif",INDEX('06_Target KPI'!$E$5:$P$100,MATCH(F217,'06_Target KPI'!$B$5:$B$100,0),MATCH(A217,'06_Target KPI'!$E$4:$P$4,0))*DAY(C217)/DAY(EOMONTH(C217,0)),INDEX('06_Target KPI'!$E$5:$P$100,MATCH(F217,'06_Target KPI'!$B$5:$B$100,0),MATCH(A217,'06_Target KPI'!$E$4:$P$4,0)))),0)</f>
        <v>0</v>
      </c>
      <c r="I217" s="24"/>
      <c r="J217" s="27">
        <f>IFERROR(MIN(IF(VLOOKUP(F217,'05_Master KPI'!$B$5:$G$100,5,FALSE)="Lower",H217/I217,I217/H217),1),0)</f>
        <v>0</v>
      </c>
      <c r="K217" s="26">
        <f>IFERROR(VLOOKUP(F217,'05_Master KPI'!$B$5:$G$100,4,FALSE),0)</f>
        <v>0</v>
      </c>
      <c r="L217" s="28">
        <f t="shared" si="3"/>
        <v>0</v>
      </c>
      <c r="M217" s="26" t="str">
        <f>IF(D217="","",IF(J217&gt;='13_Setting'!$H$7,"Tercapai",IF(J217&gt;='13_Setting'!$H$6,"On Track","Tertinggal")))</f>
        <v/>
      </c>
      <c r="N217" s="24"/>
    </row>
    <row r="218" spans="1:14">
      <c r="A218" s="24"/>
      <c r="B218" s="24"/>
      <c r="C218" s="25"/>
      <c r="D218" s="24"/>
      <c r="E218" s="26" t="str">
        <f>IFERROR(VLOOKUP(D218,'04_Master Karyawan'!$A$5:$F$50,2,FALSE),"")</f>
        <v/>
      </c>
      <c r="F218" s="24"/>
      <c r="G218" s="26" t="str">
        <f>IFERROR(VLOOKUP(F218,'05_Master KPI'!$B$5:$G$100,2,FALSE)&amp;" ("&amp;VLOOKUP(F218,'05_Master KPI'!$B$5:$G$100,3,FALSE)&amp;")","")</f>
        <v/>
      </c>
      <c r="H218" s="26">
        <f>IFERROR(IF(B218&lt;&gt;'06_Target KPI'!$B$3,0,IF(VLOOKUP(F218,'05_Master KPI'!$B$5:$G$100,6,FALSE)="Kumulatif",INDEX('06_Target KPI'!$E$5:$P$100,MATCH(F218,'06_Target KPI'!$B$5:$B$100,0),MATCH(A218,'06_Target KPI'!$E$4:$P$4,0))*DAY(C218)/DAY(EOMONTH(C218,0)),INDEX('06_Target KPI'!$E$5:$P$100,MATCH(F218,'06_Target KPI'!$B$5:$B$100,0),MATCH(A218,'06_Target KPI'!$E$4:$P$4,0)))),0)</f>
        <v>0</v>
      </c>
      <c r="I218" s="24"/>
      <c r="J218" s="27">
        <f>IFERROR(MIN(IF(VLOOKUP(F218,'05_Master KPI'!$B$5:$G$100,5,FALSE)="Lower",H218/I218,I218/H218),1),0)</f>
        <v>0</v>
      </c>
      <c r="K218" s="26">
        <f>IFERROR(VLOOKUP(F218,'05_Master KPI'!$B$5:$G$100,4,FALSE),0)</f>
        <v>0</v>
      </c>
      <c r="L218" s="28">
        <f t="shared" si="3"/>
        <v>0</v>
      </c>
      <c r="M218" s="26" t="str">
        <f>IF(D218="","",IF(J218&gt;='13_Setting'!$H$7,"Tercapai",IF(J218&gt;='13_Setting'!$H$6,"On Track","Tertinggal")))</f>
        <v/>
      </c>
      <c r="N218" s="24"/>
    </row>
    <row r="219" spans="1:14">
      <c r="A219" s="24"/>
      <c r="B219" s="24"/>
      <c r="C219" s="25"/>
      <c r="D219" s="24"/>
      <c r="E219" s="26" t="str">
        <f>IFERROR(VLOOKUP(D219,'04_Master Karyawan'!$A$5:$F$50,2,FALSE),"")</f>
        <v/>
      </c>
      <c r="F219" s="24"/>
      <c r="G219" s="26" t="str">
        <f>IFERROR(VLOOKUP(F219,'05_Master KPI'!$B$5:$G$100,2,FALSE)&amp;" ("&amp;VLOOKUP(F219,'05_Master KPI'!$B$5:$G$100,3,FALSE)&amp;")","")</f>
        <v/>
      </c>
      <c r="H219" s="26">
        <f>IFERROR(IF(B219&lt;&gt;'06_Target KPI'!$B$3,0,IF(VLOOKUP(F219,'05_Master KPI'!$B$5:$G$100,6,FALSE)="Kumulatif",INDEX('06_Target KPI'!$E$5:$P$100,MATCH(F219,'06_Target KPI'!$B$5:$B$100,0),MATCH(A219,'06_Target KPI'!$E$4:$P$4,0))*DAY(C219)/DAY(EOMONTH(C219,0)),INDEX('06_Target KPI'!$E$5:$P$100,MATCH(F219,'06_Target KPI'!$B$5:$B$100,0),MATCH(A219,'06_Target KPI'!$E$4:$P$4,0)))),0)</f>
        <v>0</v>
      </c>
      <c r="I219" s="24"/>
      <c r="J219" s="27">
        <f>IFERROR(MIN(IF(VLOOKUP(F219,'05_Master KPI'!$B$5:$G$100,5,FALSE)="Lower",H219/I219,I219/H219),1),0)</f>
        <v>0</v>
      </c>
      <c r="K219" s="26">
        <f>IFERROR(VLOOKUP(F219,'05_Master KPI'!$B$5:$G$100,4,FALSE),0)</f>
        <v>0</v>
      </c>
      <c r="L219" s="28">
        <f t="shared" si="3"/>
        <v>0</v>
      </c>
      <c r="M219" s="26" t="str">
        <f>IF(D219="","",IF(J219&gt;='13_Setting'!$H$7,"Tercapai",IF(J219&gt;='13_Setting'!$H$6,"On Track","Tertinggal")))</f>
        <v/>
      </c>
      <c r="N219" s="24"/>
    </row>
    <row r="220" spans="1:14">
      <c r="A220" s="24"/>
      <c r="B220" s="24"/>
      <c r="C220" s="25"/>
      <c r="D220" s="24"/>
      <c r="E220" s="26" t="str">
        <f>IFERROR(VLOOKUP(D220,'04_Master Karyawan'!$A$5:$F$50,2,FALSE),"")</f>
        <v/>
      </c>
      <c r="F220" s="24"/>
      <c r="G220" s="26" t="str">
        <f>IFERROR(VLOOKUP(F220,'05_Master KPI'!$B$5:$G$100,2,FALSE)&amp;" ("&amp;VLOOKUP(F220,'05_Master KPI'!$B$5:$G$100,3,FALSE)&amp;")","")</f>
        <v/>
      </c>
      <c r="H220" s="26">
        <f>IFERROR(IF(B220&lt;&gt;'06_Target KPI'!$B$3,0,IF(VLOOKUP(F220,'05_Master KPI'!$B$5:$G$100,6,FALSE)="Kumulatif",INDEX('06_Target KPI'!$E$5:$P$100,MATCH(F220,'06_Target KPI'!$B$5:$B$100,0),MATCH(A220,'06_Target KPI'!$E$4:$P$4,0))*DAY(C220)/DAY(EOMONTH(C220,0)),INDEX('06_Target KPI'!$E$5:$P$100,MATCH(F220,'06_Target KPI'!$B$5:$B$100,0),MATCH(A220,'06_Target KPI'!$E$4:$P$4,0)))),0)</f>
        <v>0</v>
      </c>
      <c r="I220" s="24"/>
      <c r="J220" s="27">
        <f>IFERROR(MIN(IF(VLOOKUP(F220,'05_Master KPI'!$B$5:$G$100,5,FALSE)="Lower",H220/I220,I220/H220),1),0)</f>
        <v>0</v>
      </c>
      <c r="K220" s="26">
        <f>IFERROR(VLOOKUP(F220,'05_Master KPI'!$B$5:$G$100,4,FALSE),0)</f>
        <v>0</v>
      </c>
      <c r="L220" s="28">
        <f t="shared" si="3"/>
        <v>0</v>
      </c>
      <c r="M220" s="26" t="str">
        <f>IF(D220="","",IF(J220&gt;='13_Setting'!$H$7,"Tercapai",IF(J220&gt;='13_Setting'!$H$6,"On Track","Tertinggal")))</f>
        <v/>
      </c>
      <c r="N220" s="24"/>
    </row>
    <row r="221" spans="1:14">
      <c r="A221" s="24"/>
      <c r="B221" s="24"/>
      <c r="C221" s="25"/>
      <c r="D221" s="24"/>
      <c r="E221" s="26" t="str">
        <f>IFERROR(VLOOKUP(D221,'04_Master Karyawan'!$A$5:$F$50,2,FALSE),"")</f>
        <v/>
      </c>
      <c r="F221" s="24"/>
      <c r="G221" s="26" t="str">
        <f>IFERROR(VLOOKUP(F221,'05_Master KPI'!$B$5:$G$100,2,FALSE)&amp;" ("&amp;VLOOKUP(F221,'05_Master KPI'!$B$5:$G$100,3,FALSE)&amp;")","")</f>
        <v/>
      </c>
      <c r="H221" s="26">
        <f>IFERROR(IF(B221&lt;&gt;'06_Target KPI'!$B$3,0,IF(VLOOKUP(F221,'05_Master KPI'!$B$5:$G$100,6,FALSE)="Kumulatif",INDEX('06_Target KPI'!$E$5:$P$100,MATCH(F221,'06_Target KPI'!$B$5:$B$100,0),MATCH(A221,'06_Target KPI'!$E$4:$P$4,0))*DAY(C221)/DAY(EOMONTH(C221,0)),INDEX('06_Target KPI'!$E$5:$P$100,MATCH(F221,'06_Target KPI'!$B$5:$B$100,0),MATCH(A221,'06_Target KPI'!$E$4:$P$4,0)))),0)</f>
        <v>0</v>
      </c>
      <c r="I221" s="24"/>
      <c r="J221" s="27">
        <f>IFERROR(MIN(IF(VLOOKUP(F221,'05_Master KPI'!$B$5:$G$100,5,FALSE)="Lower",H221/I221,I221/H221),1),0)</f>
        <v>0</v>
      </c>
      <c r="K221" s="26">
        <f>IFERROR(VLOOKUP(F221,'05_Master KPI'!$B$5:$G$100,4,FALSE),0)</f>
        <v>0</v>
      </c>
      <c r="L221" s="28">
        <f t="shared" si="3"/>
        <v>0</v>
      </c>
      <c r="M221" s="26" t="str">
        <f>IF(D221="","",IF(J221&gt;='13_Setting'!$H$7,"Tercapai",IF(J221&gt;='13_Setting'!$H$6,"On Track","Tertinggal")))</f>
        <v/>
      </c>
      <c r="N221" s="24"/>
    </row>
    <row r="222" spans="1:14">
      <c r="A222" s="24"/>
      <c r="B222" s="24"/>
      <c r="C222" s="25"/>
      <c r="D222" s="24"/>
      <c r="E222" s="26" t="str">
        <f>IFERROR(VLOOKUP(D222,'04_Master Karyawan'!$A$5:$F$50,2,FALSE),"")</f>
        <v/>
      </c>
      <c r="F222" s="24"/>
      <c r="G222" s="26" t="str">
        <f>IFERROR(VLOOKUP(F222,'05_Master KPI'!$B$5:$G$100,2,FALSE)&amp;" ("&amp;VLOOKUP(F222,'05_Master KPI'!$B$5:$G$100,3,FALSE)&amp;")","")</f>
        <v/>
      </c>
      <c r="H222" s="26">
        <f>IFERROR(IF(B222&lt;&gt;'06_Target KPI'!$B$3,0,IF(VLOOKUP(F222,'05_Master KPI'!$B$5:$G$100,6,FALSE)="Kumulatif",INDEX('06_Target KPI'!$E$5:$P$100,MATCH(F222,'06_Target KPI'!$B$5:$B$100,0),MATCH(A222,'06_Target KPI'!$E$4:$P$4,0))*DAY(C222)/DAY(EOMONTH(C222,0)),INDEX('06_Target KPI'!$E$5:$P$100,MATCH(F222,'06_Target KPI'!$B$5:$B$100,0),MATCH(A222,'06_Target KPI'!$E$4:$P$4,0)))),0)</f>
        <v>0</v>
      </c>
      <c r="I222" s="24"/>
      <c r="J222" s="27">
        <f>IFERROR(MIN(IF(VLOOKUP(F222,'05_Master KPI'!$B$5:$G$100,5,FALSE)="Lower",H222/I222,I222/H222),1),0)</f>
        <v>0</v>
      </c>
      <c r="K222" s="26">
        <f>IFERROR(VLOOKUP(F222,'05_Master KPI'!$B$5:$G$100,4,FALSE),0)</f>
        <v>0</v>
      </c>
      <c r="L222" s="28">
        <f t="shared" si="3"/>
        <v>0</v>
      </c>
      <c r="M222" s="26" t="str">
        <f>IF(D222="","",IF(J222&gt;='13_Setting'!$H$7,"Tercapai",IF(J222&gt;='13_Setting'!$H$6,"On Track","Tertinggal")))</f>
        <v/>
      </c>
      <c r="N222" s="24"/>
    </row>
    <row r="223" spans="1:14">
      <c r="A223" s="24"/>
      <c r="B223" s="24"/>
      <c r="C223" s="25"/>
      <c r="D223" s="24"/>
      <c r="E223" s="26" t="str">
        <f>IFERROR(VLOOKUP(D223,'04_Master Karyawan'!$A$5:$F$50,2,FALSE),"")</f>
        <v/>
      </c>
      <c r="F223" s="24"/>
      <c r="G223" s="26" t="str">
        <f>IFERROR(VLOOKUP(F223,'05_Master KPI'!$B$5:$G$100,2,FALSE)&amp;" ("&amp;VLOOKUP(F223,'05_Master KPI'!$B$5:$G$100,3,FALSE)&amp;")","")</f>
        <v/>
      </c>
      <c r="H223" s="26">
        <f>IFERROR(IF(B223&lt;&gt;'06_Target KPI'!$B$3,0,IF(VLOOKUP(F223,'05_Master KPI'!$B$5:$G$100,6,FALSE)="Kumulatif",INDEX('06_Target KPI'!$E$5:$P$100,MATCH(F223,'06_Target KPI'!$B$5:$B$100,0),MATCH(A223,'06_Target KPI'!$E$4:$P$4,0))*DAY(C223)/DAY(EOMONTH(C223,0)),INDEX('06_Target KPI'!$E$5:$P$100,MATCH(F223,'06_Target KPI'!$B$5:$B$100,0),MATCH(A223,'06_Target KPI'!$E$4:$P$4,0)))),0)</f>
        <v>0</v>
      </c>
      <c r="I223" s="24"/>
      <c r="J223" s="27">
        <f>IFERROR(MIN(IF(VLOOKUP(F223,'05_Master KPI'!$B$5:$G$100,5,FALSE)="Lower",H223/I223,I223/H223),1),0)</f>
        <v>0</v>
      </c>
      <c r="K223" s="26">
        <f>IFERROR(VLOOKUP(F223,'05_Master KPI'!$B$5:$G$100,4,FALSE),0)</f>
        <v>0</v>
      </c>
      <c r="L223" s="28">
        <f t="shared" si="3"/>
        <v>0</v>
      </c>
      <c r="M223" s="26" t="str">
        <f>IF(D223="","",IF(J223&gt;='13_Setting'!$H$7,"Tercapai",IF(J223&gt;='13_Setting'!$H$6,"On Track","Tertinggal")))</f>
        <v/>
      </c>
      <c r="N223" s="24"/>
    </row>
    <row r="224" spans="1:14">
      <c r="A224" s="24"/>
      <c r="B224" s="24"/>
      <c r="C224" s="25"/>
      <c r="D224" s="24"/>
      <c r="E224" s="26" t="str">
        <f>IFERROR(VLOOKUP(D224,'04_Master Karyawan'!$A$5:$F$50,2,FALSE),"")</f>
        <v/>
      </c>
      <c r="F224" s="24"/>
      <c r="G224" s="26" t="str">
        <f>IFERROR(VLOOKUP(F224,'05_Master KPI'!$B$5:$G$100,2,FALSE)&amp;" ("&amp;VLOOKUP(F224,'05_Master KPI'!$B$5:$G$100,3,FALSE)&amp;")","")</f>
        <v/>
      </c>
      <c r="H224" s="26">
        <f>IFERROR(IF(B224&lt;&gt;'06_Target KPI'!$B$3,0,IF(VLOOKUP(F224,'05_Master KPI'!$B$5:$G$100,6,FALSE)="Kumulatif",INDEX('06_Target KPI'!$E$5:$P$100,MATCH(F224,'06_Target KPI'!$B$5:$B$100,0),MATCH(A224,'06_Target KPI'!$E$4:$P$4,0))*DAY(C224)/DAY(EOMONTH(C224,0)),INDEX('06_Target KPI'!$E$5:$P$100,MATCH(F224,'06_Target KPI'!$B$5:$B$100,0),MATCH(A224,'06_Target KPI'!$E$4:$P$4,0)))),0)</f>
        <v>0</v>
      </c>
      <c r="I224" s="24"/>
      <c r="J224" s="27">
        <f>IFERROR(MIN(IF(VLOOKUP(F224,'05_Master KPI'!$B$5:$G$100,5,FALSE)="Lower",H224/I224,I224/H224),1),0)</f>
        <v>0</v>
      </c>
      <c r="K224" s="26">
        <f>IFERROR(VLOOKUP(F224,'05_Master KPI'!$B$5:$G$100,4,FALSE),0)</f>
        <v>0</v>
      </c>
      <c r="L224" s="28">
        <f t="shared" si="3"/>
        <v>0</v>
      </c>
      <c r="M224" s="26" t="str">
        <f>IF(D224="","",IF(J224&gt;='13_Setting'!$H$7,"Tercapai",IF(J224&gt;='13_Setting'!$H$6,"On Track","Tertinggal")))</f>
        <v/>
      </c>
      <c r="N224" s="24"/>
    </row>
    <row r="225" spans="1:14">
      <c r="A225" s="24"/>
      <c r="B225" s="24"/>
      <c r="C225" s="25"/>
      <c r="D225" s="24"/>
      <c r="E225" s="26" t="str">
        <f>IFERROR(VLOOKUP(D225,'04_Master Karyawan'!$A$5:$F$50,2,FALSE),"")</f>
        <v/>
      </c>
      <c r="F225" s="24"/>
      <c r="G225" s="26" t="str">
        <f>IFERROR(VLOOKUP(F225,'05_Master KPI'!$B$5:$G$100,2,FALSE)&amp;" ("&amp;VLOOKUP(F225,'05_Master KPI'!$B$5:$G$100,3,FALSE)&amp;")","")</f>
        <v/>
      </c>
      <c r="H225" s="26">
        <f>IFERROR(IF(B225&lt;&gt;'06_Target KPI'!$B$3,0,IF(VLOOKUP(F225,'05_Master KPI'!$B$5:$G$100,6,FALSE)="Kumulatif",INDEX('06_Target KPI'!$E$5:$P$100,MATCH(F225,'06_Target KPI'!$B$5:$B$100,0),MATCH(A225,'06_Target KPI'!$E$4:$P$4,0))*DAY(C225)/DAY(EOMONTH(C225,0)),INDEX('06_Target KPI'!$E$5:$P$100,MATCH(F225,'06_Target KPI'!$B$5:$B$100,0),MATCH(A225,'06_Target KPI'!$E$4:$P$4,0)))),0)</f>
        <v>0</v>
      </c>
      <c r="I225" s="24"/>
      <c r="J225" s="27">
        <f>IFERROR(MIN(IF(VLOOKUP(F225,'05_Master KPI'!$B$5:$G$100,5,FALSE)="Lower",H225/I225,I225/H225),1),0)</f>
        <v>0</v>
      </c>
      <c r="K225" s="26">
        <f>IFERROR(VLOOKUP(F225,'05_Master KPI'!$B$5:$G$100,4,FALSE),0)</f>
        <v>0</v>
      </c>
      <c r="L225" s="28">
        <f t="shared" si="3"/>
        <v>0</v>
      </c>
      <c r="M225" s="26" t="str">
        <f>IF(D225="","",IF(J225&gt;='13_Setting'!$H$7,"Tercapai",IF(J225&gt;='13_Setting'!$H$6,"On Track","Tertinggal")))</f>
        <v/>
      </c>
      <c r="N225" s="24"/>
    </row>
    <row r="226" spans="1:14">
      <c r="A226" s="24"/>
      <c r="B226" s="24"/>
      <c r="C226" s="25"/>
      <c r="D226" s="24"/>
      <c r="E226" s="26" t="str">
        <f>IFERROR(VLOOKUP(D226,'04_Master Karyawan'!$A$5:$F$50,2,FALSE),"")</f>
        <v/>
      </c>
      <c r="F226" s="24"/>
      <c r="G226" s="26" t="str">
        <f>IFERROR(VLOOKUP(F226,'05_Master KPI'!$B$5:$G$100,2,FALSE)&amp;" ("&amp;VLOOKUP(F226,'05_Master KPI'!$B$5:$G$100,3,FALSE)&amp;")","")</f>
        <v/>
      </c>
      <c r="H226" s="26">
        <f>IFERROR(IF(B226&lt;&gt;'06_Target KPI'!$B$3,0,IF(VLOOKUP(F226,'05_Master KPI'!$B$5:$G$100,6,FALSE)="Kumulatif",INDEX('06_Target KPI'!$E$5:$P$100,MATCH(F226,'06_Target KPI'!$B$5:$B$100,0),MATCH(A226,'06_Target KPI'!$E$4:$P$4,0))*DAY(C226)/DAY(EOMONTH(C226,0)),INDEX('06_Target KPI'!$E$5:$P$100,MATCH(F226,'06_Target KPI'!$B$5:$B$100,0),MATCH(A226,'06_Target KPI'!$E$4:$P$4,0)))),0)</f>
        <v>0</v>
      </c>
      <c r="I226" s="24"/>
      <c r="J226" s="27">
        <f>IFERROR(MIN(IF(VLOOKUP(F226,'05_Master KPI'!$B$5:$G$100,5,FALSE)="Lower",H226/I226,I226/H226),1),0)</f>
        <v>0</v>
      </c>
      <c r="K226" s="26">
        <f>IFERROR(VLOOKUP(F226,'05_Master KPI'!$B$5:$G$100,4,FALSE),0)</f>
        <v>0</v>
      </c>
      <c r="L226" s="28">
        <f t="shared" si="3"/>
        <v>0</v>
      </c>
      <c r="M226" s="26" t="str">
        <f>IF(D226="","",IF(J226&gt;='13_Setting'!$H$7,"Tercapai",IF(J226&gt;='13_Setting'!$H$6,"On Track","Tertinggal")))</f>
        <v/>
      </c>
      <c r="N226" s="24"/>
    </row>
    <row r="227" spans="1:14">
      <c r="A227" s="24"/>
      <c r="B227" s="24"/>
      <c r="C227" s="25"/>
      <c r="D227" s="24"/>
      <c r="E227" s="26" t="str">
        <f>IFERROR(VLOOKUP(D227,'04_Master Karyawan'!$A$5:$F$50,2,FALSE),"")</f>
        <v/>
      </c>
      <c r="F227" s="24"/>
      <c r="G227" s="26" t="str">
        <f>IFERROR(VLOOKUP(F227,'05_Master KPI'!$B$5:$G$100,2,FALSE)&amp;" ("&amp;VLOOKUP(F227,'05_Master KPI'!$B$5:$G$100,3,FALSE)&amp;")","")</f>
        <v/>
      </c>
      <c r="H227" s="26">
        <f>IFERROR(IF(B227&lt;&gt;'06_Target KPI'!$B$3,0,IF(VLOOKUP(F227,'05_Master KPI'!$B$5:$G$100,6,FALSE)="Kumulatif",INDEX('06_Target KPI'!$E$5:$P$100,MATCH(F227,'06_Target KPI'!$B$5:$B$100,0),MATCH(A227,'06_Target KPI'!$E$4:$P$4,0))*DAY(C227)/DAY(EOMONTH(C227,0)),INDEX('06_Target KPI'!$E$5:$P$100,MATCH(F227,'06_Target KPI'!$B$5:$B$100,0),MATCH(A227,'06_Target KPI'!$E$4:$P$4,0)))),0)</f>
        <v>0</v>
      </c>
      <c r="I227" s="24"/>
      <c r="J227" s="27">
        <f>IFERROR(MIN(IF(VLOOKUP(F227,'05_Master KPI'!$B$5:$G$100,5,FALSE)="Lower",H227/I227,I227/H227),1),0)</f>
        <v>0</v>
      </c>
      <c r="K227" s="26">
        <f>IFERROR(VLOOKUP(F227,'05_Master KPI'!$B$5:$G$100,4,FALSE),0)</f>
        <v>0</v>
      </c>
      <c r="L227" s="28">
        <f t="shared" si="3"/>
        <v>0</v>
      </c>
      <c r="M227" s="26" t="str">
        <f>IF(D227="","",IF(J227&gt;='13_Setting'!$H$7,"Tercapai",IF(J227&gt;='13_Setting'!$H$6,"On Track","Tertinggal")))</f>
        <v/>
      </c>
      <c r="N227" s="24"/>
    </row>
    <row r="228" spans="1:14">
      <c r="A228" s="24"/>
      <c r="B228" s="24"/>
      <c r="C228" s="25"/>
      <c r="D228" s="24"/>
      <c r="E228" s="26" t="str">
        <f>IFERROR(VLOOKUP(D228,'04_Master Karyawan'!$A$5:$F$50,2,FALSE),"")</f>
        <v/>
      </c>
      <c r="F228" s="24"/>
      <c r="G228" s="26" t="str">
        <f>IFERROR(VLOOKUP(F228,'05_Master KPI'!$B$5:$G$100,2,FALSE)&amp;" ("&amp;VLOOKUP(F228,'05_Master KPI'!$B$5:$G$100,3,FALSE)&amp;")","")</f>
        <v/>
      </c>
      <c r="H228" s="26">
        <f>IFERROR(IF(B228&lt;&gt;'06_Target KPI'!$B$3,0,IF(VLOOKUP(F228,'05_Master KPI'!$B$5:$G$100,6,FALSE)="Kumulatif",INDEX('06_Target KPI'!$E$5:$P$100,MATCH(F228,'06_Target KPI'!$B$5:$B$100,0),MATCH(A228,'06_Target KPI'!$E$4:$P$4,0))*DAY(C228)/DAY(EOMONTH(C228,0)),INDEX('06_Target KPI'!$E$5:$P$100,MATCH(F228,'06_Target KPI'!$B$5:$B$100,0),MATCH(A228,'06_Target KPI'!$E$4:$P$4,0)))),0)</f>
        <v>0</v>
      </c>
      <c r="I228" s="24"/>
      <c r="J228" s="27">
        <f>IFERROR(MIN(IF(VLOOKUP(F228,'05_Master KPI'!$B$5:$G$100,5,FALSE)="Lower",H228/I228,I228/H228),1),0)</f>
        <v>0</v>
      </c>
      <c r="K228" s="26">
        <f>IFERROR(VLOOKUP(F228,'05_Master KPI'!$B$5:$G$100,4,FALSE),0)</f>
        <v>0</v>
      </c>
      <c r="L228" s="28">
        <f t="shared" si="3"/>
        <v>0</v>
      </c>
      <c r="M228" s="26" t="str">
        <f>IF(D228="","",IF(J228&gt;='13_Setting'!$H$7,"Tercapai",IF(J228&gt;='13_Setting'!$H$6,"On Track","Tertinggal")))</f>
        <v/>
      </c>
      <c r="N228" s="24"/>
    </row>
    <row r="229" spans="1:14">
      <c r="A229" s="24"/>
      <c r="B229" s="24"/>
      <c r="C229" s="25"/>
      <c r="D229" s="24"/>
      <c r="E229" s="26" t="str">
        <f>IFERROR(VLOOKUP(D229,'04_Master Karyawan'!$A$5:$F$50,2,FALSE),"")</f>
        <v/>
      </c>
      <c r="F229" s="24"/>
      <c r="G229" s="26" t="str">
        <f>IFERROR(VLOOKUP(F229,'05_Master KPI'!$B$5:$G$100,2,FALSE)&amp;" ("&amp;VLOOKUP(F229,'05_Master KPI'!$B$5:$G$100,3,FALSE)&amp;")","")</f>
        <v/>
      </c>
      <c r="H229" s="26">
        <f>IFERROR(IF(B229&lt;&gt;'06_Target KPI'!$B$3,0,IF(VLOOKUP(F229,'05_Master KPI'!$B$5:$G$100,6,FALSE)="Kumulatif",INDEX('06_Target KPI'!$E$5:$P$100,MATCH(F229,'06_Target KPI'!$B$5:$B$100,0),MATCH(A229,'06_Target KPI'!$E$4:$P$4,0))*DAY(C229)/DAY(EOMONTH(C229,0)),INDEX('06_Target KPI'!$E$5:$P$100,MATCH(F229,'06_Target KPI'!$B$5:$B$100,0),MATCH(A229,'06_Target KPI'!$E$4:$P$4,0)))),0)</f>
        <v>0</v>
      </c>
      <c r="I229" s="24"/>
      <c r="J229" s="27">
        <f>IFERROR(MIN(IF(VLOOKUP(F229,'05_Master KPI'!$B$5:$G$100,5,FALSE)="Lower",H229/I229,I229/H229),1),0)</f>
        <v>0</v>
      </c>
      <c r="K229" s="26">
        <f>IFERROR(VLOOKUP(F229,'05_Master KPI'!$B$5:$G$100,4,FALSE),0)</f>
        <v>0</v>
      </c>
      <c r="L229" s="28">
        <f t="shared" si="3"/>
        <v>0</v>
      </c>
      <c r="M229" s="26" t="str">
        <f>IF(D229="","",IF(J229&gt;='13_Setting'!$H$7,"Tercapai",IF(J229&gt;='13_Setting'!$H$6,"On Track","Tertinggal")))</f>
        <v/>
      </c>
      <c r="N229" s="24"/>
    </row>
    <row r="230" spans="1:14">
      <c r="A230" s="24"/>
      <c r="B230" s="24"/>
      <c r="C230" s="25"/>
      <c r="D230" s="24"/>
      <c r="E230" s="26" t="str">
        <f>IFERROR(VLOOKUP(D230,'04_Master Karyawan'!$A$5:$F$50,2,FALSE),"")</f>
        <v/>
      </c>
      <c r="F230" s="24"/>
      <c r="G230" s="26" t="str">
        <f>IFERROR(VLOOKUP(F230,'05_Master KPI'!$B$5:$G$100,2,FALSE)&amp;" ("&amp;VLOOKUP(F230,'05_Master KPI'!$B$5:$G$100,3,FALSE)&amp;")","")</f>
        <v/>
      </c>
      <c r="H230" s="26">
        <f>IFERROR(IF(B230&lt;&gt;'06_Target KPI'!$B$3,0,IF(VLOOKUP(F230,'05_Master KPI'!$B$5:$G$100,6,FALSE)="Kumulatif",INDEX('06_Target KPI'!$E$5:$P$100,MATCH(F230,'06_Target KPI'!$B$5:$B$100,0),MATCH(A230,'06_Target KPI'!$E$4:$P$4,0))*DAY(C230)/DAY(EOMONTH(C230,0)),INDEX('06_Target KPI'!$E$5:$P$100,MATCH(F230,'06_Target KPI'!$B$5:$B$100,0),MATCH(A230,'06_Target KPI'!$E$4:$P$4,0)))),0)</f>
        <v>0</v>
      </c>
      <c r="I230" s="24"/>
      <c r="J230" s="27">
        <f>IFERROR(MIN(IF(VLOOKUP(F230,'05_Master KPI'!$B$5:$G$100,5,FALSE)="Lower",H230/I230,I230/H230),1),0)</f>
        <v>0</v>
      </c>
      <c r="K230" s="26">
        <f>IFERROR(VLOOKUP(F230,'05_Master KPI'!$B$5:$G$100,4,FALSE),0)</f>
        <v>0</v>
      </c>
      <c r="L230" s="28">
        <f t="shared" si="3"/>
        <v>0</v>
      </c>
      <c r="M230" s="26" t="str">
        <f>IF(D230="","",IF(J230&gt;='13_Setting'!$H$7,"Tercapai",IF(J230&gt;='13_Setting'!$H$6,"On Track","Tertinggal")))</f>
        <v/>
      </c>
      <c r="N230" s="24"/>
    </row>
    <row r="231" spans="1:14">
      <c r="A231" s="24"/>
      <c r="B231" s="24"/>
      <c r="C231" s="25"/>
      <c r="D231" s="24"/>
      <c r="E231" s="26" t="str">
        <f>IFERROR(VLOOKUP(D231,'04_Master Karyawan'!$A$5:$F$50,2,FALSE),"")</f>
        <v/>
      </c>
      <c r="F231" s="24"/>
      <c r="G231" s="26" t="str">
        <f>IFERROR(VLOOKUP(F231,'05_Master KPI'!$B$5:$G$100,2,FALSE)&amp;" ("&amp;VLOOKUP(F231,'05_Master KPI'!$B$5:$G$100,3,FALSE)&amp;")","")</f>
        <v/>
      </c>
      <c r="H231" s="26">
        <f>IFERROR(IF(B231&lt;&gt;'06_Target KPI'!$B$3,0,IF(VLOOKUP(F231,'05_Master KPI'!$B$5:$G$100,6,FALSE)="Kumulatif",INDEX('06_Target KPI'!$E$5:$P$100,MATCH(F231,'06_Target KPI'!$B$5:$B$100,0),MATCH(A231,'06_Target KPI'!$E$4:$P$4,0))*DAY(C231)/DAY(EOMONTH(C231,0)),INDEX('06_Target KPI'!$E$5:$P$100,MATCH(F231,'06_Target KPI'!$B$5:$B$100,0),MATCH(A231,'06_Target KPI'!$E$4:$P$4,0)))),0)</f>
        <v>0</v>
      </c>
      <c r="I231" s="24"/>
      <c r="J231" s="27">
        <f>IFERROR(MIN(IF(VLOOKUP(F231,'05_Master KPI'!$B$5:$G$100,5,FALSE)="Lower",H231/I231,I231/H231),1),0)</f>
        <v>0</v>
      </c>
      <c r="K231" s="26">
        <f>IFERROR(VLOOKUP(F231,'05_Master KPI'!$B$5:$G$100,4,FALSE),0)</f>
        <v>0</v>
      </c>
      <c r="L231" s="28">
        <f t="shared" si="3"/>
        <v>0</v>
      </c>
      <c r="M231" s="26" t="str">
        <f>IF(D231="","",IF(J231&gt;='13_Setting'!$H$7,"Tercapai",IF(J231&gt;='13_Setting'!$H$6,"On Track","Tertinggal")))</f>
        <v/>
      </c>
      <c r="N231" s="24"/>
    </row>
    <row r="232" spans="1:14">
      <c r="A232" s="24"/>
      <c r="B232" s="24"/>
      <c r="C232" s="25"/>
      <c r="D232" s="24"/>
      <c r="E232" s="26" t="str">
        <f>IFERROR(VLOOKUP(D232,'04_Master Karyawan'!$A$5:$F$50,2,FALSE),"")</f>
        <v/>
      </c>
      <c r="F232" s="24"/>
      <c r="G232" s="26" t="str">
        <f>IFERROR(VLOOKUP(F232,'05_Master KPI'!$B$5:$G$100,2,FALSE)&amp;" ("&amp;VLOOKUP(F232,'05_Master KPI'!$B$5:$G$100,3,FALSE)&amp;")","")</f>
        <v/>
      </c>
      <c r="H232" s="26">
        <f>IFERROR(IF(B232&lt;&gt;'06_Target KPI'!$B$3,0,IF(VLOOKUP(F232,'05_Master KPI'!$B$5:$G$100,6,FALSE)="Kumulatif",INDEX('06_Target KPI'!$E$5:$P$100,MATCH(F232,'06_Target KPI'!$B$5:$B$100,0),MATCH(A232,'06_Target KPI'!$E$4:$P$4,0))*DAY(C232)/DAY(EOMONTH(C232,0)),INDEX('06_Target KPI'!$E$5:$P$100,MATCH(F232,'06_Target KPI'!$B$5:$B$100,0),MATCH(A232,'06_Target KPI'!$E$4:$P$4,0)))),0)</f>
        <v>0</v>
      </c>
      <c r="I232" s="24"/>
      <c r="J232" s="27">
        <f>IFERROR(MIN(IF(VLOOKUP(F232,'05_Master KPI'!$B$5:$G$100,5,FALSE)="Lower",H232/I232,I232/H232),1),0)</f>
        <v>0</v>
      </c>
      <c r="K232" s="26">
        <f>IFERROR(VLOOKUP(F232,'05_Master KPI'!$B$5:$G$100,4,FALSE),0)</f>
        <v>0</v>
      </c>
      <c r="L232" s="28">
        <f t="shared" si="3"/>
        <v>0</v>
      </c>
      <c r="M232" s="26" t="str">
        <f>IF(D232="","",IF(J232&gt;='13_Setting'!$H$7,"Tercapai",IF(J232&gt;='13_Setting'!$H$6,"On Track","Tertinggal")))</f>
        <v/>
      </c>
      <c r="N232" s="24"/>
    </row>
    <row r="233" spans="1:14">
      <c r="A233" s="24"/>
      <c r="B233" s="24"/>
      <c r="C233" s="25"/>
      <c r="D233" s="24"/>
      <c r="E233" s="26" t="str">
        <f>IFERROR(VLOOKUP(D233,'04_Master Karyawan'!$A$5:$F$50,2,FALSE),"")</f>
        <v/>
      </c>
      <c r="F233" s="24"/>
      <c r="G233" s="26" t="str">
        <f>IFERROR(VLOOKUP(F233,'05_Master KPI'!$B$5:$G$100,2,FALSE)&amp;" ("&amp;VLOOKUP(F233,'05_Master KPI'!$B$5:$G$100,3,FALSE)&amp;")","")</f>
        <v/>
      </c>
      <c r="H233" s="26">
        <f>IFERROR(IF(B233&lt;&gt;'06_Target KPI'!$B$3,0,IF(VLOOKUP(F233,'05_Master KPI'!$B$5:$G$100,6,FALSE)="Kumulatif",INDEX('06_Target KPI'!$E$5:$P$100,MATCH(F233,'06_Target KPI'!$B$5:$B$100,0),MATCH(A233,'06_Target KPI'!$E$4:$P$4,0))*DAY(C233)/DAY(EOMONTH(C233,0)),INDEX('06_Target KPI'!$E$5:$P$100,MATCH(F233,'06_Target KPI'!$B$5:$B$100,0),MATCH(A233,'06_Target KPI'!$E$4:$P$4,0)))),0)</f>
        <v>0</v>
      </c>
      <c r="I233" s="24"/>
      <c r="J233" s="27">
        <f>IFERROR(MIN(IF(VLOOKUP(F233,'05_Master KPI'!$B$5:$G$100,5,FALSE)="Lower",H233/I233,I233/H233),1),0)</f>
        <v>0</v>
      </c>
      <c r="K233" s="26">
        <f>IFERROR(VLOOKUP(F233,'05_Master KPI'!$B$5:$G$100,4,FALSE),0)</f>
        <v>0</v>
      </c>
      <c r="L233" s="28">
        <f t="shared" si="3"/>
        <v>0</v>
      </c>
      <c r="M233" s="26" t="str">
        <f>IF(D233="","",IF(J233&gt;='13_Setting'!$H$7,"Tercapai",IF(J233&gt;='13_Setting'!$H$6,"On Track","Tertinggal")))</f>
        <v/>
      </c>
      <c r="N233" s="24"/>
    </row>
    <row r="234" spans="1:14">
      <c r="A234" s="24"/>
      <c r="B234" s="24"/>
      <c r="C234" s="25"/>
      <c r="D234" s="24"/>
      <c r="E234" s="26" t="str">
        <f>IFERROR(VLOOKUP(D234,'04_Master Karyawan'!$A$5:$F$50,2,FALSE),"")</f>
        <v/>
      </c>
      <c r="F234" s="24"/>
      <c r="G234" s="26" t="str">
        <f>IFERROR(VLOOKUP(F234,'05_Master KPI'!$B$5:$G$100,2,FALSE)&amp;" ("&amp;VLOOKUP(F234,'05_Master KPI'!$B$5:$G$100,3,FALSE)&amp;")","")</f>
        <v/>
      </c>
      <c r="H234" s="26">
        <f>IFERROR(IF(B234&lt;&gt;'06_Target KPI'!$B$3,0,IF(VLOOKUP(F234,'05_Master KPI'!$B$5:$G$100,6,FALSE)="Kumulatif",INDEX('06_Target KPI'!$E$5:$P$100,MATCH(F234,'06_Target KPI'!$B$5:$B$100,0),MATCH(A234,'06_Target KPI'!$E$4:$P$4,0))*DAY(C234)/DAY(EOMONTH(C234,0)),INDEX('06_Target KPI'!$E$5:$P$100,MATCH(F234,'06_Target KPI'!$B$5:$B$100,0),MATCH(A234,'06_Target KPI'!$E$4:$P$4,0)))),0)</f>
        <v>0</v>
      </c>
      <c r="I234" s="24"/>
      <c r="J234" s="27">
        <f>IFERROR(MIN(IF(VLOOKUP(F234,'05_Master KPI'!$B$5:$G$100,5,FALSE)="Lower",H234/I234,I234/H234),1),0)</f>
        <v>0</v>
      </c>
      <c r="K234" s="26">
        <f>IFERROR(VLOOKUP(F234,'05_Master KPI'!$B$5:$G$100,4,FALSE),0)</f>
        <v>0</v>
      </c>
      <c r="L234" s="28">
        <f t="shared" si="3"/>
        <v>0</v>
      </c>
      <c r="M234" s="26" t="str">
        <f>IF(D234="","",IF(J234&gt;='13_Setting'!$H$7,"Tercapai",IF(J234&gt;='13_Setting'!$H$6,"On Track","Tertinggal")))</f>
        <v/>
      </c>
      <c r="N234" s="24"/>
    </row>
    <row r="235" spans="1:14">
      <c r="A235" s="24"/>
      <c r="B235" s="24"/>
      <c r="C235" s="25"/>
      <c r="D235" s="24"/>
      <c r="E235" s="26" t="str">
        <f>IFERROR(VLOOKUP(D235,'04_Master Karyawan'!$A$5:$F$50,2,FALSE),"")</f>
        <v/>
      </c>
      <c r="F235" s="24"/>
      <c r="G235" s="26" t="str">
        <f>IFERROR(VLOOKUP(F235,'05_Master KPI'!$B$5:$G$100,2,FALSE)&amp;" ("&amp;VLOOKUP(F235,'05_Master KPI'!$B$5:$G$100,3,FALSE)&amp;")","")</f>
        <v/>
      </c>
      <c r="H235" s="26">
        <f>IFERROR(IF(B235&lt;&gt;'06_Target KPI'!$B$3,0,IF(VLOOKUP(F235,'05_Master KPI'!$B$5:$G$100,6,FALSE)="Kumulatif",INDEX('06_Target KPI'!$E$5:$P$100,MATCH(F235,'06_Target KPI'!$B$5:$B$100,0),MATCH(A235,'06_Target KPI'!$E$4:$P$4,0))*DAY(C235)/DAY(EOMONTH(C235,0)),INDEX('06_Target KPI'!$E$5:$P$100,MATCH(F235,'06_Target KPI'!$B$5:$B$100,0),MATCH(A235,'06_Target KPI'!$E$4:$P$4,0)))),0)</f>
        <v>0</v>
      </c>
      <c r="I235" s="24"/>
      <c r="J235" s="27">
        <f>IFERROR(MIN(IF(VLOOKUP(F235,'05_Master KPI'!$B$5:$G$100,5,FALSE)="Lower",H235/I235,I235/H235),1),0)</f>
        <v>0</v>
      </c>
      <c r="K235" s="26">
        <f>IFERROR(VLOOKUP(F235,'05_Master KPI'!$B$5:$G$100,4,FALSE),0)</f>
        <v>0</v>
      </c>
      <c r="L235" s="28">
        <f t="shared" si="3"/>
        <v>0</v>
      </c>
      <c r="M235" s="26" t="str">
        <f>IF(D235="","",IF(J235&gt;='13_Setting'!$H$7,"Tercapai",IF(J235&gt;='13_Setting'!$H$6,"On Track","Tertinggal")))</f>
        <v/>
      </c>
      <c r="N235" s="24"/>
    </row>
    <row r="236" spans="1:14">
      <c r="A236" s="24"/>
      <c r="B236" s="24"/>
      <c r="C236" s="25"/>
      <c r="D236" s="24"/>
      <c r="E236" s="26" t="str">
        <f>IFERROR(VLOOKUP(D236,'04_Master Karyawan'!$A$5:$F$50,2,FALSE),"")</f>
        <v/>
      </c>
      <c r="F236" s="24"/>
      <c r="G236" s="26" t="str">
        <f>IFERROR(VLOOKUP(F236,'05_Master KPI'!$B$5:$G$100,2,FALSE)&amp;" ("&amp;VLOOKUP(F236,'05_Master KPI'!$B$5:$G$100,3,FALSE)&amp;")","")</f>
        <v/>
      </c>
      <c r="H236" s="26">
        <f>IFERROR(IF(B236&lt;&gt;'06_Target KPI'!$B$3,0,IF(VLOOKUP(F236,'05_Master KPI'!$B$5:$G$100,6,FALSE)="Kumulatif",INDEX('06_Target KPI'!$E$5:$P$100,MATCH(F236,'06_Target KPI'!$B$5:$B$100,0),MATCH(A236,'06_Target KPI'!$E$4:$P$4,0))*DAY(C236)/DAY(EOMONTH(C236,0)),INDEX('06_Target KPI'!$E$5:$P$100,MATCH(F236,'06_Target KPI'!$B$5:$B$100,0),MATCH(A236,'06_Target KPI'!$E$4:$P$4,0)))),0)</f>
        <v>0</v>
      </c>
      <c r="I236" s="24"/>
      <c r="J236" s="27">
        <f>IFERROR(MIN(IF(VLOOKUP(F236,'05_Master KPI'!$B$5:$G$100,5,FALSE)="Lower",H236/I236,I236/H236),1),0)</f>
        <v>0</v>
      </c>
      <c r="K236" s="26">
        <f>IFERROR(VLOOKUP(F236,'05_Master KPI'!$B$5:$G$100,4,FALSE),0)</f>
        <v>0</v>
      </c>
      <c r="L236" s="28">
        <f t="shared" si="3"/>
        <v>0</v>
      </c>
      <c r="M236" s="26" t="str">
        <f>IF(D236="","",IF(J236&gt;='13_Setting'!$H$7,"Tercapai",IF(J236&gt;='13_Setting'!$H$6,"On Track","Tertinggal")))</f>
        <v/>
      </c>
      <c r="N236" s="24"/>
    </row>
    <row r="237" spans="1:14">
      <c r="A237" s="24"/>
      <c r="B237" s="24"/>
      <c r="C237" s="25"/>
      <c r="D237" s="24"/>
      <c r="E237" s="26" t="str">
        <f>IFERROR(VLOOKUP(D237,'04_Master Karyawan'!$A$5:$F$50,2,FALSE),"")</f>
        <v/>
      </c>
      <c r="F237" s="24"/>
      <c r="G237" s="26" t="str">
        <f>IFERROR(VLOOKUP(F237,'05_Master KPI'!$B$5:$G$100,2,FALSE)&amp;" ("&amp;VLOOKUP(F237,'05_Master KPI'!$B$5:$G$100,3,FALSE)&amp;")","")</f>
        <v/>
      </c>
      <c r="H237" s="26">
        <f>IFERROR(IF(B237&lt;&gt;'06_Target KPI'!$B$3,0,IF(VLOOKUP(F237,'05_Master KPI'!$B$5:$G$100,6,FALSE)="Kumulatif",INDEX('06_Target KPI'!$E$5:$P$100,MATCH(F237,'06_Target KPI'!$B$5:$B$100,0),MATCH(A237,'06_Target KPI'!$E$4:$P$4,0))*DAY(C237)/DAY(EOMONTH(C237,0)),INDEX('06_Target KPI'!$E$5:$P$100,MATCH(F237,'06_Target KPI'!$B$5:$B$100,0),MATCH(A237,'06_Target KPI'!$E$4:$P$4,0)))),0)</f>
        <v>0</v>
      </c>
      <c r="I237" s="24"/>
      <c r="J237" s="27">
        <f>IFERROR(MIN(IF(VLOOKUP(F237,'05_Master KPI'!$B$5:$G$100,5,FALSE)="Lower",H237/I237,I237/H237),1),0)</f>
        <v>0</v>
      </c>
      <c r="K237" s="26">
        <f>IFERROR(VLOOKUP(F237,'05_Master KPI'!$B$5:$G$100,4,FALSE),0)</f>
        <v>0</v>
      </c>
      <c r="L237" s="28">
        <f t="shared" si="3"/>
        <v>0</v>
      </c>
      <c r="M237" s="26" t="str">
        <f>IF(D237="","",IF(J237&gt;='13_Setting'!$H$7,"Tercapai",IF(J237&gt;='13_Setting'!$H$6,"On Track","Tertinggal")))</f>
        <v/>
      </c>
      <c r="N237" s="24"/>
    </row>
    <row r="238" spans="1:14">
      <c r="A238" s="24"/>
      <c r="B238" s="24"/>
      <c r="C238" s="25"/>
      <c r="D238" s="24"/>
      <c r="E238" s="26" t="str">
        <f>IFERROR(VLOOKUP(D238,'04_Master Karyawan'!$A$5:$F$50,2,FALSE),"")</f>
        <v/>
      </c>
      <c r="F238" s="24"/>
      <c r="G238" s="26" t="str">
        <f>IFERROR(VLOOKUP(F238,'05_Master KPI'!$B$5:$G$100,2,FALSE)&amp;" ("&amp;VLOOKUP(F238,'05_Master KPI'!$B$5:$G$100,3,FALSE)&amp;")","")</f>
        <v/>
      </c>
      <c r="H238" s="26">
        <f>IFERROR(IF(B238&lt;&gt;'06_Target KPI'!$B$3,0,IF(VLOOKUP(F238,'05_Master KPI'!$B$5:$G$100,6,FALSE)="Kumulatif",INDEX('06_Target KPI'!$E$5:$P$100,MATCH(F238,'06_Target KPI'!$B$5:$B$100,0),MATCH(A238,'06_Target KPI'!$E$4:$P$4,0))*DAY(C238)/DAY(EOMONTH(C238,0)),INDEX('06_Target KPI'!$E$5:$P$100,MATCH(F238,'06_Target KPI'!$B$5:$B$100,0),MATCH(A238,'06_Target KPI'!$E$4:$P$4,0)))),0)</f>
        <v>0</v>
      </c>
      <c r="I238" s="24"/>
      <c r="J238" s="27">
        <f>IFERROR(MIN(IF(VLOOKUP(F238,'05_Master KPI'!$B$5:$G$100,5,FALSE)="Lower",H238/I238,I238/H238),1),0)</f>
        <v>0</v>
      </c>
      <c r="K238" s="26">
        <f>IFERROR(VLOOKUP(F238,'05_Master KPI'!$B$5:$G$100,4,FALSE),0)</f>
        <v>0</v>
      </c>
      <c r="L238" s="28">
        <f t="shared" si="3"/>
        <v>0</v>
      </c>
      <c r="M238" s="26" t="str">
        <f>IF(D238="","",IF(J238&gt;='13_Setting'!$H$7,"Tercapai",IF(J238&gt;='13_Setting'!$H$6,"On Track","Tertinggal")))</f>
        <v/>
      </c>
      <c r="N238" s="24"/>
    </row>
    <row r="239" spans="1:14">
      <c r="A239" s="24"/>
      <c r="B239" s="24"/>
      <c r="C239" s="25"/>
      <c r="D239" s="24"/>
      <c r="E239" s="26" t="str">
        <f>IFERROR(VLOOKUP(D239,'04_Master Karyawan'!$A$5:$F$50,2,FALSE),"")</f>
        <v/>
      </c>
      <c r="F239" s="24"/>
      <c r="G239" s="26" t="str">
        <f>IFERROR(VLOOKUP(F239,'05_Master KPI'!$B$5:$G$100,2,FALSE)&amp;" ("&amp;VLOOKUP(F239,'05_Master KPI'!$B$5:$G$100,3,FALSE)&amp;")","")</f>
        <v/>
      </c>
      <c r="H239" s="26">
        <f>IFERROR(IF(B239&lt;&gt;'06_Target KPI'!$B$3,0,IF(VLOOKUP(F239,'05_Master KPI'!$B$5:$G$100,6,FALSE)="Kumulatif",INDEX('06_Target KPI'!$E$5:$P$100,MATCH(F239,'06_Target KPI'!$B$5:$B$100,0),MATCH(A239,'06_Target KPI'!$E$4:$P$4,0))*DAY(C239)/DAY(EOMONTH(C239,0)),INDEX('06_Target KPI'!$E$5:$P$100,MATCH(F239,'06_Target KPI'!$B$5:$B$100,0),MATCH(A239,'06_Target KPI'!$E$4:$P$4,0)))),0)</f>
        <v>0</v>
      </c>
      <c r="I239" s="24"/>
      <c r="J239" s="27">
        <f>IFERROR(MIN(IF(VLOOKUP(F239,'05_Master KPI'!$B$5:$G$100,5,FALSE)="Lower",H239/I239,I239/H239),1),0)</f>
        <v>0</v>
      </c>
      <c r="K239" s="26">
        <f>IFERROR(VLOOKUP(F239,'05_Master KPI'!$B$5:$G$100,4,FALSE),0)</f>
        <v>0</v>
      </c>
      <c r="L239" s="28">
        <f t="shared" si="3"/>
        <v>0</v>
      </c>
      <c r="M239" s="26" t="str">
        <f>IF(D239="","",IF(J239&gt;='13_Setting'!$H$7,"Tercapai",IF(J239&gt;='13_Setting'!$H$6,"On Track","Tertinggal")))</f>
        <v/>
      </c>
      <c r="N239" s="24"/>
    </row>
    <row r="240" spans="1:14">
      <c r="A240" s="24"/>
      <c r="B240" s="24"/>
      <c r="C240" s="25"/>
      <c r="D240" s="24"/>
      <c r="E240" s="26" t="str">
        <f>IFERROR(VLOOKUP(D240,'04_Master Karyawan'!$A$5:$F$50,2,FALSE),"")</f>
        <v/>
      </c>
      <c r="F240" s="24"/>
      <c r="G240" s="26" t="str">
        <f>IFERROR(VLOOKUP(F240,'05_Master KPI'!$B$5:$G$100,2,FALSE)&amp;" ("&amp;VLOOKUP(F240,'05_Master KPI'!$B$5:$G$100,3,FALSE)&amp;")","")</f>
        <v/>
      </c>
      <c r="H240" s="26">
        <f>IFERROR(IF(B240&lt;&gt;'06_Target KPI'!$B$3,0,IF(VLOOKUP(F240,'05_Master KPI'!$B$5:$G$100,6,FALSE)="Kumulatif",INDEX('06_Target KPI'!$E$5:$P$100,MATCH(F240,'06_Target KPI'!$B$5:$B$100,0),MATCH(A240,'06_Target KPI'!$E$4:$P$4,0))*DAY(C240)/DAY(EOMONTH(C240,0)),INDEX('06_Target KPI'!$E$5:$P$100,MATCH(F240,'06_Target KPI'!$B$5:$B$100,0),MATCH(A240,'06_Target KPI'!$E$4:$P$4,0)))),0)</f>
        <v>0</v>
      </c>
      <c r="I240" s="24"/>
      <c r="J240" s="27">
        <f>IFERROR(MIN(IF(VLOOKUP(F240,'05_Master KPI'!$B$5:$G$100,5,FALSE)="Lower",H240/I240,I240/H240),1),0)</f>
        <v>0</v>
      </c>
      <c r="K240" s="26">
        <f>IFERROR(VLOOKUP(F240,'05_Master KPI'!$B$5:$G$100,4,FALSE),0)</f>
        <v>0</v>
      </c>
      <c r="L240" s="28">
        <f t="shared" si="3"/>
        <v>0</v>
      </c>
      <c r="M240" s="26" t="str">
        <f>IF(D240="","",IF(J240&gt;='13_Setting'!$H$7,"Tercapai",IF(J240&gt;='13_Setting'!$H$6,"On Track","Tertinggal")))</f>
        <v/>
      </c>
      <c r="N240" s="24"/>
    </row>
    <row r="241" spans="1:14">
      <c r="A241" s="24"/>
      <c r="B241" s="24"/>
      <c r="C241" s="25"/>
      <c r="D241" s="24"/>
      <c r="E241" s="26" t="str">
        <f>IFERROR(VLOOKUP(D241,'04_Master Karyawan'!$A$5:$F$50,2,FALSE),"")</f>
        <v/>
      </c>
      <c r="F241" s="24"/>
      <c r="G241" s="26" t="str">
        <f>IFERROR(VLOOKUP(F241,'05_Master KPI'!$B$5:$G$100,2,FALSE)&amp;" ("&amp;VLOOKUP(F241,'05_Master KPI'!$B$5:$G$100,3,FALSE)&amp;")","")</f>
        <v/>
      </c>
      <c r="H241" s="26">
        <f>IFERROR(IF(B241&lt;&gt;'06_Target KPI'!$B$3,0,IF(VLOOKUP(F241,'05_Master KPI'!$B$5:$G$100,6,FALSE)="Kumulatif",INDEX('06_Target KPI'!$E$5:$P$100,MATCH(F241,'06_Target KPI'!$B$5:$B$100,0),MATCH(A241,'06_Target KPI'!$E$4:$P$4,0))*DAY(C241)/DAY(EOMONTH(C241,0)),INDEX('06_Target KPI'!$E$5:$P$100,MATCH(F241,'06_Target KPI'!$B$5:$B$100,0),MATCH(A241,'06_Target KPI'!$E$4:$P$4,0)))),0)</f>
        <v>0</v>
      </c>
      <c r="I241" s="24"/>
      <c r="J241" s="27">
        <f>IFERROR(MIN(IF(VLOOKUP(F241,'05_Master KPI'!$B$5:$G$100,5,FALSE)="Lower",H241/I241,I241/H241),1),0)</f>
        <v>0</v>
      </c>
      <c r="K241" s="26">
        <f>IFERROR(VLOOKUP(F241,'05_Master KPI'!$B$5:$G$100,4,FALSE),0)</f>
        <v>0</v>
      </c>
      <c r="L241" s="28">
        <f t="shared" si="3"/>
        <v>0</v>
      </c>
      <c r="M241" s="26" t="str">
        <f>IF(D241="","",IF(J241&gt;='13_Setting'!$H$7,"Tercapai",IF(J241&gt;='13_Setting'!$H$6,"On Track","Tertinggal")))</f>
        <v/>
      </c>
      <c r="N241" s="24"/>
    </row>
    <row r="242" spans="1:14">
      <c r="A242" s="24"/>
      <c r="B242" s="24"/>
      <c r="C242" s="25"/>
      <c r="D242" s="24"/>
      <c r="E242" s="26" t="str">
        <f>IFERROR(VLOOKUP(D242,'04_Master Karyawan'!$A$5:$F$50,2,FALSE),"")</f>
        <v/>
      </c>
      <c r="F242" s="24"/>
      <c r="G242" s="26" t="str">
        <f>IFERROR(VLOOKUP(F242,'05_Master KPI'!$B$5:$G$100,2,FALSE)&amp;" ("&amp;VLOOKUP(F242,'05_Master KPI'!$B$5:$G$100,3,FALSE)&amp;")","")</f>
        <v/>
      </c>
      <c r="H242" s="26">
        <f>IFERROR(IF(B242&lt;&gt;'06_Target KPI'!$B$3,0,IF(VLOOKUP(F242,'05_Master KPI'!$B$5:$G$100,6,FALSE)="Kumulatif",INDEX('06_Target KPI'!$E$5:$P$100,MATCH(F242,'06_Target KPI'!$B$5:$B$100,0),MATCH(A242,'06_Target KPI'!$E$4:$P$4,0))*DAY(C242)/DAY(EOMONTH(C242,0)),INDEX('06_Target KPI'!$E$5:$P$100,MATCH(F242,'06_Target KPI'!$B$5:$B$100,0),MATCH(A242,'06_Target KPI'!$E$4:$P$4,0)))),0)</f>
        <v>0</v>
      </c>
      <c r="I242" s="24"/>
      <c r="J242" s="27">
        <f>IFERROR(MIN(IF(VLOOKUP(F242,'05_Master KPI'!$B$5:$G$100,5,FALSE)="Lower",H242/I242,I242/H242),1),0)</f>
        <v>0</v>
      </c>
      <c r="K242" s="26">
        <f>IFERROR(VLOOKUP(F242,'05_Master KPI'!$B$5:$G$100,4,FALSE),0)</f>
        <v>0</v>
      </c>
      <c r="L242" s="28">
        <f t="shared" si="3"/>
        <v>0</v>
      </c>
      <c r="M242" s="26" t="str">
        <f>IF(D242="","",IF(J242&gt;='13_Setting'!$H$7,"Tercapai",IF(J242&gt;='13_Setting'!$H$6,"On Track","Tertinggal")))</f>
        <v/>
      </c>
      <c r="N242" s="24"/>
    </row>
    <row r="243" spans="1:14">
      <c r="A243" s="24"/>
      <c r="B243" s="24"/>
      <c r="C243" s="25"/>
      <c r="D243" s="24"/>
      <c r="E243" s="26" t="str">
        <f>IFERROR(VLOOKUP(D243,'04_Master Karyawan'!$A$5:$F$50,2,FALSE),"")</f>
        <v/>
      </c>
      <c r="F243" s="24"/>
      <c r="G243" s="26" t="str">
        <f>IFERROR(VLOOKUP(F243,'05_Master KPI'!$B$5:$G$100,2,FALSE)&amp;" ("&amp;VLOOKUP(F243,'05_Master KPI'!$B$5:$G$100,3,FALSE)&amp;")","")</f>
        <v/>
      </c>
      <c r="H243" s="26">
        <f>IFERROR(IF(B243&lt;&gt;'06_Target KPI'!$B$3,0,IF(VLOOKUP(F243,'05_Master KPI'!$B$5:$G$100,6,FALSE)="Kumulatif",INDEX('06_Target KPI'!$E$5:$P$100,MATCH(F243,'06_Target KPI'!$B$5:$B$100,0),MATCH(A243,'06_Target KPI'!$E$4:$P$4,0))*DAY(C243)/DAY(EOMONTH(C243,0)),INDEX('06_Target KPI'!$E$5:$P$100,MATCH(F243,'06_Target KPI'!$B$5:$B$100,0),MATCH(A243,'06_Target KPI'!$E$4:$P$4,0)))),0)</f>
        <v>0</v>
      </c>
      <c r="I243" s="24"/>
      <c r="J243" s="27">
        <f>IFERROR(MIN(IF(VLOOKUP(F243,'05_Master KPI'!$B$5:$G$100,5,FALSE)="Lower",H243/I243,I243/H243),1),0)</f>
        <v>0</v>
      </c>
      <c r="K243" s="26">
        <f>IFERROR(VLOOKUP(F243,'05_Master KPI'!$B$5:$G$100,4,FALSE),0)</f>
        <v>0</v>
      </c>
      <c r="L243" s="28">
        <f t="shared" si="3"/>
        <v>0</v>
      </c>
      <c r="M243" s="26" t="str">
        <f>IF(D243="","",IF(J243&gt;='13_Setting'!$H$7,"Tercapai",IF(J243&gt;='13_Setting'!$H$6,"On Track","Tertinggal")))</f>
        <v/>
      </c>
      <c r="N243" s="24"/>
    </row>
    <row r="244" spans="1:14">
      <c r="A244" s="24"/>
      <c r="B244" s="24"/>
      <c r="C244" s="25"/>
      <c r="D244" s="24"/>
      <c r="E244" s="26" t="str">
        <f>IFERROR(VLOOKUP(D244,'04_Master Karyawan'!$A$5:$F$50,2,FALSE),"")</f>
        <v/>
      </c>
      <c r="F244" s="24"/>
      <c r="G244" s="26" t="str">
        <f>IFERROR(VLOOKUP(F244,'05_Master KPI'!$B$5:$G$100,2,FALSE)&amp;" ("&amp;VLOOKUP(F244,'05_Master KPI'!$B$5:$G$100,3,FALSE)&amp;")","")</f>
        <v/>
      </c>
      <c r="H244" s="26">
        <f>IFERROR(IF(B244&lt;&gt;'06_Target KPI'!$B$3,0,IF(VLOOKUP(F244,'05_Master KPI'!$B$5:$G$100,6,FALSE)="Kumulatif",INDEX('06_Target KPI'!$E$5:$P$100,MATCH(F244,'06_Target KPI'!$B$5:$B$100,0),MATCH(A244,'06_Target KPI'!$E$4:$P$4,0))*DAY(C244)/DAY(EOMONTH(C244,0)),INDEX('06_Target KPI'!$E$5:$P$100,MATCH(F244,'06_Target KPI'!$B$5:$B$100,0),MATCH(A244,'06_Target KPI'!$E$4:$P$4,0)))),0)</f>
        <v>0</v>
      </c>
      <c r="I244" s="24"/>
      <c r="J244" s="27">
        <f>IFERROR(MIN(IF(VLOOKUP(F244,'05_Master KPI'!$B$5:$G$100,5,FALSE)="Lower",H244/I244,I244/H244),1),0)</f>
        <v>0</v>
      </c>
      <c r="K244" s="26">
        <f>IFERROR(VLOOKUP(F244,'05_Master KPI'!$B$5:$G$100,4,FALSE),0)</f>
        <v>0</v>
      </c>
      <c r="L244" s="28">
        <f t="shared" si="3"/>
        <v>0</v>
      </c>
      <c r="M244" s="26" t="str">
        <f>IF(D244="","",IF(J244&gt;='13_Setting'!$H$7,"Tercapai",IF(J244&gt;='13_Setting'!$H$6,"On Track","Tertinggal")))</f>
        <v/>
      </c>
      <c r="N244" s="24"/>
    </row>
    <row r="245" spans="1:14">
      <c r="A245" s="24"/>
      <c r="B245" s="24"/>
      <c r="C245" s="25"/>
      <c r="D245" s="24"/>
      <c r="E245" s="26" t="str">
        <f>IFERROR(VLOOKUP(D245,'04_Master Karyawan'!$A$5:$F$50,2,FALSE),"")</f>
        <v/>
      </c>
      <c r="F245" s="24"/>
      <c r="G245" s="26" t="str">
        <f>IFERROR(VLOOKUP(F245,'05_Master KPI'!$B$5:$G$100,2,FALSE)&amp;" ("&amp;VLOOKUP(F245,'05_Master KPI'!$B$5:$G$100,3,FALSE)&amp;")","")</f>
        <v/>
      </c>
      <c r="H245" s="26">
        <f>IFERROR(IF(B245&lt;&gt;'06_Target KPI'!$B$3,0,IF(VLOOKUP(F245,'05_Master KPI'!$B$5:$G$100,6,FALSE)="Kumulatif",INDEX('06_Target KPI'!$E$5:$P$100,MATCH(F245,'06_Target KPI'!$B$5:$B$100,0),MATCH(A245,'06_Target KPI'!$E$4:$P$4,0))*DAY(C245)/DAY(EOMONTH(C245,0)),INDEX('06_Target KPI'!$E$5:$P$100,MATCH(F245,'06_Target KPI'!$B$5:$B$100,0),MATCH(A245,'06_Target KPI'!$E$4:$P$4,0)))),0)</f>
        <v>0</v>
      </c>
      <c r="I245" s="24"/>
      <c r="J245" s="27">
        <f>IFERROR(MIN(IF(VLOOKUP(F245,'05_Master KPI'!$B$5:$G$100,5,FALSE)="Lower",H245/I245,I245/H245),1),0)</f>
        <v>0</v>
      </c>
      <c r="K245" s="26">
        <f>IFERROR(VLOOKUP(F245,'05_Master KPI'!$B$5:$G$100,4,FALSE),0)</f>
        <v>0</v>
      </c>
      <c r="L245" s="28">
        <f t="shared" si="3"/>
        <v>0</v>
      </c>
      <c r="M245" s="26" t="str">
        <f>IF(D245="","",IF(J245&gt;='13_Setting'!$H$7,"Tercapai",IF(J245&gt;='13_Setting'!$H$6,"On Track","Tertinggal")))</f>
        <v/>
      </c>
      <c r="N245" s="24"/>
    </row>
    <row r="246" spans="1:14">
      <c r="A246" s="24"/>
      <c r="B246" s="24"/>
      <c r="C246" s="25"/>
      <c r="D246" s="24"/>
      <c r="E246" s="26" t="str">
        <f>IFERROR(VLOOKUP(D246,'04_Master Karyawan'!$A$5:$F$50,2,FALSE),"")</f>
        <v/>
      </c>
      <c r="F246" s="24"/>
      <c r="G246" s="26" t="str">
        <f>IFERROR(VLOOKUP(F246,'05_Master KPI'!$B$5:$G$100,2,FALSE)&amp;" ("&amp;VLOOKUP(F246,'05_Master KPI'!$B$5:$G$100,3,FALSE)&amp;")","")</f>
        <v/>
      </c>
      <c r="H246" s="26">
        <f>IFERROR(IF(B246&lt;&gt;'06_Target KPI'!$B$3,0,IF(VLOOKUP(F246,'05_Master KPI'!$B$5:$G$100,6,FALSE)="Kumulatif",INDEX('06_Target KPI'!$E$5:$P$100,MATCH(F246,'06_Target KPI'!$B$5:$B$100,0),MATCH(A246,'06_Target KPI'!$E$4:$P$4,0))*DAY(C246)/DAY(EOMONTH(C246,0)),INDEX('06_Target KPI'!$E$5:$P$100,MATCH(F246,'06_Target KPI'!$B$5:$B$100,0),MATCH(A246,'06_Target KPI'!$E$4:$P$4,0)))),0)</f>
        <v>0</v>
      </c>
      <c r="I246" s="24"/>
      <c r="J246" s="27">
        <f>IFERROR(MIN(IF(VLOOKUP(F246,'05_Master KPI'!$B$5:$G$100,5,FALSE)="Lower",H246/I246,I246/H246),1),0)</f>
        <v>0</v>
      </c>
      <c r="K246" s="26">
        <f>IFERROR(VLOOKUP(F246,'05_Master KPI'!$B$5:$G$100,4,FALSE),0)</f>
        <v>0</v>
      </c>
      <c r="L246" s="28">
        <f t="shared" si="3"/>
        <v>0</v>
      </c>
      <c r="M246" s="26" t="str">
        <f>IF(D246="","",IF(J246&gt;='13_Setting'!$H$7,"Tercapai",IF(J246&gt;='13_Setting'!$H$6,"On Track","Tertinggal")))</f>
        <v/>
      </c>
      <c r="N246" s="24"/>
    </row>
    <row r="247" spans="1:14">
      <c r="A247" s="24"/>
      <c r="B247" s="24"/>
      <c r="C247" s="25"/>
      <c r="D247" s="24"/>
      <c r="E247" s="26" t="str">
        <f>IFERROR(VLOOKUP(D247,'04_Master Karyawan'!$A$5:$F$50,2,FALSE),"")</f>
        <v/>
      </c>
      <c r="F247" s="24"/>
      <c r="G247" s="26" t="str">
        <f>IFERROR(VLOOKUP(F247,'05_Master KPI'!$B$5:$G$100,2,FALSE)&amp;" ("&amp;VLOOKUP(F247,'05_Master KPI'!$B$5:$G$100,3,FALSE)&amp;")","")</f>
        <v/>
      </c>
      <c r="H247" s="26">
        <f>IFERROR(IF(B247&lt;&gt;'06_Target KPI'!$B$3,0,IF(VLOOKUP(F247,'05_Master KPI'!$B$5:$G$100,6,FALSE)="Kumulatif",INDEX('06_Target KPI'!$E$5:$P$100,MATCH(F247,'06_Target KPI'!$B$5:$B$100,0),MATCH(A247,'06_Target KPI'!$E$4:$P$4,0))*DAY(C247)/DAY(EOMONTH(C247,0)),INDEX('06_Target KPI'!$E$5:$P$100,MATCH(F247,'06_Target KPI'!$B$5:$B$100,0),MATCH(A247,'06_Target KPI'!$E$4:$P$4,0)))),0)</f>
        <v>0</v>
      </c>
      <c r="I247" s="24"/>
      <c r="J247" s="27">
        <f>IFERROR(MIN(IF(VLOOKUP(F247,'05_Master KPI'!$B$5:$G$100,5,FALSE)="Lower",H247/I247,I247/H247),1),0)</f>
        <v>0</v>
      </c>
      <c r="K247" s="26">
        <f>IFERROR(VLOOKUP(F247,'05_Master KPI'!$B$5:$G$100,4,FALSE),0)</f>
        <v>0</v>
      </c>
      <c r="L247" s="28">
        <f t="shared" si="3"/>
        <v>0</v>
      </c>
      <c r="M247" s="26" t="str">
        <f>IF(D247="","",IF(J247&gt;='13_Setting'!$H$7,"Tercapai",IF(J247&gt;='13_Setting'!$H$6,"On Track","Tertinggal")))</f>
        <v/>
      </c>
      <c r="N247" s="24"/>
    </row>
    <row r="248" spans="1:14">
      <c r="A248" s="24"/>
      <c r="B248" s="24"/>
      <c r="C248" s="25"/>
      <c r="D248" s="24"/>
      <c r="E248" s="26" t="str">
        <f>IFERROR(VLOOKUP(D248,'04_Master Karyawan'!$A$5:$F$50,2,FALSE),"")</f>
        <v/>
      </c>
      <c r="F248" s="24"/>
      <c r="G248" s="26" t="str">
        <f>IFERROR(VLOOKUP(F248,'05_Master KPI'!$B$5:$G$100,2,FALSE)&amp;" ("&amp;VLOOKUP(F248,'05_Master KPI'!$B$5:$G$100,3,FALSE)&amp;")","")</f>
        <v/>
      </c>
      <c r="H248" s="26">
        <f>IFERROR(IF(B248&lt;&gt;'06_Target KPI'!$B$3,0,IF(VLOOKUP(F248,'05_Master KPI'!$B$5:$G$100,6,FALSE)="Kumulatif",INDEX('06_Target KPI'!$E$5:$P$100,MATCH(F248,'06_Target KPI'!$B$5:$B$100,0),MATCH(A248,'06_Target KPI'!$E$4:$P$4,0))*DAY(C248)/DAY(EOMONTH(C248,0)),INDEX('06_Target KPI'!$E$5:$P$100,MATCH(F248,'06_Target KPI'!$B$5:$B$100,0),MATCH(A248,'06_Target KPI'!$E$4:$P$4,0)))),0)</f>
        <v>0</v>
      </c>
      <c r="I248" s="24"/>
      <c r="J248" s="27">
        <f>IFERROR(MIN(IF(VLOOKUP(F248,'05_Master KPI'!$B$5:$G$100,5,FALSE)="Lower",H248/I248,I248/H248),1),0)</f>
        <v>0</v>
      </c>
      <c r="K248" s="26">
        <f>IFERROR(VLOOKUP(F248,'05_Master KPI'!$B$5:$G$100,4,FALSE),0)</f>
        <v>0</v>
      </c>
      <c r="L248" s="28">
        <f t="shared" si="3"/>
        <v>0</v>
      </c>
      <c r="M248" s="26" t="str">
        <f>IF(D248="","",IF(J248&gt;='13_Setting'!$H$7,"Tercapai",IF(J248&gt;='13_Setting'!$H$6,"On Track","Tertinggal")))</f>
        <v/>
      </c>
      <c r="N248" s="24"/>
    </row>
    <row r="249" spans="1:14">
      <c r="A249" s="24"/>
      <c r="B249" s="24"/>
      <c r="C249" s="25"/>
      <c r="D249" s="24"/>
      <c r="E249" s="26" t="str">
        <f>IFERROR(VLOOKUP(D249,'04_Master Karyawan'!$A$5:$F$50,2,FALSE),"")</f>
        <v/>
      </c>
      <c r="F249" s="24"/>
      <c r="G249" s="26" t="str">
        <f>IFERROR(VLOOKUP(F249,'05_Master KPI'!$B$5:$G$100,2,FALSE)&amp;" ("&amp;VLOOKUP(F249,'05_Master KPI'!$B$5:$G$100,3,FALSE)&amp;")","")</f>
        <v/>
      </c>
      <c r="H249" s="26">
        <f>IFERROR(IF(B249&lt;&gt;'06_Target KPI'!$B$3,0,IF(VLOOKUP(F249,'05_Master KPI'!$B$5:$G$100,6,FALSE)="Kumulatif",INDEX('06_Target KPI'!$E$5:$P$100,MATCH(F249,'06_Target KPI'!$B$5:$B$100,0),MATCH(A249,'06_Target KPI'!$E$4:$P$4,0))*DAY(C249)/DAY(EOMONTH(C249,0)),INDEX('06_Target KPI'!$E$5:$P$100,MATCH(F249,'06_Target KPI'!$B$5:$B$100,0),MATCH(A249,'06_Target KPI'!$E$4:$P$4,0)))),0)</f>
        <v>0</v>
      </c>
      <c r="I249" s="24"/>
      <c r="J249" s="27">
        <f>IFERROR(MIN(IF(VLOOKUP(F249,'05_Master KPI'!$B$5:$G$100,5,FALSE)="Lower",H249/I249,I249/H249),1),0)</f>
        <v>0</v>
      </c>
      <c r="K249" s="26">
        <f>IFERROR(VLOOKUP(F249,'05_Master KPI'!$B$5:$G$100,4,FALSE),0)</f>
        <v>0</v>
      </c>
      <c r="L249" s="28">
        <f t="shared" si="3"/>
        <v>0</v>
      </c>
      <c r="M249" s="26" t="str">
        <f>IF(D249="","",IF(J249&gt;='13_Setting'!$H$7,"Tercapai",IF(J249&gt;='13_Setting'!$H$6,"On Track","Tertinggal")))</f>
        <v/>
      </c>
      <c r="N249" s="24"/>
    </row>
    <row r="250" spans="1:14">
      <c r="A250" s="24"/>
      <c r="B250" s="24"/>
      <c r="C250" s="25"/>
      <c r="D250" s="24"/>
      <c r="E250" s="26" t="str">
        <f>IFERROR(VLOOKUP(D250,'04_Master Karyawan'!$A$5:$F$50,2,FALSE),"")</f>
        <v/>
      </c>
      <c r="F250" s="24"/>
      <c r="G250" s="26" t="str">
        <f>IFERROR(VLOOKUP(F250,'05_Master KPI'!$B$5:$G$100,2,FALSE)&amp;" ("&amp;VLOOKUP(F250,'05_Master KPI'!$B$5:$G$100,3,FALSE)&amp;")","")</f>
        <v/>
      </c>
      <c r="H250" s="26">
        <f>IFERROR(IF(B250&lt;&gt;'06_Target KPI'!$B$3,0,IF(VLOOKUP(F250,'05_Master KPI'!$B$5:$G$100,6,FALSE)="Kumulatif",INDEX('06_Target KPI'!$E$5:$P$100,MATCH(F250,'06_Target KPI'!$B$5:$B$100,0),MATCH(A250,'06_Target KPI'!$E$4:$P$4,0))*DAY(C250)/DAY(EOMONTH(C250,0)),INDEX('06_Target KPI'!$E$5:$P$100,MATCH(F250,'06_Target KPI'!$B$5:$B$100,0),MATCH(A250,'06_Target KPI'!$E$4:$P$4,0)))),0)</f>
        <v>0</v>
      </c>
      <c r="I250" s="24"/>
      <c r="J250" s="27">
        <f>IFERROR(MIN(IF(VLOOKUP(F250,'05_Master KPI'!$B$5:$G$100,5,FALSE)="Lower",H250/I250,I250/H250),1),0)</f>
        <v>0</v>
      </c>
      <c r="K250" s="26">
        <f>IFERROR(VLOOKUP(F250,'05_Master KPI'!$B$5:$G$100,4,FALSE),0)</f>
        <v>0</v>
      </c>
      <c r="L250" s="28">
        <f t="shared" si="3"/>
        <v>0</v>
      </c>
      <c r="M250" s="26" t="str">
        <f>IF(D250="","",IF(J250&gt;='13_Setting'!$H$7,"Tercapai",IF(J250&gt;='13_Setting'!$H$6,"On Track","Tertinggal")))</f>
        <v/>
      </c>
      <c r="N250" s="24"/>
    </row>
    <row r="251" spans="1:14">
      <c r="A251" s="24"/>
      <c r="B251" s="24"/>
      <c r="C251" s="25"/>
      <c r="D251" s="24"/>
      <c r="E251" s="26" t="str">
        <f>IFERROR(VLOOKUP(D251,'04_Master Karyawan'!$A$5:$F$50,2,FALSE),"")</f>
        <v/>
      </c>
      <c r="F251" s="24"/>
      <c r="G251" s="26" t="str">
        <f>IFERROR(VLOOKUP(F251,'05_Master KPI'!$B$5:$G$100,2,FALSE)&amp;" ("&amp;VLOOKUP(F251,'05_Master KPI'!$B$5:$G$100,3,FALSE)&amp;")","")</f>
        <v/>
      </c>
      <c r="H251" s="26">
        <f>IFERROR(IF(B251&lt;&gt;'06_Target KPI'!$B$3,0,IF(VLOOKUP(F251,'05_Master KPI'!$B$5:$G$100,6,FALSE)="Kumulatif",INDEX('06_Target KPI'!$E$5:$P$100,MATCH(F251,'06_Target KPI'!$B$5:$B$100,0),MATCH(A251,'06_Target KPI'!$E$4:$P$4,0))*DAY(C251)/DAY(EOMONTH(C251,0)),INDEX('06_Target KPI'!$E$5:$P$100,MATCH(F251,'06_Target KPI'!$B$5:$B$100,0),MATCH(A251,'06_Target KPI'!$E$4:$P$4,0)))),0)</f>
        <v>0</v>
      </c>
      <c r="I251" s="24"/>
      <c r="J251" s="27">
        <f>IFERROR(MIN(IF(VLOOKUP(F251,'05_Master KPI'!$B$5:$G$100,5,FALSE)="Lower",H251/I251,I251/H251),1),0)</f>
        <v>0</v>
      </c>
      <c r="K251" s="26">
        <f>IFERROR(VLOOKUP(F251,'05_Master KPI'!$B$5:$G$100,4,FALSE),0)</f>
        <v>0</v>
      </c>
      <c r="L251" s="28">
        <f t="shared" si="3"/>
        <v>0</v>
      </c>
      <c r="M251" s="26" t="str">
        <f>IF(D251="","",IF(J251&gt;='13_Setting'!$H$7,"Tercapai",IF(J251&gt;='13_Setting'!$H$6,"On Track","Tertinggal")))</f>
        <v/>
      </c>
      <c r="N251" s="24"/>
    </row>
    <row r="252" spans="1:14">
      <c r="A252" s="24"/>
      <c r="B252" s="24"/>
      <c r="C252" s="25"/>
      <c r="D252" s="24"/>
      <c r="E252" s="26" t="str">
        <f>IFERROR(VLOOKUP(D252,'04_Master Karyawan'!$A$5:$F$50,2,FALSE),"")</f>
        <v/>
      </c>
      <c r="F252" s="24"/>
      <c r="G252" s="26" t="str">
        <f>IFERROR(VLOOKUP(F252,'05_Master KPI'!$B$5:$G$100,2,FALSE)&amp;" ("&amp;VLOOKUP(F252,'05_Master KPI'!$B$5:$G$100,3,FALSE)&amp;")","")</f>
        <v/>
      </c>
      <c r="H252" s="26">
        <f>IFERROR(IF(B252&lt;&gt;'06_Target KPI'!$B$3,0,IF(VLOOKUP(F252,'05_Master KPI'!$B$5:$G$100,6,FALSE)="Kumulatif",INDEX('06_Target KPI'!$E$5:$P$100,MATCH(F252,'06_Target KPI'!$B$5:$B$100,0),MATCH(A252,'06_Target KPI'!$E$4:$P$4,0))*DAY(C252)/DAY(EOMONTH(C252,0)),INDEX('06_Target KPI'!$E$5:$P$100,MATCH(F252,'06_Target KPI'!$B$5:$B$100,0),MATCH(A252,'06_Target KPI'!$E$4:$P$4,0)))),0)</f>
        <v>0</v>
      </c>
      <c r="I252" s="24"/>
      <c r="J252" s="27">
        <f>IFERROR(MIN(IF(VLOOKUP(F252,'05_Master KPI'!$B$5:$G$100,5,FALSE)="Lower",H252/I252,I252/H252),1),0)</f>
        <v>0</v>
      </c>
      <c r="K252" s="26">
        <f>IFERROR(VLOOKUP(F252,'05_Master KPI'!$B$5:$G$100,4,FALSE),0)</f>
        <v>0</v>
      </c>
      <c r="L252" s="28">
        <f t="shared" si="3"/>
        <v>0</v>
      </c>
      <c r="M252" s="26" t="str">
        <f>IF(D252="","",IF(J252&gt;='13_Setting'!$H$7,"Tercapai",IF(J252&gt;='13_Setting'!$H$6,"On Track","Tertinggal")))</f>
        <v/>
      </c>
      <c r="N252" s="24"/>
    </row>
    <row r="253" spans="1:14">
      <c r="A253" s="24"/>
      <c r="B253" s="24"/>
      <c r="C253" s="25"/>
      <c r="D253" s="24"/>
      <c r="E253" s="26" t="str">
        <f>IFERROR(VLOOKUP(D253,'04_Master Karyawan'!$A$5:$F$50,2,FALSE),"")</f>
        <v/>
      </c>
      <c r="F253" s="24"/>
      <c r="G253" s="26" t="str">
        <f>IFERROR(VLOOKUP(F253,'05_Master KPI'!$B$5:$G$100,2,FALSE)&amp;" ("&amp;VLOOKUP(F253,'05_Master KPI'!$B$5:$G$100,3,FALSE)&amp;")","")</f>
        <v/>
      </c>
      <c r="H253" s="26">
        <f>IFERROR(IF(B253&lt;&gt;'06_Target KPI'!$B$3,0,IF(VLOOKUP(F253,'05_Master KPI'!$B$5:$G$100,6,FALSE)="Kumulatif",INDEX('06_Target KPI'!$E$5:$P$100,MATCH(F253,'06_Target KPI'!$B$5:$B$100,0),MATCH(A253,'06_Target KPI'!$E$4:$P$4,0))*DAY(C253)/DAY(EOMONTH(C253,0)),INDEX('06_Target KPI'!$E$5:$P$100,MATCH(F253,'06_Target KPI'!$B$5:$B$100,0),MATCH(A253,'06_Target KPI'!$E$4:$P$4,0)))),0)</f>
        <v>0</v>
      </c>
      <c r="I253" s="24"/>
      <c r="J253" s="27">
        <f>IFERROR(MIN(IF(VLOOKUP(F253,'05_Master KPI'!$B$5:$G$100,5,FALSE)="Lower",H253/I253,I253/H253),1),0)</f>
        <v>0</v>
      </c>
      <c r="K253" s="26">
        <f>IFERROR(VLOOKUP(F253,'05_Master KPI'!$B$5:$G$100,4,FALSE),0)</f>
        <v>0</v>
      </c>
      <c r="L253" s="28">
        <f t="shared" si="3"/>
        <v>0</v>
      </c>
      <c r="M253" s="26" t="str">
        <f>IF(D253="","",IF(J253&gt;='13_Setting'!$H$7,"Tercapai",IF(J253&gt;='13_Setting'!$H$6,"On Track","Tertinggal")))</f>
        <v/>
      </c>
      <c r="N253" s="24"/>
    </row>
    <row r="254" spans="1:14">
      <c r="A254" s="24"/>
      <c r="B254" s="24"/>
      <c r="C254" s="25"/>
      <c r="D254" s="24"/>
      <c r="E254" s="26" t="str">
        <f>IFERROR(VLOOKUP(D254,'04_Master Karyawan'!$A$5:$F$50,2,FALSE),"")</f>
        <v/>
      </c>
      <c r="F254" s="24"/>
      <c r="G254" s="26" t="str">
        <f>IFERROR(VLOOKUP(F254,'05_Master KPI'!$B$5:$G$100,2,FALSE)&amp;" ("&amp;VLOOKUP(F254,'05_Master KPI'!$B$5:$G$100,3,FALSE)&amp;")","")</f>
        <v/>
      </c>
      <c r="H254" s="26">
        <f>IFERROR(IF(B254&lt;&gt;'06_Target KPI'!$B$3,0,IF(VLOOKUP(F254,'05_Master KPI'!$B$5:$G$100,6,FALSE)="Kumulatif",INDEX('06_Target KPI'!$E$5:$P$100,MATCH(F254,'06_Target KPI'!$B$5:$B$100,0),MATCH(A254,'06_Target KPI'!$E$4:$P$4,0))*DAY(C254)/DAY(EOMONTH(C254,0)),INDEX('06_Target KPI'!$E$5:$P$100,MATCH(F254,'06_Target KPI'!$B$5:$B$100,0),MATCH(A254,'06_Target KPI'!$E$4:$P$4,0)))),0)</f>
        <v>0</v>
      </c>
      <c r="I254" s="24"/>
      <c r="J254" s="27">
        <f>IFERROR(MIN(IF(VLOOKUP(F254,'05_Master KPI'!$B$5:$G$100,5,FALSE)="Lower",H254/I254,I254/H254),1),0)</f>
        <v>0</v>
      </c>
      <c r="K254" s="26">
        <f>IFERROR(VLOOKUP(F254,'05_Master KPI'!$B$5:$G$100,4,FALSE),0)</f>
        <v>0</v>
      </c>
      <c r="L254" s="28">
        <f t="shared" si="3"/>
        <v>0</v>
      </c>
      <c r="M254" s="26" t="str">
        <f>IF(D254="","",IF(J254&gt;='13_Setting'!$H$7,"Tercapai",IF(J254&gt;='13_Setting'!$H$6,"On Track","Tertinggal")))</f>
        <v/>
      </c>
      <c r="N254" s="24"/>
    </row>
    <row r="255" spans="1:14">
      <c r="A255" s="24"/>
      <c r="B255" s="24"/>
      <c r="C255" s="25"/>
      <c r="D255" s="24"/>
      <c r="E255" s="26" t="str">
        <f>IFERROR(VLOOKUP(D255,'04_Master Karyawan'!$A$5:$F$50,2,FALSE),"")</f>
        <v/>
      </c>
      <c r="F255" s="24"/>
      <c r="G255" s="26" t="str">
        <f>IFERROR(VLOOKUP(F255,'05_Master KPI'!$B$5:$G$100,2,FALSE)&amp;" ("&amp;VLOOKUP(F255,'05_Master KPI'!$B$5:$G$100,3,FALSE)&amp;")","")</f>
        <v/>
      </c>
      <c r="H255" s="26">
        <f>IFERROR(IF(B255&lt;&gt;'06_Target KPI'!$B$3,0,IF(VLOOKUP(F255,'05_Master KPI'!$B$5:$G$100,6,FALSE)="Kumulatif",INDEX('06_Target KPI'!$E$5:$P$100,MATCH(F255,'06_Target KPI'!$B$5:$B$100,0),MATCH(A255,'06_Target KPI'!$E$4:$P$4,0))*DAY(C255)/DAY(EOMONTH(C255,0)),INDEX('06_Target KPI'!$E$5:$P$100,MATCH(F255,'06_Target KPI'!$B$5:$B$100,0),MATCH(A255,'06_Target KPI'!$E$4:$P$4,0)))),0)</f>
        <v>0</v>
      </c>
      <c r="I255" s="24"/>
      <c r="J255" s="27">
        <f>IFERROR(MIN(IF(VLOOKUP(F255,'05_Master KPI'!$B$5:$G$100,5,FALSE)="Lower",H255/I255,I255/H255),1),0)</f>
        <v>0</v>
      </c>
      <c r="K255" s="26">
        <f>IFERROR(VLOOKUP(F255,'05_Master KPI'!$B$5:$G$100,4,FALSE),0)</f>
        <v>0</v>
      </c>
      <c r="L255" s="28">
        <f t="shared" si="3"/>
        <v>0</v>
      </c>
      <c r="M255" s="26" t="str">
        <f>IF(D255="","",IF(J255&gt;='13_Setting'!$H$7,"Tercapai",IF(J255&gt;='13_Setting'!$H$6,"On Track","Tertinggal")))</f>
        <v/>
      </c>
      <c r="N255" s="24"/>
    </row>
    <row r="256" spans="1:14">
      <c r="A256" s="24"/>
      <c r="B256" s="24"/>
      <c r="C256" s="25"/>
      <c r="D256" s="24"/>
      <c r="E256" s="26" t="str">
        <f>IFERROR(VLOOKUP(D256,'04_Master Karyawan'!$A$5:$F$50,2,FALSE),"")</f>
        <v/>
      </c>
      <c r="F256" s="24"/>
      <c r="G256" s="26" t="str">
        <f>IFERROR(VLOOKUP(F256,'05_Master KPI'!$B$5:$G$100,2,FALSE)&amp;" ("&amp;VLOOKUP(F256,'05_Master KPI'!$B$5:$G$100,3,FALSE)&amp;")","")</f>
        <v/>
      </c>
      <c r="H256" s="26">
        <f>IFERROR(IF(B256&lt;&gt;'06_Target KPI'!$B$3,0,IF(VLOOKUP(F256,'05_Master KPI'!$B$5:$G$100,6,FALSE)="Kumulatif",INDEX('06_Target KPI'!$E$5:$P$100,MATCH(F256,'06_Target KPI'!$B$5:$B$100,0),MATCH(A256,'06_Target KPI'!$E$4:$P$4,0))*DAY(C256)/DAY(EOMONTH(C256,0)),INDEX('06_Target KPI'!$E$5:$P$100,MATCH(F256,'06_Target KPI'!$B$5:$B$100,0),MATCH(A256,'06_Target KPI'!$E$4:$P$4,0)))),0)</f>
        <v>0</v>
      </c>
      <c r="I256" s="24"/>
      <c r="J256" s="27">
        <f>IFERROR(MIN(IF(VLOOKUP(F256,'05_Master KPI'!$B$5:$G$100,5,FALSE)="Lower",H256/I256,I256/H256),1),0)</f>
        <v>0</v>
      </c>
      <c r="K256" s="26">
        <f>IFERROR(VLOOKUP(F256,'05_Master KPI'!$B$5:$G$100,4,FALSE),0)</f>
        <v>0</v>
      </c>
      <c r="L256" s="28">
        <f t="shared" si="3"/>
        <v>0</v>
      </c>
      <c r="M256" s="26" t="str">
        <f>IF(D256="","",IF(J256&gt;='13_Setting'!$H$7,"Tercapai",IF(J256&gt;='13_Setting'!$H$6,"On Track","Tertinggal")))</f>
        <v/>
      </c>
      <c r="N256" s="24"/>
    </row>
    <row r="257" spans="1:14">
      <c r="A257" s="24"/>
      <c r="B257" s="24"/>
      <c r="C257" s="25"/>
      <c r="D257" s="24"/>
      <c r="E257" s="26" t="str">
        <f>IFERROR(VLOOKUP(D257,'04_Master Karyawan'!$A$5:$F$50,2,FALSE),"")</f>
        <v/>
      </c>
      <c r="F257" s="24"/>
      <c r="G257" s="26" t="str">
        <f>IFERROR(VLOOKUP(F257,'05_Master KPI'!$B$5:$G$100,2,FALSE)&amp;" ("&amp;VLOOKUP(F257,'05_Master KPI'!$B$5:$G$100,3,FALSE)&amp;")","")</f>
        <v/>
      </c>
      <c r="H257" s="26">
        <f>IFERROR(IF(B257&lt;&gt;'06_Target KPI'!$B$3,0,IF(VLOOKUP(F257,'05_Master KPI'!$B$5:$G$100,6,FALSE)="Kumulatif",INDEX('06_Target KPI'!$E$5:$P$100,MATCH(F257,'06_Target KPI'!$B$5:$B$100,0),MATCH(A257,'06_Target KPI'!$E$4:$P$4,0))*DAY(C257)/DAY(EOMONTH(C257,0)),INDEX('06_Target KPI'!$E$5:$P$100,MATCH(F257,'06_Target KPI'!$B$5:$B$100,0),MATCH(A257,'06_Target KPI'!$E$4:$P$4,0)))),0)</f>
        <v>0</v>
      </c>
      <c r="I257" s="24"/>
      <c r="J257" s="27">
        <f>IFERROR(MIN(IF(VLOOKUP(F257,'05_Master KPI'!$B$5:$G$100,5,FALSE)="Lower",H257/I257,I257/H257),1),0)</f>
        <v>0</v>
      </c>
      <c r="K257" s="26">
        <f>IFERROR(VLOOKUP(F257,'05_Master KPI'!$B$5:$G$100,4,FALSE),0)</f>
        <v>0</v>
      </c>
      <c r="L257" s="28">
        <f t="shared" si="3"/>
        <v>0</v>
      </c>
      <c r="M257" s="26" t="str">
        <f>IF(D257="","",IF(J257&gt;='13_Setting'!$H$7,"Tercapai",IF(J257&gt;='13_Setting'!$H$6,"On Track","Tertinggal")))</f>
        <v/>
      </c>
      <c r="N257" s="24"/>
    </row>
    <row r="258" spans="1:14">
      <c r="A258" s="24"/>
      <c r="B258" s="24"/>
      <c r="C258" s="25"/>
      <c r="D258" s="24"/>
      <c r="E258" s="26" t="str">
        <f>IFERROR(VLOOKUP(D258,'04_Master Karyawan'!$A$5:$F$50,2,FALSE),"")</f>
        <v/>
      </c>
      <c r="F258" s="24"/>
      <c r="G258" s="26" t="str">
        <f>IFERROR(VLOOKUP(F258,'05_Master KPI'!$B$5:$G$100,2,FALSE)&amp;" ("&amp;VLOOKUP(F258,'05_Master KPI'!$B$5:$G$100,3,FALSE)&amp;")","")</f>
        <v/>
      </c>
      <c r="H258" s="26">
        <f>IFERROR(IF(B258&lt;&gt;'06_Target KPI'!$B$3,0,IF(VLOOKUP(F258,'05_Master KPI'!$B$5:$G$100,6,FALSE)="Kumulatif",INDEX('06_Target KPI'!$E$5:$P$100,MATCH(F258,'06_Target KPI'!$B$5:$B$100,0),MATCH(A258,'06_Target KPI'!$E$4:$P$4,0))*DAY(C258)/DAY(EOMONTH(C258,0)),INDEX('06_Target KPI'!$E$5:$P$100,MATCH(F258,'06_Target KPI'!$B$5:$B$100,0),MATCH(A258,'06_Target KPI'!$E$4:$P$4,0)))),0)</f>
        <v>0</v>
      </c>
      <c r="I258" s="24"/>
      <c r="J258" s="27">
        <f>IFERROR(MIN(IF(VLOOKUP(F258,'05_Master KPI'!$B$5:$G$100,5,FALSE)="Lower",H258/I258,I258/H258),1),0)</f>
        <v>0</v>
      </c>
      <c r="K258" s="26">
        <f>IFERROR(VLOOKUP(F258,'05_Master KPI'!$B$5:$G$100,4,FALSE),0)</f>
        <v>0</v>
      </c>
      <c r="L258" s="28">
        <f t="shared" si="3"/>
        <v>0</v>
      </c>
      <c r="M258" s="26" t="str">
        <f>IF(D258="","",IF(J258&gt;='13_Setting'!$H$7,"Tercapai",IF(J258&gt;='13_Setting'!$H$6,"On Track","Tertinggal")))</f>
        <v/>
      </c>
      <c r="N258" s="24"/>
    </row>
    <row r="259" spans="1:14">
      <c r="A259" s="24"/>
      <c r="B259" s="24"/>
      <c r="C259" s="25"/>
      <c r="D259" s="24"/>
      <c r="E259" s="26" t="str">
        <f>IFERROR(VLOOKUP(D259,'04_Master Karyawan'!$A$5:$F$50,2,FALSE),"")</f>
        <v/>
      </c>
      <c r="F259" s="24"/>
      <c r="G259" s="26" t="str">
        <f>IFERROR(VLOOKUP(F259,'05_Master KPI'!$B$5:$G$100,2,FALSE)&amp;" ("&amp;VLOOKUP(F259,'05_Master KPI'!$B$5:$G$100,3,FALSE)&amp;")","")</f>
        <v/>
      </c>
      <c r="H259" s="26">
        <f>IFERROR(IF(B259&lt;&gt;'06_Target KPI'!$B$3,0,IF(VLOOKUP(F259,'05_Master KPI'!$B$5:$G$100,6,FALSE)="Kumulatif",INDEX('06_Target KPI'!$E$5:$P$100,MATCH(F259,'06_Target KPI'!$B$5:$B$100,0),MATCH(A259,'06_Target KPI'!$E$4:$P$4,0))*DAY(C259)/DAY(EOMONTH(C259,0)),INDEX('06_Target KPI'!$E$5:$P$100,MATCH(F259,'06_Target KPI'!$B$5:$B$100,0),MATCH(A259,'06_Target KPI'!$E$4:$P$4,0)))),0)</f>
        <v>0</v>
      </c>
      <c r="I259" s="24"/>
      <c r="J259" s="27">
        <f>IFERROR(MIN(IF(VLOOKUP(F259,'05_Master KPI'!$B$5:$G$100,5,FALSE)="Lower",H259/I259,I259/H259),1),0)</f>
        <v>0</v>
      </c>
      <c r="K259" s="26">
        <f>IFERROR(VLOOKUP(F259,'05_Master KPI'!$B$5:$G$100,4,FALSE),0)</f>
        <v>0</v>
      </c>
      <c r="L259" s="28">
        <f t="shared" si="3"/>
        <v>0</v>
      </c>
      <c r="M259" s="26" t="str">
        <f>IF(D259="","",IF(J259&gt;='13_Setting'!$H$7,"Tercapai",IF(J259&gt;='13_Setting'!$H$6,"On Track","Tertinggal")))</f>
        <v/>
      </c>
      <c r="N259" s="24"/>
    </row>
    <row r="260" spans="1:14">
      <c r="A260" s="24"/>
      <c r="B260" s="24"/>
      <c r="C260" s="25"/>
      <c r="D260" s="24"/>
      <c r="E260" s="26" t="str">
        <f>IFERROR(VLOOKUP(D260,'04_Master Karyawan'!$A$5:$F$50,2,FALSE),"")</f>
        <v/>
      </c>
      <c r="F260" s="24"/>
      <c r="G260" s="26" t="str">
        <f>IFERROR(VLOOKUP(F260,'05_Master KPI'!$B$5:$G$100,2,FALSE)&amp;" ("&amp;VLOOKUP(F260,'05_Master KPI'!$B$5:$G$100,3,FALSE)&amp;")","")</f>
        <v/>
      </c>
      <c r="H260" s="26">
        <f>IFERROR(IF(B260&lt;&gt;'06_Target KPI'!$B$3,0,IF(VLOOKUP(F260,'05_Master KPI'!$B$5:$G$100,6,FALSE)="Kumulatif",INDEX('06_Target KPI'!$E$5:$P$100,MATCH(F260,'06_Target KPI'!$B$5:$B$100,0),MATCH(A260,'06_Target KPI'!$E$4:$P$4,0))*DAY(C260)/DAY(EOMONTH(C260,0)),INDEX('06_Target KPI'!$E$5:$P$100,MATCH(F260,'06_Target KPI'!$B$5:$B$100,0),MATCH(A260,'06_Target KPI'!$E$4:$P$4,0)))),0)</f>
        <v>0</v>
      </c>
      <c r="I260" s="24"/>
      <c r="J260" s="27">
        <f>IFERROR(MIN(IF(VLOOKUP(F260,'05_Master KPI'!$B$5:$G$100,5,FALSE)="Lower",H260/I260,I260/H260),1),0)</f>
        <v>0</v>
      </c>
      <c r="K260" s="26">
        <f>IFERROR(VLOOKUP(F260,'05_Master KPI'!$B$5:$G$100,4,FALSE),0)</f>
        <v>0</v>
      </c>
      <c r="L260" s="28">
        <f t="shared" si="3"/>
        <v>0</v>
      </c>
      <c r="M260" s="26" t="str">
        <f>IF(D260="","",IF(J260&gt;='13_Setting'!$H$7,"Tercapai",IF(J260&gt;='13_Setting'!$H$6,"On Track","Tertinggal")))</f>
        <v/>
      </c>
      <c r="N260" s="24"/>
    </row>
    <row r="261" spans="1:14">
      <c r="A261" s="24"/>
      <c r="B261" s="24"/>
      <c r="C261" s="25"/>
      <c r="D261" s="24"/>
      <c r="E261" s="26" t="str">
        <f>IFERROR(VLOOKUP(D261,'04_Master Karyawan'!$A$5:$F$50,2,FALSE),"")</f>
        <v/>
      </c>
      <c r="F261" s="24"/>
      <c r="G261" s="26" t="str">
        <f>IFERROR(VLOOKUP(F261,'05_Master KPI'!$B$5:$G$100,2,FALSE)&amp;" ("&amp;VLOOKUP(F261,'05_Master KPI'!$B$5:$G$100,3,FALSE)&amp;")","")</f>
        <v/>
      </c>
      <c r="H261" s="26">
        <f>IFERROR(IF(B261&lt;&gt;'06_Target KPI'!$B$3,0,IF(VLOOKUP(F261,'05_Master KPI'!$B$5:$G$100,6,FALSE)="Kumulatif",INDEX('06_Target KPI'!$E$5:$P$100,MATCH(F261,'06_Target KPI'!$B$5:$B$100,0),MATCH(A261,'06_Target KPI'!$E$4:$P$4,0))*DAY(C261)/DAY(EOMONTH(C261,0)),INDEX('06_Target KPI'!$E$5:$P$100,MATCH(F261,'06_Target KPI'!$B$5:$B$100,0),MATCH(A261,'06_Target KPI'!$E$4:$P$4,0)))),0)</f>
        <v>0</v>
      </c>
      <c r="I261" s="24"/>
      <c r="J261" s="27">
        <f>IFERROR(MIN(IF(VLOOKUP(F261,'05_Master KPI'!$B$5:$G$100,5,FALSE)="Lower",H261/I261,I261/H261),1),0)</f>
        <v>0</v>
      </c>
      <c r="K261" s="26">
        <f>IFERROR(VLOOKUP(F261,'05_Master KPI'!$B$5:$G$100,4,FALSE),0)</f>
        <v>0</v>
      </c>
      <c r="L261" s="28">
        <f t="shared" ref="L261:L304" si="4">J261*K261</f>
        <v>0</v>
      </c>
      <c r="M261" s="26" t="str">
        <f>IF(D261="","",IF(J261&gt;='13_Setting'!$H$7,"Tercapai",IF(J261&gt;='13_Setting'!$H$6,"On Track","Tertinggal")))</f>
        <v/>
      </c>
      <c r="N261" s="24"/>
    </row>
    <row r="262" spans="1:14">
      <c r="A262" s="24"/>
      <c r="B262" s="24"/>
      <c r="C262" s="25"/>
      <c r="D262" s="24"/>
      <c r="E262" s="26" t="str">
        <f>IFERROR(VLOOKUP(D262,'04_Master Karyawan'!$A$5:$F$50,2,FALSE),"")</f>
        <v/>
      </c>
      <c r="F262" s="24"/>
      <c r="G262" s="26" t="str">
        <f>IFERROR(VLOOKUP(F262,'05_Master KPI'!$B$5:$G$100,2,FALSE)&amp;" ("&amp;VLOOKUP(F262,'05_Master KPI'!$B$5:$G$100,3,FALSE)&amp;")","")</f>
        <v/>
      </c>
      <c r="H262" s="26">
        <f>IFERROR(IF(B262&lt;&gt;'06_Target KPI'!$B$3,0,IF(VLOOKUP(F262,'05_Master KPI'!$B$5:$G$100,6,FALSE)="Kumulatif",INDEX('06_Target KPI'!$E$5:$P$100,MATCH(F262,'06_Target KPI'!$B$5:$B$100,0),MATCH(A262,'06_Target KPI'!$E$4:$P$4,0))*DAY(C262)/DAY(EOMONTH(C262,0)),INDEX('06_Target KPI'!$E$5:$P$100,MATCH(F262,'06_Target KPI'!$B$5:$B$100,0),MATCH(A262,'06_Target KPI'!$E$4:$P$4,0)))),0)</f>
        <v>0</v>
      </c>
      <c r="I262" s="24"/>
      <c r="J262" s="27">
        <f>IFERROR(MIN(IF(VLOOKUP(F262,'05_Master KPI'!$B$5:$G$100,5,FALSE)="Lower",H262/I262,I262/H262),1),0)</f>
        <v>0</v>
      </c>
      <c r="K262" s="26">
        <f>IFERROR(VLOOKUP(F262,'05_Master KPI'!$B$5:$G$100,4,FALSE),0)</f>
        <v>0</v>
      </c>
      <c r="L262" s="28">
        <f t="shared" si="4"/>
        <v>0</v>
      </c>
      <c r="M262" s="26" t="str">
        <f>IF(D262="","",IF(J262&gt;='13_Setting'!$H$7,"Tercapai",IF(J262&gt;='13_Setting'!$H$6,"On Track","Tertinggal")))</f>
        <v/>
      </c>
      <c r="N262" s="24"/>
    </row>
    <row r="263" spans="1:14">
      <c r="A263" s="24"/>
      <c r="B263" s="24"/>
      <c r="C263" s="25"/>
      <c r="D263" s="24"/>
      <c r="E263" s="26" t="str">
        <f>IFERROR(VLOOKUP(D263,'04_Master Karyawan'!$A$5:$F$50,2,FALSE),"")</f>
        <v/>
      </c>
      <c r="F263" s="24"/>
      <c r="G263" s="26" t="str">
        <f>IFERROR(VLOOKUP(F263,'05_Master KPI'!$B$5:$G$100,2,FALSE)&amp;" ("&amp;VLOOKUP(F263,'05_Master KPI'!$B$5:$G$100,3,FALSE)&amp;")","")</f>
        <v/>
      </c>
      <c r="H263" s="26">
        <f>IFERROR(IF(B263&lt;&gt;'06_Target KPI'!$B$3,0,IF(VLOOKUP(F263,'05_Master KPI'!$B$5:$G$100,6,FALSE)="Kumulatif",INDEX('06_Target KPI'!$E$5:$P$100,MATCH(F263,'06_Target KPI'!$B$5:$B$100,0),MATCH(A263,'06_Target KPI'!$E$4:$P$4,0))*DAY(C263)/DAY(EOMONTH(C263,0)),INDEX('06_Target KPI'!$E$5:$P$100,MATCH(F263,'06_Target KPI'!$B$5:$B$100,0),MATCH(A263,'06_Target KPI'!$E$4:$P$4,0)))),0)</f>
        <v>0</v>
      </c>
      <c r="I263" s="24"/>
      <c r="J263" s="27">
        <f>IFERROR(MIN(IF(VLOOKUP(F263,'05_Master KPI'!$B$5:$G$100,5,FALSE)="Lower",H263/I263,I263/H263),1),0)</f>
        <v>0</v>
      </c>
      <c r="K263" s="26">
        <f>IFERROR(VLOOKUP(F263,'05_Master KPI'!$B$5:$G$100,4,FALSE),0)</f>
        <v>0</v>
      </c>
      <c r="L263" s="28">
        <f t="shared" si="4"/>
        <v>0</v>
      </c>
      <c r="M263" s="26" t="str">
        <f>IF(D263="","",IF(J263&gt;='13_Setting'!$H$7,"Tercapai",IF(J263&gt;='13_Setting'!$H$6,"On Track","Tertinggal")))</f>
        <v/>
      </c>
      <c r="N263" s="24"/>
    </row>
    <row r="264" spans="1:14">
      <c r="A264" s="24"/>
      <c r="B264" s="24"/>
      <c r="C264" s="25"/>
      <c r="D264" s="24"/>
      <c r="E264" s="26" t="str">
        <f>IFERROR(VLOOKUP(D264,'04_Master Karyawan'!$A$5:$F$50,2,FALSE),"")</f>
        <v/>
      </c>
      <c r="F264" s="24"/>
      <c r="G264" s="26" t="str">
        <f>IFERROR(VLOOKUP(F264,'05_Master KPI'!$B$5:$G$100,2,FALSE)&amp;" ("&amp;VLOOKUP(F264,'05_Master KPI'!$B$5:$G$100,3,FALSE)&amp;")","")</f>
        <v/>
      </c>
      <c r="H264" s="26">
        <f>IFERROR(IF(B264&lt;&gt;'06_Target KPI'!$B$3,0,IF(VLOOKUP(F264,'05_Master KPI'!$B$5:$G$100,6,FALSE)="Kumulatif",INDEX('06_Target KPI'!$E$5:$P$100,MATCH(F264,'06_Target KPI'!$B$5:$B$100,0),MATCH(A264,'06_Target KPI'!$E$4:$P$4,0))*DAY(C264)/DAY(EOMONTH(C264,0)),INDEX('06_Target KPI'!$E$5:$P$100,MATCH(F264,'06_Target KPI'!$B$5:$B$100,0),MATCH(A264,'06_Target KPI'!$E$4:$P$4,0)))),0)</f>
        <v>0</v>
      </c>
      <c r="I264" s="24"/>
      <c r="J264" s="27">
        <f>IFERROR(MIN(IF(VLOOKUP(F264,'05_Master KPI'!$B$5:$G$100,5,FALSE)="Lower",H264/I264,I264/H264),1),0)</f>
        <v>0</v>
      </c>
      <c r="K264" s="26">
        <f>IFERROR(VLOOKUP(F264,'05_Master KPI'!$B$5:$G$100,4,FALSE),0)</f>
        <v>0</v>
      </c>
      <c r="L264" s="28">
        <f t="shared" si="4"/>
        <v>0</v>
      </c>
      <c r="M264" s="26" t="str">
        <f>IF(D264="","",IF(J264&gt;='13_Setting'!$H$7,"Tercapai",IF(J264&gt;='13_Setting'!$H$6,"On Track","Tertinggal")))</f>
        <v/>
      </c>
      <c r="N264" s="24"/>
    </row>
    <row r="265" spans="1:14">
      <c r="A265" s="24"/>
      <c r="B265" s="24"/>
      <c r="C265" s="25"/>
      <c r="D265" s="24"/>
      <c r="E265" s="26" t="str">
        <f>IFERROR(VLOOKUP(D265,'04_Master Karyawan'!$A$5:$F$50,2,FALSE),"")</f>
        <v/>
      </c>
      <c r="F265" s="24"/>
      <c r="G265" s="26" t="str">
        <f>IFERROR(VLOOKUP(F265,'05_Master KPI'!$B$5:$G$100,2,FALSE)&amp;" ("&amp;VLOOKUP(F265,'05_Master KPI'!$B$5:$G$100,3,FALSE)&amp;")","")</f>
        <v/>
      </c>
      <c r="H265" s="26">
        <f>IFERROR(IF(B265&lt;&gt;'06_Target KPI'!$B$3,0,IF(VLOOKUP(F265,'05_Master KPI'!$B$5:$G$100,6,FALSE)="Kumulatif",INDEX('06_Target KPI'!$E$5:$P$100,MATCH(F265,'06_Target KPI'!$B$5:$B$100,0),MATCH(A265,'06_Target KPI'!$E$4:$P$4,0))*DAY(C265)/DAY(EOMONTH(C265,0)),INDEX('06_Target KPI'!$E$5:$P$100,MATCH(F265,'06_Target KPI'!$B$5:$B$100,0),MATCH(A265,'06_Target KPI'!$E$4:$P$4,0)))),0)</f>
        <v>0</v>
      </c>
      <c r="I265" s="24"/>
      <c r="J265" s="27">
        <f>IFERROR(MIN(IF(VLOOKUP(F265,'05_Master KPI'!$B$5:$G$100,5,FALSE)="Lower",H265/I265,I265/H265),1),0)</f>
        <v>0</v>
      </c>
      <c r="K265" s="26">
        <f>IFERROR(VLOOKUP(F265,'05_Master KPI'!$B$5:$G$100,4,FALSE),0)</f>
        <v>0</v>
      </c>
      <c r="L265" s="28">
        <f t="shared" si="4"/>
        <v>0</v>
      </c>
      <c r="M265" s="26" t="str">
        <f>IF(D265="","",IF(J265&gt;='13_Setting'!$H$7,"Tercapai",IF(J265&gt;='13_Setting'!$H$6,"On Track","Tertinggal")))</f>
        <v/>
      </c>
      <c r="N265" s="24"/>
    </row>
    <row r="266" spans="1:14">
      <c r="A266" s="24"/>
      <c r="B266" s="24"/>
      <c r="C266" s="25"/>
      <c r="D266" s="24"/>
      <c r="E266" s="26" t="str">
        <f>IFERROR(VLOOKUP(D266,'04_Master Karyawan'!$A$5:$F$50,2,FALSE),"")</f>
        <v/>
      </c>
      <c r="F266" s="24"/>
      <c r="G266" s="26" t="str">
        <f>IFERROR(VLOOKUP(F266,'05_Master KPI'!$B$5:$G$100,2,FALSE)&amp;" ("&amp;VLOOKUP(F266,'05_Master KPI'!$B$5:$G$100,3,FALSE)&amp;")","")</f>
        <v/>
      </c>
      <c r="H266" s="26">
        <f>IFERROR(IF(B266&lt;&gt;'06_Target KPI'!$B$3,0,IF(VLOOKUP(F266,'05_Master KPI'!$B$5:$G$100,6,FALSE)="Kumulatif",INDEX('06_Target KPI'!$E$5:$P$100,MATCH(F266,'06_Target KPI'!$B$5:$B$100,0),MATCH(A266,'06_Target KPI'!$E$4:$P$4,0))*DAY(C266)/DAY(EOMONTH(C266,0)),INDEX('06_Target KPI'!$E$5:$P$100,MATCH(F266,'06_Target KPI'!$B$5:$B$100,0),MATCH(A266,'06_Target KPI'!$E$4:$P$4,0)))),0)</f>
        <v>0</v>
      </c>
      <c r="I266" s="24"/>
      <c r="J266" s="27">
        <f>IFERROR(MIN(IF(VLOOKUP(F266,'05_Master KPI'!$B$5:$G$100,5,FALSE)="Lower",H266/I266,I266/H266),1),0)</f>
        <v>0</v>
      </c>
      <c r="K266" s="26">
        <f>IFERROR(VLOOKUP(F266,'05_Master KPI'!$B$5:$G$100,4,FALSE),0)</f>
        <v>0</v>
      </c>
      <c r="L266" s="28">
        <f t="shared" si="4"/>
        <v>0</v>
      </c>
      <c r="M266" s="26" t="str">
        <f>IF(D266="","",IF(J266&gt;='13_Setting'!$H$7,"Tercapai",IF(J266&gt;='13_Setting'!$H$6,"On Track","Tertinggal")))</f>
        <v/>
      </c>
      <c r="N266" s="24"/>
    </row>
    <row r="267" spans="1:14">
      <c r="A267" s="24"/>
      <c r="B267" s="24"/>
      <c r="C267" s="25"/>
      <c r="D267" s="24"/>
      <c r="E267" s="26" t="str">
        <f>IFERROR(VLOOKUP(D267,'04_Master Karyawan'!$A$5:$F$50,2,FALSE),"")</f>
        <v/>
      </c>
      <c r="F267" s="24"/>
      <c r="G267" s="26" t="str">
        <f>IFERROR(VLOOKUP(F267,'05_Master KPI'!$B$5:$G$100,2,FALSE)&amp;" ("&amp;VLOOKUP(F267,'05_Master KPI'!$B$5:$G$100,3,FALSE)&amp;")","")</f>
        <v/>
      </c>
      <c r="H267" s="26">
        <f>IFERROR(IF(B267&lt;&gt;'06_Target KPI'!$B$3,0,IF(VLOOKUP(F267,'05_Master KPI'!$B$5:$G$100,6,FALSE)="Kumulatif",INDEX('06_Target KPI'!$E$5:$P$100,MATCH(F267,'06_Target KPI'!$B$5:$B$100,0),MATCH(A267,'06_Target KPI'!$E$4:$P$4,0))*DAY(C267)/DAY(EOMONTH(C267,0)),INDEX('06_Target KPI'!$E$5:$P$100,MATCH(F267,'06_Target KPI'!$B$5:$B$100,0),MATCH(A267,'06_Target KPI'!$E$4:$P$4,0)))),0)</f>
        <v>0</v>
      </c>
      <c r="I267" s="24"/>
      <c r="J267" s="27">
        <f>IFERROR(MIN(IF(VLOOKUP(F267,'05_Master KPI'!$B$5:$G$100,5,FALSE)="Lower",H267/I267,I267/H267),1),0)</f>
        <v>0</v>
      </c>
      <c r="K267" s="26">
        <f>IFERROR(VLOOKUP(F267,'05_Master KPI'!$B$5:$G$100,4,FALSE),0)</f>
        <v>0</v>
      </c>
      <c r="L267" s="28">
        <f t="shared" si="4"/>
        <v>0</v>
      </c>
      <c r="M267" s="26" t="str">
        <f>IF(D267="","",IF(J267&gt;='13_Setting'!$H$7,"Tercapai",IF(J267&gt;='13_Setting'!$H$6,"On Track","Tertinggal")))</f>
        <v/>
      </c>
      <c r="N267" s="24"/>
    </row>
    <row r="268" spans="1:14">
      <c r="A268" s="24"/>
      <c r="B268" s="24"/>
      <c r="C268" s="25"/>
      <c r="D268" s="24"/>
      <c r="E268" s="26" t="str">
        <f>IFERROR(VLOOKUP(D268,'04_Master Karyawan'!$A$5:$F$50,2,FALSE),"")</f>
        <v/>
      </c>
      <c r="F268" s="24"/>
      <c r="G268" s="26" t="str">
        <f>IFERROR(VLOOKUP(F268,'05_Master KPI'!$B$5:$G$100,2,FALSE)&amp;" ("&amp;VLOOKUP(F268,'05_Master KPI'!$B$5:$G$100,3,FALSE)&amp;")","")</f>
        <v/>
      </c>
      <c r="H268" s="26">
        <f>IFERROR(IF(B268&lt;&gt;'06_Target KPI'!$B$3,0,IF(VLOOKUP(F268,'05_Master KPI'!$B$5:$G$100,6,FALSE)="Kumulatif",INDEX('06_Target KPI'!$E$5:$P$100,MATCH(F268,'06_Target KPI'!$B$5:$B$100,0),MATCH(A268,'06_Target KPI'!$E$4:$P$4,0))*DAY(C268)/DAY(EOMONTH(C268,0)),INDEX('06_Target KPI'!$E$5:$P$100,MATCH(F268,'06_Target KPI'!$B$5:$B$100,0),MATCH(A268,'06_Target KPI'!$E$4:$P$4,0)))),0)</f>
        <v>0</v>
      </c>
      <c r="I268" s="24"/>
      <c r="J268" s="27">
        <f>IFERROR(MIN(IF(VLOOKUP(F268,'05_Master KPI'!$B$5:$G$100,5,FALSE)="Lower",H268/I268,I268/H268),1),0)</f>
        <v>0</v>
      </c>
      <c r="K268" s="26">
        <f>IFERROR(VLOOKUP(F268,'05_Master KPI'!$B$5:$G$100,4,FALSE),0)</f>
        <v>0</v>
      </c>
      <c r="L268" s="28">
        <f t="shared" si="4"/>
        <v>0</v>
      </c>
      <c r="M268" s="26" t="str">
        <f>IF(D268="","",IF(J268&gt;='13_Setting'!$H$7,"Tercapai",IF(J268&gt;='13_Setting'!$H$6,"On Track","Tertinggal")))</f>
        <v/>
      </c>
      <c r="N268" s="24"/>
    </row>
    <row r="269" spans="1:14">
      <c r="A269" s="24"/>
      <c r="B269" s="24"/>
      <c r="C269" s="25"/>
      <c r="D269" s="24"/>
      <c r="E269" s="26" t="str">
        <f>IFERROR(VLOOKUP(D269,'04_Master Karyawan'!$A$5:$F$50,2,FALSE),"")</f>
        <v/>
      </c>
      <c r="F269" s="24"/>
      <c r="G269" s="26" t="str">
        <f>IFERROR(VLOOKUP(F269,'05_Master KPI'!$B$5:$G$100,2,FALSE)&amp;" ("&amp;VLOOKUP(F269,'05_Master KPI'!$B$5:$G$100,3,FALSE)&amp;")","")</f>
        <v/>
      </c>
      <c r="H269" s="26">
        <f>IFERROR(IF(B269&lt;&gt;'06_Target KPI'!$B$3,0,IF(VLOOKUP(F269,'05_Master KPI'!$B$5:$G$100,6,FALSE)="Kumulatif",INDEX('06_Target KPI'!$E$5:$P$100,MATCH(F269,'06_Target KPI'!$B$5:$B$100,0),MATCH(A269,'06_Target KPI'!$E$4:$P$4,0))*DAY(C269)/DAY(EOMONTH(C269,0)),INDEX('06_Target KPI'!$E$5:$P$100,MATCH(F269,'06_Target KPI'!$B$5:$B$100,0),MATCH(A269,'06_Target KPI'!$E$4:$P$4,0)))),0)</f>
        <v>0</v>
      </c>
      <c r="I269" s="24"/>
      <c r="J269" s="27">
        <f>IFERROR(MIN(IF(VLOOKUP(F269,'05_Master KPI'!$B$5:$G$100,5,FALSE)="Lower",H269/I269,I269/H269),1),0)</f>
        <v>0</v>
      </c>
      <c r="K269" s="26">
        <f>IFERROR(VLOOKUP(F269,'05_Master KPI'!$B$5:$G$100,4,FALSE),0)</f>
        <v>0</v>
      </c>
      <c r="L269" s="28">
        <f t="shared" si="4"/>
        <v>0</v>
      </c>
      <c r="M269" s="26" t="str">
        <f>IF(D269="","",IF(J269&gt;='13_Setting'!$H$7,"Tercapai",IF(J269&gt;='13_Setting'!$H$6,"On Track","Tertinggal")))</f>
        <v/>
      </c>
      <c r="N269" s="24"/>
    </row>
    <row r="270" spans="1:14">
      <c r="A270" s="24"/>
      <c r="B270" s="24"/>
      <c r="C270" s="25"/>
      <c r="D270" s="24"/>
      <c r="E270" s="26" t="str">
        <f>IFERROR(VLOOKUP(D270,'04_Master Karyawan'!$A$5:$F$50,2,FALSE),"")</f>
        <v/>
      </c>
      <c r="F270" s="24"/>
      <c r="G270" s="26" t="str">
        <f>IFERROR(VLOOKUP(F270,'05_Master KPI'!$B$5:$G$100,2,FALSE)&amp;" ("&amp;VLOOKUP(F270,'05_Master KPI'!$B$5:$G$100,3,FALSE)&amp;")","")</f>
        <v/>
      </c>
      <c r="H270" s="26">
        <f>IFERROR(IF(B270&lt;&gt;'06_Target KPI'!$B$3,0,IF(VLOOKUP(F270,'05_Master KPI'!$B$5:$G$100,6,FALSE)="Kumulatif",INDEX('06_Target KPI'!$E$5:$P$100,MATCH(F270,'06_Target KPI'!$B$5:$B$100,0),MATCH(A270,'06_Target KPI'!$E$4:$P$4,0))*DAY(C270)/DAY(EOMONTH(C270,0)),INDEX('06_Target KPI'!$E$5:$P$100,MATCH(F270,'06_Target KPI'!$B$5:$B$100,0),MATCH(A270,'06_Target KPI'!$E$4:$P$4,0)))),0)</f>
        <v>0</v>
      </c>
      <c r="I270" s="24"/>
      <c r="J270" s="27">
        <f>IFERROR(MIN(IF(VLOOKUP(F270,'05_Master KPI'!$B$5:$G$100,5,FALSE)="Lower",H270/I270,I270/H270),1),0)</f>
        <v>0</v>
      </c>
      <c r="K270" s="26">
        <f>IFERROR(VLOOKUP(F270,'05_Master KPI'!$B$5:$G$100,4,FALSE),0)</f>
        <v>0</v>
      </c>
      <c r="L270" s="28">
        <f t="shared" si="4"/>
        <v>0</v>
      </c>
      <c r="M270" s="26" t="str">
        <f>IF(D270="","",IF(J270&gt;='13_Setting'!$H$7,"Tercapai",IF(J270&gt;='13_Setting'!$H$6,"On Track","Tertinggal")))</f>
        <v/>
      </c>
      <c r="N270" s="24"/>
    </row>
    <row r="271" spans="1:14">
      <c r="A271" s="24"/>
      <c r="B271" s="24"/>
      <c r="C271" s="25"/>
      <c r="D271" s="24"/>
      <c r="E271" s="26" t="str">
        <f>IFERROR(VLOOKUP(D271,'04_Master Karyawan'!$A$5:$F$50,2,FALSE),"")</f>
        <v/>
      </c>
      <c r="F271" s="24"/>
      <c r="G271" s="26" t="str">
        <f>IFERROR(VLOOKUP(F271,'05_Master KPI'!$B$5:$G$100,2,FALSE)&amp;" ("&amp;VLOOKUP(F271,'05_Master KPI'!$B$5:$G$100,3,FALSE)&amp;")","")</f>
        <v/>
      </c>
      <c r="H271" s="26">
        <f>IFERROR(IF(B271&lt;&gt;'06_Target KPI'!$B$3,0,IF(VLOOKUP(F271,'05_Master KPI'!$B$5:$G$100,6,FALSE)="Kumulatif",INDEX('06_Target KPI'!$E$5:$P$100,MATCH(F271,'06_Target KPI'!$B$5:$B$100,0),MATCH(A271,'06_Target KPI'!$E$4:$P$4,0))*DAY(C271)/DAY(EOMONTH(C271,0)),INDEX('06_Target KPI'!$E$5:$P$100,MATCH(F271,'06_Target KPI'!$B$5:$B$100,0),MATCH(A271,'06_Target KPI'!$E$4:$P$4,0)))),0)</f>
        <v>0</v>
      </c>
      <c r="I271" s="24"/>
      <c r="J271" s="27">
        <f>IFERROR(MIN(IF(VLOOKUP(F271,'05_Master KPI'!$B$5:$G$100,5,FALSE)="Lower",H271/I271,I271/H271),1),0)</f>
        <v>0</v>
      </c>
      <c r="K271" s="26">
        <f>IFERROR(VLOOKUP(F271,'05_Master KPI'!$B$5:$G$100,4,FALSE),0)</f>
        <v>0</v>
      </c>
      <c r="L271" s="28">
        <f t="shared" si="4"/>
        <v>0</v>
      </c>
      <c r="M271" s="26" t="str">
        <f>IF(D271="","",IF(J271&gt;='13_Setting'!$H$7,"Tercapai",IF(J271&gt;='13_Setting'!$H$6,"On Track","Tertinggal")))</f>
        <v/>
      </c>
      <c r="N271" s="24"/>
    </row>
    <row r="272" spans="1:14">
      <c r="A272" s="24"/>
      <c r="B272" s="24"/>
      <c r="C272" s="25"/>
      <c r="D272" s="24"/>
      <c r="E272" s="26" t="str">
        <f>IFERROR(VLOOKUP(D272,'04_Master Karyawan'!$A$5:$F$50,2,FALSE),"")</f>
        <v/>
      </c>
      <c r="F272" s="24"/>
      <c r="G272" s="26" t="str">
        <f>IFERROR(VLOOKUP(F272,'05_Master KPI'!$B$5:$G$100,2,FALSE)&amp;" ("&amp;VLOOKUP(F272,'05_Master KPI'!$B$5:$G$100,3,FALSE)&amp;")","")</f>
        <v/>
      </c>
      <c r="H272" s="26">
        <f>IFERROR(IF(B272&lt;&gt;'06_Target KPI'!$B$3,0,IF(VLOOKUP(F272,'05_Master KPI'!$B$5:$G$100,6,FALSE)="Kumulatif",INDEX('06_Target KPI'!$E$5:$P$100,MATCH(F272,'06_Target KPI'!$B$5:$B$100,0),MATCH(A272,'06_Target KPI'!$E$4:$P$4,0))*DAY(C272)/DAY(EOMONTH(C272,0)),INDEX('06_Target KPI'!$E$5:$P$100,MATCH(F272,'06_Target KPI'!$B$5:$B$100,0),MATCH(A272,'06_Target KPI'!$E$4:$P$4,0)))),0)</f>
        <v>0</v>
      </c>
      <c r="I272" s="24"/>
      <c r="J272" s="27">
        <f>IFERROR(MIN(IF(VLOOKUP(F272,'05_Master KPI'!$B$5:$G$100,5,FALSE)="Lower",H272/I272,I272/H272),1),0)</f>
        <v>0</v>
      </c>
      <c r="K272" s="26">
        <f>IFERROR(VLOOKUP(F272,'05_Master KPI'!$B$5:$G$100,4,FALSE),0)</f>
        <v>0</v>
      </c>
      <c r="L272" s="28">
        <f t="shared" si="4"/>
        <v>0</v>
      </c>
      <c r="M272" s="26" t="str">
        <f>IF(D272="","",IF(J272&gt;='13_Setting'!$H$7,"Tercapai",IF(J272&gt;='13_Setting'!$H$6,"On Track","Tertinggal")))</f>
        <v/>
      </c>
      <c r="N272" s="24"/>
    </row>
    <row r="273" spans="1:14">
      <c r="A273" s="24"/>
      <c r="B273" s="24"/>
      <c r="C273" s="25"/>
      <c r="D273" s="24"/>
      <c r="E273" s="26" t="str">
        <f>IFERROR(VLOOKUP(D273,'04_Master Karyawan'!$A$5:$F$50,2,FALSE),"")</f>
        <v/>
      </c>
      <c r="F273" s="24"/>
      <c r="G273" s="26" t="str">
        <f>IFERROR(VLOOKUP(F273,'05_Master KPI'!$B$5:$G$100,2,FALSE)&amp;" ("&amp;VLOOKUP(F273,'05_Master KPI'!$B$5:$G$100,3,FALSE)&amp;")","")</f>
        <v/>
      </c>
      <c r="H273" s="26">
        <f>IFERROR(IF(B273&lt;&gt;'06_Target KPI'!$B$3,0,IF(VLOOKUP(F273,'05_Master KPI'!$B$5:$G$100,6,FALSE)="Kumulatif",INDEX('06_Target KPI'!$E$5:$P$100,MATCH(F273,'06_Target KPI'!$B$5:$B$100,0),MATCH(A273,'06_Target KPI'!$E$4:$P$4,0))*DAY(C273)/DAY(EOMONTH(C273,0)),INDEX('06_Target KPI'!$E$5:$P$100,MATCH(F273,'06_Target KPI'!$B$5:$B$100,0),MATCH(A273,'06_Target KPI'!$E$4:$P$4,0)))),0)</f>
        <v>0</v>
      </c>
      <c r="I273" s="24"/>
      <c r="J273" s="27">
        <f>IFERROR(MIN(IF(VLOOKUP(F273,'05_Master KPI'!$B$5:$G$100,5,FALSE)="Lower",H273/I273,I273/H273),1),0)</f>
        <v>0</v>
      </c>
      <c r="K273" s="26">
        <f>IFERROR(VLOOKUP(F273,'05_Master KPI'!$B$5:$G$100,4,FALSE),0)</f>
        <v>0</v>
      </c>
      <c r="L273" s="28">
        <f t="shared" si="4"/>
        <v>0</v>
      </c>
      <c r="M273" s="26" t="str">
        <f>IF(D273="","",IF(J273&gt;='13_Setting'!$H$7,"Tercapai",IF(J273&gt;='13_Setting'!$H$6,"On Track","Tertinggal")))</f>
        <v/>
      </c>
      <c r="N273" s="24"/>
    </row>
    <row r="274" spans="1:14">
      <c r="A274" s="24"/>
      <c r="B274" s="24"/>
      <c r="C274" s="25"/>
      <c r="D274" s="24"/>
      <c r="E274" s="26" t="str">
        <f>IFERROR(VLOOKUP(D274,'04_Master Karyawan'!$A$5:$F$50,2,FALSE),"")</f>
        <v/>
      </c>
      <c r="F274" s="24"/>
      <c r="G274" s="26" t="str">
        <f>IFERROR(VLOOKUP(F274,'05_Master KPI'!$B$5:$G$100,2,FALSE)&amp;" ("&amp;VLOOKUP(F274,'05_Master KPI'!$B$5:$G$100,3,FALSE)&amp;")","")</f>
        <v/>
      </c>
      <c r="H274" s="26">
        <f>IFERROR(IF(B274&lt;&gt;'06_Target KPI'!$B$3,0,IF(VLOOKUP(F274,'05_Master KPI'!$B$5:$G$100,6,FALSE)="Kumulatif",INDEX('06_Target KPI'!$E$5:$P$100,MATCH(F274,'06_Target KPI'!$B$5:$B$100,0),MATCH(A274,'06_Target KPI'!$E$4:$P$4,0))*DAY(C274)/DAY(EOMONTH(C274,0)),INDEX('06_Target KPI'!$E$5:$P$100,MATCH(F274,'06_Target KPI'!$B$5:$B$100,0),MATCH(A274,'06_Target KPI'!$E$4:$P$4,0)))),0)</f>
        <v>0</v>
      </c>
      <c r="I274" s="24"/>
      <c r="J274" s="27">
        <f>IFERROR(MIN(IF(VLOOKUP(F274,'05_Master KPI'!$B$5:$G$100,5,FALSE)="Lower",H274/I274,I274/H274),1),0)</f>
        <v>0</v>
      </c>
      <c r="K274" s="26">
        <f>IFERROR(VLOOKUP(F274,'05_Master KPI'!$B$5:$G$100,4,FALSE),0)</f>
        <v>0</v>
      </c>
      <c r="L274" s="28">
        <f t="shared" si="4"/>
        <v>0</v>
      </c>
      <c r="M274" s="26" t="str">
        <f>IF(D274="","",IF(J274&gt;='13_Setting'!$H$7,"Tercapai",IF(J274&gt;='13_Setting'!$H$6,"On Track","Tertinggal")))</f>
        <v/>
      </c>
      <c r="N274" s="24"/>
    </row>
    <row r="275" spans="1:14">
      <c r="A275" s="24"/>
      <c r="B275" s="24"/>
      <c r="C275" s="25"/>
      <c r="D275" s="24"/>
      <c r="E275" s="26" t="str">
        <f>IFERROR(VLOOKUP(D275,'04_Master Karyawan'!$A$5:$F$50,2,FALSE),"")</f>
        <v/>
      </c>
      <c r="F275" s="24"/>
      <c r="G275" s="26" t="str">
        <f>IFERROR(VLOOKUP(F275,'05_Master KPI'!$B$5:$G$100,2,FALSE)&amp;" ("&amp;VLOOKUP(F275,'05_Master KPI'!$B$5:$G$100,3,FALSE)&amp;")","")</f>
        <v/>
      </c>
      <c r="H275" s="26">
        <f>IFERROR(IF(B275&lt;&gt;'06_Target KPI'!$B$3,0,IF(VLOOKUP(F275,'05_Master KPI'!$B$5:$G$100,6,FALSE)="Kumulatif",INDEX('06_Target KPI'!$E$5:$P$100,MATCH(F275,'06_Target KPI'!$B$5:$B$100,0),MATCH(A275,'06_Target KPI'!$E$4:$P$4,0))*DAY(C275)/DAY(EOMONTH(C275,0)),INDEX('06_Target KPI'!$E$5:$P$100,MATCH(F275,'06_Target KPI'!$B$5:$B$100,0),MATCH(A275,'06_Target KPI'!$E$4:$P$4,0)))),0)</f>
        <v>0</v>
      </c>
      <c r="I275" s="24"/>
      <c r="J275" s="27">
        <f>IFERROR(MIN(IF(VLOOKUP(F275,'05_Master KPI'!$B$5:$G$100,5,FALSE)="Lower",H275/I275,I275/H275),1),0)</f>
        <v>0</v>
      </c>
      <c r="K275" s="26">
        <f>IFERROR(VLOOKUP(F275,'05_Master KPI'!$B$5:$G$100,4,FALSE),0)</f>
        <v>0</v>
      </c>
      <c r="L275" s="28">
        <f t="shared" si="4"/>
        <v>0</v>
      </c>
      <c r="M275" s="26" t="str">
        <f>IF(D275="","",IF(J275&gt;='13_Setting'!$H$7,"Tercapai",IF(J275&gt;='13_Setting'!$H$6,"On Track","Tertinggal")))</f>
        <v/>
      </c>
      <c r="N275" s="24"/>
    </row>
    <row r="276" spans="1:14">
      <c r="A276" s="24"/>
      <c r="B276" s="24"/>
      <c r="C276" s="25"/>
      <c r="D276" s="24"/>
      <c r="E276" s="26" t="str">
        <f>IFERROR(VLOOKUP(D276,'04_Master Karyawan'!$A$5:$F$50,2,FALSE),"")</f>
        <v/>
      </c>
      <c r="F276" s="24"/>
      <c r="G276" s="26" t="str">
        <f>IFERROR(VLOOKUP(F276,'05_Master KPI'!$B$5:$G$100,2,FALSE)&amp;" ("&amp;VLOOKUP(F276,'05_Master KPI'!$B$5:$G$100,3,FALSE)&amp;")","")</f>
        <v/>
      </c>
      <c r="H276" s="26">
        <f>IFERROR(IF(B276&lt;&gt;'06_Target KPI'!$B$3,0,IF(VLOOKUP(F276,'05_Master KPI'!$B$5:$G$100,6,FALSE)="Kumulatif",INDEX('06_Target KPI'!$E$5:$P$100,MATCH(F276,'06_Target KPI'!$B$5:$B$100,0),MATCH(A276,'06_Target KPI'!$E$4:$P$4,0))*DAY(C276)/DAY(EOMONTH(C276,0)),INDEX('06_Target KPI'!$E$5:$P$100,MATCH(F276,'06_Target KPI'!$B$5:$B$100,0),MATCH(A276,'06_Target KPI'!$E$4:$P$4,0)))),0)</f>
        <v>0</v>
      </c>
      <c r="I276" s="24"/>
      <c r="J276" s="27">
        <f>IFERROR(MIN(IF(VLOOKUP(F276,'05_Master KPI'!$B$5:$G$100,5,FALSE)="Lower",H276/I276,I276/H276),1),0)</f>
        <v>0</v>
      </c>
      <c r="K276" s="26">
        <f>IFERROR(VLOOKUP(F276,'05_Master KPI'!$B$5:$G$100,4,FALSE),0)</f>
        <v>0</v>
      </c>
      <c r="L276" s="28">
        <f t="shared" si="4"/>
        <v>0</v>
      </c>
      <c r="M276" s="26" t="str">
        <f>IF(D276="","",IF(J276&gt;='13_Setting'!$H$7,"Tercapai",IF(J276&gt;='13_Setting'!$H$6,"On Track","Tertinggal")))</f>
        <v/>
      </c>
      <c r="N276" s="24"/>
    </row>
    <row r="277" spans="1:14">
      <c r="A277" s="24"/>
      <c r="B277" s="24"/>
      <c r="C277" s="25"/>
      <c r="D277" s="24"/>
      <c r="E277" s="26" t="str">
        <f>IFERROR(VLOOKUP(D277,'04_Master Karyawan'!$A$5:$F$50,2,FALSE),"")</f>
        <v/>
      </c>
      <c r="F277" s="24"/>
      <c r="G277" s="26" t="str">
        <f>IFERROR(VLOOKUP(F277,'05_Master KPI'!$B$5:$G$100,2,FALSE)&amp;" ("&amp;VLOOKUP(F277,'05_Master KPI'!$B$5:$G$100,3,FALSE)&amp;")","")</f>
        <v/>
      </c>
      <c r="H277" s="26">
        <f>IFERROR(IF(B277&lt;&gt;'06_Target KPI'!$B$3,0,IF(VLOOKUP(F277,'05_Master KPI'!$B$5:$G$100,6,FALSE)="Kumulatif",INDEX('06_Target KPI'!$E$5:$P$100,MATCH(F277,'06_Target KPI'!$B$5:$B$100,0),MATCH(A277,'06_Target KPI'!$E$4:$P$4,0))*DAY(C277)/DAY(EOMONTH(C277,0)),INDEX('06_Target KPI'!$E$5:$P$100,MATCH(F277,'06_Target KPI'!$B$5:$B$100,0),MATCH(A277,'06_Target KPI'!$E$4:$P$4,0)))),0)</f>
        <v>0</v>
      </c>
      <c r="I277" s="24"/>
      <c r="J277" s="27">
        <f>IFERROR(MIN(IF(VLOOKUP(F277,'05_Master KPI'!$B$5:$G$100,5,FALSE)="Lower",H277/I277,I277/H277),1),0)</f>
        <v>0</v>
      </c>
      <c r="K277" s="26">
        <f>IFERROR(VLOOKUP(F277,'05_Master KPI'!$B$5:$G$100,4,FALSE),0)</f>
        <v>0</v>
      </c>
      <c r="L277" s="28">
        <f t="shared" si="4"/>
        <v>0</v>
      </c>
      <c r="M277" s="26" t="str">
        <f>IF(D277="","",IF(J277&gt;='13_Setting'!$H$7,"Tercapai",IF(J277&gt;='13_Setting'!$H$6,"On Track","Tertinggal")))</f>
        <v/>
      </c>
      <c r="N277" s="24"/>
    </row>
    <row r="278" spans="1:14">
      <c r="A278" s="24"/>
      <c r="B278" s="24"/>
      <c r="C278" s="25"/>
      <c r="D278" s="24"/>
      <c r="E278" s="26" t="str">
        <f>IFERROR(VLOOKUP(D278,'04_Master Karyawan'!$A$5:$F$50,2,FALSE),"")</f>
        <v/>
      </c>
      <c r="F278" s="24"/>
      <c r="G278" s="26" t="str">
        <f>IFERROR(VLOOKUP(F278,'05_Master KPI'!$B$5:$G$100,2,FALSE)&amp;" ("&amp;VLOOKUP(F278,'05_Master KPI'!$B$5:$G$100,3,FALSE)&amp;")","")</f>
        <v/>
      </c>
      <c r="H278" s="26">
        <f>IFERROR(IF(B278&lt;&gt;'06_Target KPI'!$B$3,0,IF(VLOOKUP(F278,'05_Master KPI'!$B$5:$G$100,6,FALSE)="Kumulatif",INDEX('06_Target KPI'!$E$5:$P$100,MATCH(F278,'06_Target KPI'!$B$5:$B$100,0),MATCH(A278,'06_Target KPI'!$E$4:$P$4,0))*DAY(C278)/DAY(EOMONTH(C278,0)),INDEX('06_Target KPI'!$E$5:$P$100,MATCH(F278,'06_Target KPI'!$B$5:$B$100,0),MATCH(A278,'06_Target KPI'!$E$4:$P$4,0)))),0)</f>
        <v>0</v>
      </c>
      <c r="I278" s="24"/>
      <c r="J278" s="27">
        <f>IFERROR(MIN(IF(VLOOKUP(F278,'05_Master KPI'!$B$5:$G$100,5,FALSE)="Lower",H278/I278,I278/H278),1),0)</f>
        <v>0</v>
      </c>
      <c r="K278" s="26">
        <f>IFERROR(VLOOKUP(F278,'05_Master KPI'!$B$5:$G$100,4,FALSE),0)</f>
        <v>0</v>
      </c>
      <c r="L278" s="28">
        <f t="shared" si="4"/>
        <v>0</v>
      </c>
      <c r="M278" s="26" t="str">
        <f>IF(D278="","",IF(J278&gt;='13_Setting'!$H$7,"Tercapai",IF(J278&gt;='13_Setting'!$H$6,"On Track","Tertinggal")))</f>
        <v/>
      </c>
      <c r="N278" s="24"/>
    </row>
    <row r="279" spans="1:14">
      <c r="A279" s="24"/>
      <c r="B279" s="24"/>
      <c r="C279" s="25"/>
      <c r="D279" s="24"/>
      <c r="E279" s="26" t="str">
        <f>IFERROR(VLOOKUP(D279,'04_Master Karyawan'!$A$5:$F$50,2,FALSE),"")</f>
        <v/>
      </c>
      <c r="F279" s="24"/>
      <c r="G279" s="26" t="str">
        <f>IFERROR(VLOOKUP(F279,'05_Master KPI'!$B$5:$G$100,2,FALSE)&amp;" ("&amp;VLOOKUP(F279,'05_Master KPI'!$B$5:$G$100,3,FALSE)&amp;")","")</f>
        <v/>
      </c>
      <c r="H279" s="26">
        <f>IFERROR(IF(B279&lt;&gt;'06_Target KPI'!$B$3,0,IF(VLOOKUP(F279,'05_Master KPI'!$B$5:$G$100,6,FALSE)="Kumulatif",INDEX('06_Target KPI'!$E$5:$P$100,MATCH(F279,'06_Target KPI'!$B$5:$B$100,0),MATCH(A279,'06_Target KPI'!$E$4:$P$4,0))*DAY(C279)/DAY(EOMONTH(C279,0)),INDEX('06_Target KPI'!$E$5:$P$100,MATCH(F279,'06_Target KPI'!$B$5:$B$100,0),MATCH(A279,'06_Target KPI'!$E$4:$P$4,0)))),0)</f>
        <v>0</v>
      </c>
      <c r="I279" s="24"/>
      <c r="J279" s="27">
        <f>IFERROR(MIN(IF(VLOOKUP(F279,'05_Master KPI'!$B$5:$G$100,5,FALSE)="Lower",H279/I279,I279/H279),1),0)</f>
        <v>0</v>
      </c>
      <c r="K279" s="26">
        <f>IFERROR(VLOOKUP(F279,'05_Master KPI'!$B$5:$G$100,4,FALSE),0)</f>
        <v>0</v>
      </c>
      <c r="L279" s="28">
        <f t="shared" si="4"/>
        <v>0</v>
      </c>
      <c r="M279" s="26" t="str">
        <f>IF(D279="","",IF(J279&gt;='13_Setting'!$H$7,"Tercapai",IF(J279&gt;='13_Setting'!$H$6,"On Track","Tertinggal")))</f>
        <v/>
      </c>
      <c r="N279" s="24"/>
    </row>
    <row r="280" spans="1:14">
      <c r="A280" s="24"/>
      <c r="B280" s="24"/>
      <c r="C280" s="25"/>
      <c r="D280" s="24"/>
      <c r="E280" s="26" t="str">
        <f>IFERROR(VLOOKUP(D280,'04_Master Karyawan'!$A$5:$F$50,2,FALSE),"")</f>
        <v/>
      </c>
      <c r="F280" s="24"/>
      <c r="G280" s="26" t="str">
        <f>IFERROR(VLOOKUP(F280,'05_Master KPI'!$B$5:$G$100,2,FALSE)&amp;" ("&amp;VLOOKUP(F280,'05_Master KPI'!$B$5:$G$100,3,FALSE)&amp;")","")</f>
        <v/>
      </c>
      <c r="H280" s="26">
        <f>IFERROR(IF(B280&lt;&gt;'06_Target KPI'!$B$3,0,IF(VLOOKUP(F280,'05_Master KPI'!$B$5:$G$100,6,FALSE)="Kumulatif",INDEX('06_Target KPI'!$E$5:$P$100,MATCH(F280,'06_Target KPI'!$B$5:$B$100,0),MATCH(A280,'06_Target KPI'!$E$4:$P$4,0))*DAY(C280)/DAY(EOMONTH(C280,0)),INDEX('06_Target KPI'!$E$5:$P$100,MATCH(F280,'06_Target KPI'!$B$5:$B$100,0),MATCH(A280,'06_Target KPI'!$E$4:$P$4,0)))),0)</f>
        <v>0</v>
      </c>
      <c r="I280" s="24"/>
      <c r="J280" s="27">
        <f>IFERROR(MIN(IF(VLOOKUP(F280,'05_Master KPI'!$B$5:$G$100,5,FALSE)="Lower",H280/I280,I280/H280),1),0)</f>
        <v>0</v>
      </c>
      <c r="K280" s="26">
        <f>IFERROR(VLOOKUP(F280,'05_Master KPI'!$B$5:$G$100,4,FALSE),0)</f>
        <v>0</v>
      </c>
      <c r="L280" s="28">
        <f t="shared" si="4"/>
        <v>0</v>
      </c>
      <c r="M280" s="26" t="str">
        <f>IF(D280="","",IF(J280&gt;='13_Setting'!$H$7,"Tercapai",IF(J280&gt;='13_Setting'!$H$6,"On Track","Tertinggal")))</f>
        <v/>
      </c>
      <c r="N280" s="24"/>
    </row>
    <row r="281" spans="1:14">
      <c r="A281" s="24"/>
      <c r="B281" s="24"/>
      <c r="C281" s="25"/>
      <c r="D281" s="24"/>
      <c r="E281" s="26" t="str">
        <f>IFERROR(VLOOKUP(D281,'04_Master Karyawan'!$A$5:$F$50,2,FALSE),"")</f>
        <v/>
      </c>
      <c r="F281" s="24"/>
      <c r="G281" s="26" t="str">
        <f>IFERROR(VLOOKUP(F281,'05_Master KPI'!$B$5:$G$100,2,FALSE)&amp;" ("&amp;VLOOKUP(F281,'05_Master KPI'!$B$5:$G$100,3,FALSE)&amp;")","")</f>
        <v/>
      </c>
      <c r="H281" s="26">
        <f>IFERROR(IF(B281&lt;&gt;'06_Target KPI'!$B$3,0,IF(VLOOKUP(F281,'05_Master KPI'!$B$5:$G$100,6,FALSE)="Kumulatif",INDEX('06_Target KPI'!$E$5:$P$100,MATCH(F281,'06_Target KPI'!$B$5:$B$100,0),MATCH(A281,'06_Target KPI'!$E$4:$P$4,0))*DAY(C281)/DAY(EOMONTH(C281,0)),INDEX('06_Target KPI'!$E$5:$P$100,MATCH(F281,'06_Target KPI'!$B$5:$B$100,0),MATCH(A281,'06_Target KPI'!$E$4:$P$4,0)))),0)</f>
        <v>0</v>
      </c>
      <c r="I281" s="24"/>
      <c r="J281" s="27">
        <f>IFERROR(MIN(IF(VLOOKUP(F281,'05_Master KPI'!$B$5:$G$100,5,FALSE)="Lower",H281/I281,I281/H281),1),0)</f>
        <v>0</v>
      </c>
      <c r="K281" s="26">
        <f>IFERROR(VLOOKUP(F281,'05_Master KPI'!$B$5:$G$100,4,FALSE),0)</f>
        <v>0</v>
      </c>
      <c r="L281" s="28">
        <f t="shared" si="4"/>
        <v>0</v>
      </c>
      <c r="M281" s="26" t="str">
        <f>IF(D281="","",IF(J281&gt;='13_Setting'!$H$7,"Tercapai",IF(J281&gt;='13_Setting'!$H$6,"On Track","Tertinggal")))</f>
        <v/>
      </c>
      <c r="N281" s="24"/>
    </row>
    <row r="282" spans="1:14">
      <c r="A282" s="24"/>
      <c r="B282" s="24"/>
      <c r="C282" s="25"/>
      <c r="D282" s="24"/>
      <c r="E282" s="26" t="str">
        <f>IFERROR(VLOOKUP(D282,'04_Master Karyawan'!$A$5:$F$50,2,FALSE),"")</f>
        <v/>
      </c>
      <c r="F282" s="24"/>
      <c r="G282" s="26" t="str">
        <f>IFERROR(VLOOKUP(F282,'05_Master KPI'!$B$5:$G$100,2,FALSE)&amp;" ("&amp;VLOOKUP(F282,'05_Master KPI'!$B$5:$G$100,3,FALSE)&amp;")","")</f>
        <v/>
      </c>
      <c r="H282" s="26">
        <f>IFERROR(IF(B282&lt;&gt;'06_Target KPI'!$B$3,0,IF(VLOOKUP(F282,'05_Master KPI'!$B$5:$G$100,6,FALSE)="Kumulatif",INDEX('06_Target KPI'!$E$5:$P$100,MATCH(F282,'06_Target KPI'!$B$5:$B$100,0),MATCH(A282,'06_Target KPI'!$E$4:$P$4,0))*DAY(C282)/DAY(EOMONTH(C282,0)),INDEX('06_Target KPI'!$E$5:$P$100,MATCH(F282,'06_Target KPI'!$B$5:$B$100,0),MATCH(A282,'06_Target KPI'!$E$4:$P$4,0)))),0)</f>
        <v>0</v>
      </c>
      <c r="I282" s="24"/>
      <c r="J282" s="27">
        <f>IFERROR(MIN(IF(VLOOKUP(F282,'05_Master KPI'!$B$5:$G$100,5,FALSE)="Lower",H282/I282,I282/H282),1),0)</f>
        <v>0</v>
      </c>
      <c r="K282" s="26">
        <f>IFERROR(VLOOKUP(F282,'05_Master KPI'!$B$5:$G$100,4,FALSE),0)</f>
        <v>0</v>
      </c>
      <c r="L282" s="28">
        <f t="shared" si="4"/>
        <v>0</v>
      </c>
      <c r="M282" s="26" t="str">
        <f>IF(D282="","",IF(J282&gt;='13_Setting'!$H$7,"Tercapai",IF(J282&gt;='13_Setting'!$H$6,"On Track","Tertinggal")))</f>
        <v/>
      </c>
      <c r="N282" s="24"/>
    </row>
    <row r="283" spans="1:14">
      <c r="A283" s="24"/>
      <c r="B283" s="24"/>
      <c r="C283" s="25"/>
      <c r="D283" s="24"/>
      <c r="E283" s="26" t="str">
        <f>IFERROR(VLOOKUP(D283,'04_Master Karyawan'!$A$5:$F$50,2,FALSE),"")</f>
        <v/>
      </c>
      <c r="F283" s="24"/>
      <c r="G283" s="26" t="str">
        <f>IFERROR(VLOOKUP(F283,'05_Master KPI'!$B$5:$G$100,2,FALSE)&amp;" ("&amp;VLOOKUP(F283,'05_Master KPI'!$B$5:$G$100,3,FALSE)&amp;")","")</f>
        <v/>
      </c>
      <c r="H283" s="26">
        <f>IFERROR(IF(B283&lt;&gt;'06_Target KPI'!$B$3,0,IF(VLOOKUP(F283,'05_Master KPI'!$B$5:$G$100,6,FALSE)="Kumulatif",INDEX('06_Target KPI'!$E$5:$P$100,MATCH(F283,'06_Target KPI'!$B$5:$B$100,0),MATCH(A283,'06_Target KPI'!$E$4:$P$4,0))*DAY(C283)/DAY(EOMONTH(C283,0)),INDEX('06_Target KPI'!$E$5:$P$100,MATCH(F283,'06_Target KPI'!$B$5:$B$100,0),MATCH(A283,'06_Target KPI'!$E$4:$P$4,0)))),0)</f>
        <v>0</v>
      </c>
      <c r="I283" s="24"/>
      <c r="J283" s="27">
        <f>IFERROR(MIN(IF(VLOOKUP(F283,'05_Master KPI'!$B$5:$G$100,5,FALSE)="Lower",H283/I283,I283/H283),1),0)</f>
        <v>0</v>
      </c>
      <c r="K283" s="26">
        <f>IFERROR(VLOOKUP(F283,'05_Master KPI'!$B$5:$G$100,4,FALSE),0)</f>
        <v>0</v>
      </c>
      <c r="L283" s="28">
        <f t="shared" si="4"/>
        <v>0</v>
      </c>
      <c r="M283" s="26" t="str">
        <f>IF(D283="","",IF(J283&gt;='13_Setting'!$H$7,"Tercapai",IF(J283&gt;='13_Setting'!$H$6,"On Track","Tertinggal")))</f>
        <v/>
      </c>
      <c r="N283" s="24"/>
    </row>
    <row r="284" spans="1:14">
      <c r="A284" s="24"/>
      <c r="B284" s="24"/>
      <c r="C284" s="25"/>
      <c r="D284" s="24"/>
      <c r="E284" s="26" t="str">
        <f>IFERROR(VLOOKUP(D284,'04_Master Karyawan'!$A$5:$F$50,2,FALSE),"")</f>
        <v/>
      </c>
      <c r="F284" s="24"/>
      <c r="G284" s="26" t="str">
        <f>IFERROR(VLOOKUP(F284,'05_Master KPI'!$B$5:$G$100,2,FALSE)&amp;" ("&amp;VLOOKUP(F284,'05_Master KPI'!$B$5:$G$100,3,FALSE)&amp;")","")</f>
        <v/>
      </c>
      <c r="H284" s="26">
        <f>IFERROR(IF(B284&lt;&gt;'06_Target KPI'!$B$3,0,IF(VLOOKUP(F284,'05_Master KPI'!$B$5:$G$100,6,FALSE)="Kumulatif",INDEX('06_Target KPI'!$E$5:$P$100,MATCH(F284,'06_Target KPI'!$B$5:$B$100,0),MATCH(A284,'06_Target KPI'!$E$4:$P$4,0))*DAY(C284)/DAY(EOMONTH(C284,0)),INDEX('06_Target KPI'!$E$5:$P$100,MATCH(F284,'06_Target KPI'!$B$5:$B$100,0),MATCH(A284,'06_Target KPI'!$E$4:$P$4,0)))),0)</f>
        <v>0</v>
      </c>
      <c r="I284" s="24"/>
      <c r="J284" s="27">
        <f>IFERROR(MIN(IF(VLOOKUP(F284,'05_Master KPI'!$B$5:$G$100,5,FALSE)="Lower",H284/I284,I284/H284),1),0)</f>
        <v>0</v>
      </c>
      <c r="K284" s="26">
        <f>IFERROR(VLOOKUP(F284,'05_Master KPI'!$B$5:$G$100,4,FALSE),0)</f>
        <v>0</v>
      </c>
      <c r="L284" s="28">
        <f t="shared" si="4"/>
        <v>0</v>
      </c>
      <c r="M284" s="26" t="str">
        <f>IF(D284="","",IF(J284&gt;='13_Setting'!$H$7,"Tercapai",IF(J284&gt;='13_Setting'!$H$6,"On Track","Tertinggal")))</f>
        <v/>
      </c>
      <c r="N284" s="24"/>
    </row>
    <row r="285" spans="1:14">
      <c r="A285" s="24"/>
      <c r="B285" s="24"/>
      <c r="C285" s="25"/>
      <c r="D285" s="24"/>
      <c r="E285" s="26" t="str">
        <f>IFERROR(VLOOKUP(D285,'04_Master Karyawan'!$A$5:$F$50,2,FALSE),"")</f>
        <v/>
      </c>
      <c r="F285" s="24"/>
      <c r="G285" s="26" t="str">
        <f>IFERROR(VLOOKUP(F285,'05_Master KPI'!$B$5:$G$100,2,FALSE)&amp;" ("&amp;VLOOKUP(F285,'05_Master KPI'!$B$5:$G$100,3,FALSE)&amp;")","")</f>
        <v/>
      </c>
      <c r="H285" s="26">
        <f>IFERROR(IF(B285&lt;&gt;'06_Target KPI'!$B$3,0,IF(VLOOKUP(F285,'05_Master KPI'!$B$5:$G$100,6,FALSE)="Kumulatif",INDEX('06_Target KPI'!$E$5:$P$100,MATCH(F285,'06_Target KPI'!$B$5:$B$100,0),MATCH(A285,'06_Target KPI'!$E$4:$P$4,0))*DAY(C285)/DAY(EOMONTH(C285,0)),INDEX('06_Target KPI'!$E$5:$P$100,MATCH(F285,'06_Target KPI'!$B$5:$B$100,0),MATCH(A285,'06_Target KPI'!$E$4:$P$4,0)))),0)</f>
        <v>0</v>
      </c>
      <c r="I285" s="24"/>
      <c r="J285" s="27">
        <f>IFERROR(MIN(IF(VLOOKUP(F285,'05_Master KPI'!$B$5:$G$100,5,FALSE)="Lower",H285/I285,I285/H285),1),0)</f>
        <v>0</v>
      </c>
      <c r="K285" s="26">
        <f>IFERROR(VLOOKUP(F285,'05_Master KPI'!$B$5:$G$100,4,FALSE),0)</f>
        <v>0</v>
      </c>
      <c r="L285" s="28">
        <f t="shared" si="4"/>
        <v>0</v>
      </c>
      <c r="M285" s="26" t="str">
        <f>IF(D285="","",IF(J285&gt;='13_Setting'!$H$7,"Tercapai",IF(J285&gt;='13_Setting'!$H$6,"On Track","Tertinggal")))</f>
        <v/>
      </c>
      <c r="N285" s="24"/>
    </row>
    <row r="286" spans="1:14">
      <c r="A286" s="24"/>
      <c r="B286" s="24"/>
      <c r="C286" s="25"/>
      <c r="D286" s="24"/>
      <c r="E286" s="26" t="str">
        <f>IFERROR(VLOOKUP(D286,'04_Master Karyawan'!$A$5:$F$50,2,FALSE),"")</f>
        <v/>
      </c>
      <c r="F286" s="24"/>
      <c r="G286" s="26" t="str">
        <f>IFERROR(VLOOKUP(F286,'05_Master KPI'!$B$5:$G$100,2,FALSE)&amp;" ("&amp;VLOOKUP(F286,'05_Master KPI'!$B$5:$G$100,3,FALSE)&amp;")","")</f>
        <v/>
      </c>
      <c r="H286" s="26">
        <f>IFERROR(IF(B286&lt;&gt;'06_Target KPI'!$B$3,0,IF(VLOOKUP(F286,'05_Master KPI'!$B$5:$G$100,6,FALSE)="Kumulatif",INDEX('06_Target KPI'!$E$5:$P$100,MATCH(F286,'06_Target KPI'!$B$5:$B$100,0),MATCH(A286,'06_Target KPI'!$E$4:$P$4,0))*DAY(C286)/DAY(EOMONTH(C286,0)),INDEX('06_Target KPI'!$E$5:$P$100,MATCH(F286,'06_Target KPI'!$B$5:$B$100,0),MATCH(A286,'06_Target KPI'!$E$4:$P$4,0)))),0)</f>
        <v>0</v>
      </c>
      <c r="I286" s="24"/>
      <c r="J286" s="27">
        <f>IFERROR(MIN(IF(VLOOKUP(F286,'05_Master KPI'!$B$5:$G$100,5,FALSE)="Lower",H286/I286,I286/H286),1),0)</f>
        <v>0</v>
      </c>
      <c r="K286" s="26">
        <f>IFERROR(VLOOKUP(F286,'05_Master KPI'!$B$5:$G$100,4,FALSE),0)</f>
        <v>0</v>
      </c>
      <c r="L286" s="28">
        <f t="shared" si="4"/>
        <v>0</v>
      </c>
      <c r="M286" s="26" t="str">
        <f>IF(D286="","",IF(J286&gt;='13_Setting'!$H$7,"Tercapai",IF(J286&gt;='13_Setting'!$H$6,"On Track","Tertinggal")))</f>
        <v/>
      </c>
      <c r="N286" s="24"/>
    </row>
    <row r="287" spans="1:14">
      <c r="A287" s="24"/>
      <c r="B287" s="24"/>
      <c r="C287" s="25"/>
      <c r="D287" s="24"/>
      <c r="E287" s="26" t="str">
        <f>IFERROR(VLOOKUP(D287,'04_Master Karyawan'!$A$5:$F$50,2,FALSE),"")</f>
        <v/>
      </c>
      <c r="F287" s="24"/>
      <c r="G287" s="26" t="str">
        <f>IFERROR(VLOOKUP(F287,'05_Master KPI'!$B$5:$G$100,2,FALSE)&amp;" ("&amp;VLOOKUP(F287,'05_Master KPI'!$B$5:$G$100,3,FALSE)&amp;")","")</f>
        <v/>
      </c>
      <c r="H287" s="26">
        <f>IFERROR(IF(B287&lt;&gt;'06_Target KPI'!$B$3,0,IF(VLOOKUP(F287,'05_Master KPI'!$B$5:$G$100,6,FALSE)="Kumulatif",INDEX('06_Target KPI'!$E$5:$P$100,MATCH(F287,'06_Target KPI'!$B$5:$B$100,0),MATCH(A287,'06_Target KPI'!$E$4:$P$4,0))*DAY(C287)/DAY(EOMONTH(C287,0)),INDEX('06_Target KPI'!$E$5:$P$100,MATCH(F287,'06_Target KPI'!$B$5:$B$100,0),MATCH(A287,'06_Target KPI'!$E$4:$P$4,0)))),0)</f>
        <v>0</v>
      </c>
      <c r="I287" s="24"/>
      <c r="J287" s="27">
        <f>IFERROR(MIN(IF(VLOOKUP(F287,'05_Master KPI'!$B$5:$G$100,5,FALSE)="Lower",H287/I287,I287/H287),1),0)</f>
        <v>0</v>
      </c>
      <c r="K287" s="26">
        <f>IFERROR(VLOOKUP(F287,'05_Master KPI'!$B$5:$G$100,4,FALSE),0)</f>
        <v>0</v>
      </c>
      <c r="L287" s="28">
        <f t="shared" si="4"/>
        <v>0</v>
      </c>
      <c r="M287" s="26" t="str">
        <f>IF(D287="","",IF(J287&gt;='13_Setting'!$H$7,"Tercapai",IF(J287&gt;='13_Setting'!$H$6,"On Track","Tertinggal")))</f>
        <v/>
      </c>
      <c r="N287" s="24"/>
    </row>
    <row r="288" spans="1:14">
      <c r="A288" s="24"/>
      <c r="B288" s="24"/>
      <c r="C288" s="25"/>
      <c r="D288" s="24"/>
      <c r="E288" s="26" t="str">
        <f>IFERROR(VLOOKUP(D288,'04_Master Karyawan'!$A$5:$F$50,2,FALSE),"")</f>
        <v/>
      </c>
      <c r="F288" s="24"/>
      <c r="G288" s="26" t="str">
        <f>IFERROR(VLOOKUP(F288,'05_Master KPI'!$B$5:$G$100,2,FALSE)&amp;" ("&amp;VLOOKUP(F288,'05_Master KPI'!$B$5:$G$100,3,FALSE)&amp;")","")</f>
        <v/>
      </c>
      <c r="H288" s="26">
        <f>IFERROR(IF(B288&lt;&gt;'06_Target KPI'!$B$3,0,IF(VLOOKUP(F288,'05_Master KPI'!$B$5:$G$100,6,FALSE)="Kumulatif",INDEX('06_Target KPI'!$E$5:$P$100,MATCH(F288,'06_Target KPI'!$B$5:$B$100,0),MATCH(A288,'06_Target KPI'!$E$4:$P$4,0))*DAY(C288)/DAY(EOMONTH(C288,0)),INDEX('06_Target KPI'!$E$5:$P$100,MATCH(F288,'06_Target KPI'!$B$5:$B$100,0),MATCH(A288,'06_Target KPI'!$E$4:$P$4,0)))),0)</f>
        <v>0</v>
      </c>
      <c r="I288" s="24"/>
      <c r="J288" s="27">
        <f>IFERROR(MIN(IF(VLOOKUP(F288,'05_Master KPI'!$B$5:$G$100,5,FALSE)="Lower",H288/I288,I288/H288),1),0)</f>
        <v>0</v>
      </c>
      <c r="K288" s="26">
        <f>IFERROR(VLOOKUP(F288,'05_Master KPI'!$B$5:$G$100,4,FALSE),0)</f>
        <v>0</v>
      </c>
      <c r="L288" s="28">
        <f t="shared" si="4"/>
        <v>0</v>
      </c>
      <c r="M288" s="26" t="str">
        <f>IF(D288="","",IF(J288&gt;='13_Setting'!$H$7,"Tercapai",IF(J288&gt;='13_Setting'!$H$6,"On Track","Tertinggal")))</f>
        <v/>
      </c>
      <c r="N288" s="24"/>
    </row>
    <row r="289" spans="1:14">
      <c r="A289" s="24"/>
      <c r="B289" s="24"/>
      <c r="C289" s="25"/>
      <c r="D289" s="24"/>
      <c r="E289" s="26" t="str">
        <f>IFERROR(VLOOKUP(D289,'04_Master Karyawan'!$A$5:$F$50,2,FALSE),"")</f>
        <v/>
      </c>
      <c r="F289" s="24"/>
      <c r="G289" s="26" t="str">
        <f>IFERROR(VLOOKUP(F289,'05_Master KPI'!$B$5:$G$100,2,FALSE)&amp;" ("&amp;VLOOKUP(F289,'05_Master KPI'!$B$5:$G$100,3,FALSE)&amp;")","")</f>
        <v/>
      </c>
      <c r="H289" s="26">
        <f>IFERROR(IF(B289&lt;&gt;'06_Target KPI'!$B$3,0,IF(VLOOKUP(F289,'05_Master KPI'!$B$5:$G$100,6,FALSE)="Kumulatif",INDEX('06_Target KPI'!$E$5:$P$100,MATCH(F289,'06_Target KPI'!$B$5:$B$100,0),MATCH(A289,'06_Target KPI'!$E$4:$P$4,0))*DAY(C289)/DAY(EOMONTH(C289,0)),INDEX('06_Target KPI'!$E$5:$P$100,MATCH(F289,'06_Target KPI'!$B$5:$B$100,0),MATCH(A289,'06_Target KPI'!$E$4:$P$4,0)))),0)</f>
        <v>0</v>
      </c>
      <c r="I289" s="24"/>
      <c r="J289" s="27">
        <f>IFERROR(MIN(IF(VLOOKUP(F289,'05_Master KPI'!$B$5:$G$100,5,FALSE)="Lower",H289/I289,I289/H289),1),0)</f>
        <v>0</v>
      </c>
      <c r="K289" s="26">
        <f>IFERROR(VLOOKUP(F289,'05_Master KPI'!$B$5:$G$100,4,FALSE),0)</f>
        <v>0</v>
      </c>
      <c r="L289" s="28">
        <f t="shared" si="4"/>
        <v>0</v>
      </c>
      <c r="M289" s="26" t="str">
        <f>IF(D289="","",IF(J289&gt;='13_Setting'!$H$7,"Tercapai",IF(J289&gt;='13_Setting'!$H$6,"On Track","Tertinggal")))</f>
        <v/>
      </c>
      <c r="N289" s="24"/>
    </row>
    <row r="290" spans="1:14">
      <c r="A290" s="24"/>
      <c r="B290" s="24"/>
      <c r="C290" s="25"/>
      <c r="D290" s="24"/>
      <c r="E290" s="26" t="str">
        <f>IFERROR(VLOOKUP(D290,'04_Master Karyawan'!$A$5:$F$50,2,FALSE),"")</f>
        <v/>
      </c>
      <c r="F290" s="24"/>
      <c r="G290" s="26" t="str">
        <f>IFERROR(VLOOKUP(F290,'05_Master KPI'!$B$5:$G$100,2,FALSE)&amp;" ("&amp;VLOOKUP(F290,'05_Master KPI'!$B$5:$G$100,3,FALSE)&amp;")","")</f>
        <v/>
      </c>
      <c r="H290" s="26">
        <f>IFERROR(IF(B290&lt;&gt;'06_Target KPI'!$B$3,0,IF(VLOOKUP(F290,'05_Master KPI'!$B$5:$G$100,6,FALSE)="Kumulatif",INDEX('06_Target KPI'!$E$5:$P$100,MATCH(F290,'06_Target KPI'!$B$5:$B$100,0),MATCH(A290,'06_Target KPI'!$E$4:$P$4,0))*DAY(C290)/DAY(EOMONTH(C290,0)),INDEX('06_Target KPI'!$E$5:$P$100,MATCH(F290,'06_Target KPI'!$B$5:$B$100,0),MATCH(A290,'06_Target KPI'!$E$4:$P$4,0)))),0)</f>
        <v>0</v>
      </c>
      <c r="I290" s="24"/>
      <c r="J290" s="27">
        <f>IFERROR(MIN(IF(VLOOKUP(F290,'05_Master KPI'!$B$5:$G$100,5,FALSE)="Lower",H290/I290,I290/H290),1),0)</f>
        <v>0</v>
      </c>
      <c r="K290" s="26">
        <f>IFERROR(VLOOKUP(F290,'05_Master KPI'!$B$5:$G$100,4,FALSE),0)</f>
        <v>0</v>
      </c>
      <c r="L290" s="28">
        <f t="shared" si="4"/>
        <v>0</v>
      </c>
      <c r="M290" s="26" t="str">
        <f>IF(D290="","",IF(J290&gt;='13_Setting'!$H$7,"Tercapai",IF(J290&gt;='13_Setting'!$H$6,"On Track","Tertinggal")))</f>
        <v/>
      </c>
      <c r="N290" s="24"/>
    </row>
    <row r="291" spans="1:14">
      <c r="A291" s="24"/>
      <c r="B291" s="24"/>
      <c r="C291" s="25"/>
      <c r="D291" s="24"/>
      <c r="E291" s="26" t="str">
        <f>IFERROR(VLOOKUP(D291,'04_Master Karyawan'!$A$5:$F$50,2,FALSE),"")</f>
        <v/>
      </c>
      <c r="F291" s="24"/>
      <c r="G291" s="26" t="str">
        <f>IFERROR(VLOOKUP(F291,'05_Master KPI'!$B$5:$G$100,2,FALSE)&amp;" ("&amp;VLOOKUP(F291,'05_Master KPI'!$B$5:$G$100,3,FALSE)&amp;")","")</f>
        <v/>
      </c>
      <c r="H291" s="26">
        <f>IFERROR(IF(B291&lt;&gt;'06_Target KPI'!$B$3,0,IF(VLOOKUP(F291,'05_Master KPI'!$B$5:$G$100,6,FALSE)="Kumulatif",INDEX('06_Target KPI'!$E$5:$P$100,MATCH(F291,'06_Target KPI'!$B$5:$B$100,0),MATCH(A291,'06_Target KPI'!$E$4:$P$4,0))*DAY(C291)/DAY(EOMONTH(C291,0)),INDEX('06_Target KPI'!$E$5:$P$100,MATCH(F291,'06_Target KPI'!$B$5:$B$100,0),MATCH(A291,'06_Target KPI'!$E$4:$P$4,0)))),0)</f>
        <v>0</v>
      </c>
      <c r="I291" s="24"/>
      <c r="J291" s="27">
        <f>IFERROR(MIN(IF(VLOOKUP(F291,'05_Master KPI'!$B$5:$G$100,5,FALSE)="Lower",H291/I291,I291/H291),1),0)</f>
        <v>0</v>
      </c>
      <c r="K291" s="26">
        <f>IFERROR(VLOOKUP(F291,'05_Master KPI'!$B$5:$G$100,4,FALSE),0)</f>
        <v>0</v>
      </c>
      <c r="L291" s="28">
        <f t="shared" si="4"/>
        <v>0</v>
      </c>
      <c r="M291" s="26" t="str">
        <f>IF(D291="","",IF(J291&gt;='13_Setting'!$H$7,"Tercapai",IF(J291&gt;='13_Setting'!$H$6,"On Track","Tertinggal")))</f>
        <v/>
      </c>
      <c r="N291" s="24"/>
    </row>
    <row r="292" spans="1:14">
      <c r="A292" s="24"/>
      <c r="B292" s="24"/>
      <c r="C292" s="25"/>
      <c r="D292" s="24"/>
      <c r="E292" s="26" t="str">
        <f>IFERROR(VLOOKUP(D292,'04_Master Karyawan'!$A$5:$F$50,2,FALSE),"")</f>
        <v/>
      </c>
      <c r="F292" s="24"/>
      <c r="G292" s="26" t="str">
        <f>IFERROR(VLOOKUP(F292,'05_Master KPI'!$B$5:$G$100,2,FALSE)&amp;" ("&amp;VLOOKUP(F292,'05_Master KPI'!$B$5:$G$100,3,FALSE)&amp;")","")</f>
        <v/>
      </c>
      <c r="H292" s="26">
        <f>IFERROR(IF(B292&lt;&gt;'06_Target KPI'!$B$3,0,IF(VLOOKUP(F292,'05_Master KPI'!$B$5:$G$100,6,FALSE)="Kumulatif",INDEX('06_Target KPI'!$E$5:$P$100,MATCH(F292,'06_Target KPI'!$B$5:$B$100,0),MATCH(A292,'06_Target KPI'!$E$4:$P$4,0))*DAY(C292)/DAY(EOMONTH(C292,0)),INDEX('06_Target KPI'!$E$5:$P$100,MATCH(F292,'06_Target KPI'!$B$5:$B$100,0),MATCH(A292,'06_Target KPI'!$E$4:$P$4,0)))),0)</f>
        <v>0</v>
      </c>
      <c r="I292" s="24"/>
      <c r="J292" s="27">
        <f>IFERROR(MIN(IF(VLOOKUP(F292,'05_Master KPI'!$B$5:$G$100,5,FALSE)="Lower",H292/I292,I292/H292),1),0)</f>
        <v>0</v>
      </c>
      <c r="K292" s="26">
        <f>IFERROR(VLOOKUP(F292,'05_Master KPI'!$B$5:$G$100,4,FALSE),0)</f>
        <v>0</v>
      </c>
      <c r="L292" s="28">
        <f t="shared" si="4"/>
        <v>0</v>
      </c>
      <c r="M292" s="26" t="str">
        <f>IF(D292="","",IF(J292&gt;='13_Setting'!$H$7,"Tercapai",IF(J292&gt;='13_Setting'!$H$6,"On Track","Tertinggal")))</f>
        <v/>
      </c>
      <c r="N292" s="24"/>
    </row>
    <row r="293" spans="1:14">
      <c r="A293" s="24"/>
      <c r="B293" s="24"/>
      <c r="C293" s="25"/>
      <c r="D293" s="24"/>
      <c r="E293" s="26" t="str">
        <f>IFERROR(VLOOKUP(D293,'04_Master Karyawan'!$A$5:$F$50,2,FALSE),"")</f>
        <v/>
      </c>
      <c r="F293" s="24"/>
      <c r="G293" s="26" t="str">
        <f>IFERROR(VLOOKUP(F293,'05_Master KPI'!$B$5:$G$100,2,FALSE)&amp;" ("&amp;VLOOKUP(F293,'05_Master KPI'!$B$5:$G$100,3,FALSE)&amp;")","")</f>
        <v/>
      </c>
      <c r="H293" s="26">
        <f>IFERROR(IF(B293&lt;&gt;'06_Target KPI'!$B$3,0,IF(VLOOKUP(F293,'05_Master KPI'!$B$5:$G$100,6,FALSE)="Kumulatif",INDEX('06_Target KPI'!$E$5:$P$100,MATCH(F293,'06_Target KPI'!$B$5:$B$100,0),MATCH(A293,'06_Target KPI'!$E$4:$P$4,0))*DAY(C293)/DAY(EOMONTH(C293,0)),INDEX('06_Target KPI'!$E$5:$P$100,MATCH(F293,'06_Target KPI'!$B$5:$B$100,0),MATCH(A293,'06_Target KPI'!$E$4:$P$4,0)))),0)</f>
        <v>0</v>
      </c>
      <c r="I293" s="24"/>
      <c r="J293" s="27">
        <f>IFERROR(MIN(IF(VLOOKUP(F293,'05_Master KPI'!$B$5:$G$100,5,FALSE)="Lower",H293/I293,I293/H293),1),0)</f>
        <v>0</v>
      </c>
      <c r="K293" s="26">
        <f>IFERROR(VLOOKUP(F293,'05_Master KPI'!$B$5:$G$100,4,FALSE),0)</f>
        <v>0</v>
      </c>
      <c r="L293" s="28">
        <f t="shared" si="4"/>
        <v>0</v>
      </c>
      <c r="M293" s="26" t="str">
        <f>IF(D293="","",IF(J293&gt;='13_Setting'!$H$7,"Tercapai",IF(J293&gt;='13_Setting'!$H$6,"On Track","Tertinggal")))</f>
        <v/>
      </c>
      <c r="N293" s="24"/>
    </row>
    <row r="294" spans="1:14">
      <c r="A294" s="24"/>
      <c r="B294" s="24"/>
      <c r="C294" s="25"/>
      <c r="D294" s="24"/>
      <c r="E294" s="26" t="str">
        <f>IFERROR(VLOOKUP(D294,'04_Master Karyawan'!$A$5:$F$50,2,FALSE),"")</f>
        <v/>
      </c>
      <c r="F294" s="24"/>
      <c r="G294" s="26" t="str">
        <f>IFERROR(VLOOKUP(F294,'05_Master KPI'!$B$5:$G$100,2,FALSE)&amp;" ("&amp;VLOOKUP(F294,'05_Master KPI'!$B$5:$G$100,3,FALSE)&amp;")","")</f>
        <v/>
      </c>
      <c r="H294" s="26">
        <f>IFERROR(IF(B294&lt;&gt;'06_Target KPI'!$B$3,0,IF(VLOOKUP(F294,'05_Master KPI'!$B$5:$G$100,6,FALSE)="Kumulatif",INDEX('06_Target KPI'!$E$5:$P$100,MATCH(F294,'06_Target KPI'!$B$5:$B$100,0),MATCH(A294,'06_Target KPI'!$E$4:$P$4,0))*DAY(C294)/DAY(EOMONTH(C294,0)),INDEX('06_Target KPI'!$E$5:$P$100,MATCH(F294,'06_Target KPI'!$B$5:$B$100,0),MATCH(A294,'06_Target KPI'!$E$4:$P$4,0)))),0)</f>
        <v>0</v>
      </c>
      <c r="I294" s="24"/>
      <c r="J294" s="27">
        <f>IFERROR(MIN(IF(VLOOKUP(F294,'05_Master KPI'!$B$5:$G$100,5,FALSE)="Lower",H294/I294,I294/H294),1),0)</f>
        <v>0</v>
      </c>
      <c r="K294" s="26">
        <f>IFERROR(VLOOKUP(F294,'05_Master KPI'!$B$5:$G$100,4,FALSE),0)</f>
        <v>0</v>
      </c>
      <c r="L294" s="28">
        <f t="shared" si="4"/>
        <v>0</v>
      </c>
      <c r="M294" s="26" t="str">
        <f>IF(D294="","",IF(J294&gt;='13_Setting'!$H$7,"Tercapai",IF(J294&gt;='13_Setting'!$H$6,"On Track","Tertinggal")))</f>
        <v/>
      </c>
      <c r="N294" s="24"/>
    </row>
    <row r="295" spans="1:14">
      <c r="A295" s="24"/>
      <c r="B295" s="24"/>
      <c r="C295" s="25"/>
      <c r="D295" s="24"/>
      <c r="E295" s="26" t="str">
        <f>IFERROR(VLOOKUP(D295,'04_Master Karyawan'!$A$5:$F$50,2,FALSE),"")</f>
        <v/>
      </c>
      <c r="F295" s="24"/>
      <c r="G295" s="26" t="str">
        <f>IFERROR(VLOOKUP(F295,'05_Master KPI'!$B$5:$G$100,2,FALSE)&amp;" ("&amp;VLOOKUP(F295,'05_Master KPI'!$B$5:$G$100,3,FALSE)&amp;")","")</f>
        <v/>
      </c>
      <c r="H295" s="26">
        <f>IFERROR(IF(B295&lt;&gt;'06_Target KPI'!$B$3,0,IF(VLOOKUP(F295,'05_Master KPI'!$B$5:$G$100,6,FALSE)="Kumulatif",INDEX('06_Target KPI'!$E$5:$P$100,MATCH(F295,'06_Target KPI'!$B$5:$B$100,0),MATCH(A295,'06_Target KPI'!$E$4:$P$4,0))*DAY(C295)/DAY(EOMONTH(C295,0)),INDEX('06_Target KPI'!$E$5:$P$100,MATCH(F295,'06_Target KPI'!$B$5:$B$100,0),MATCH(A295,'06_Target KPI'!$E$4:$P$4,0)))),0)</f>
        <v>0</v>
      </c>
      <c r="I295" s="24"/>
      <c r="J295" s="27">
        <f>IFERROR(MIN(IF(VLOOKUP(F295,'05_Master KPI'!$B$5:$G$100,5,FALSE)="Lower",H295/I295,I295/H295),1),0)</f>
        <v>0</v>
      </c>
      <c r="K295" s="26">
        <f>IFERROR(VLOOKUP(F295,'05_Master KPI'!$B$5:$G$100,4,FALSE),0)</f>
        <v>0</v>
      </c>
      <c r="L295" s="28">
        <f t="shared" si="4"/>
        <v>0</v>
      </c>
      <c r="M295" s="26" t="str">
        <f>IF(D295="","",IF(J295&gt;='13_Setting'!$H$7,"Tercapai",IF(J295&gt;='13_Setting'!$H$6,"On Track","Tertinggal")))</f>
        <v/>
      </c>
      <c r="N295" s="24"/>
    </row>
    <row r="296" spans="1:14">
      <c r="A296" s="24"/>
      <c r="B296" s="24"/>
      <c r="C296" s="25"/>
      <c r="D296" s="24"/>
      <c r="E296" s="26" t="str">
        <f>IFERROR(VLOOKUP(D296,'04_Master Karyawan'!$A$5:$F$50,2,FALSE),"")</f>
        <v/>
      </c>
      <c r="F296" s="24"/>
      <c r="G296" s="26" t="str">
        <f>IFERROR(VLOOKUP(F296,'05_Master KPI'!$B$5:$G$100,2,FALSE)&amp;" ("&amp;VLOOKUP(F296,'05_Master KPI'!$B$5:$G$100,3,FALSE)&amp;")","")</f>
        <v/>
      </c>
      <c r="H296" s="26">
        <f>IFERROR(IF(B296&lt;&gt;'06_Target KPI'!$B$3,0,IF(VLOOKUP(F296,'05_Master KPI'!$B$5:$G$100,6,FALSE)="Kumulatif",INDEX('06_Target KPI'!$E$5:$P$100,MATCH(F296,'06_Target KPI'!$B$5:$B$100,0),MATCH(A296,'06_Target KPI'!$E$4:$P$4,0))*DAY(C296)/DAY(EOMONTH(C296,0)),INDEX('06_Target KPI'!$E$5:$P$100,MATCH(F296,'06_Target KPI'!$B$5:$B$100,0),MATCH(A296,'06_Target KPI'!$E$4:$P$4,0)))),0)</f>
        <v>0</v>
      </c>
      <c r="I296" s="24"/>
      <c r="J296" s="27">
        <f>IFERROR(MIN(IF(VLOOKUP(F296,'05_Master KPI'!$B$5:$G$100,5,FALSE)="Lower",H296/I296,I296/H296),1),0)</f>
        <v>0</v>
      </c>
      <c r="K296" s="26">
        <f>IFERROR(VLOOKUP(F296,'05_Master KPI'!$B$5:$G$100,4,FALSE),0)</f>
        <v>0</v>
      </c>
      <c r="L296" s="28">
        <f t="shared" si="4"/>
        <v>0</v>
      </c>
      <c r="M296" s="26" t="str">
        <f>IF(D296="","",IF(J296&gt;='13_Setting'!$H$7,"Tercapai",IF(J296&gt;='13_Setting'!$H$6,"On Track","Tertinggal")))</f>
        <v/>
      </c>
      <c r="N296" s="24"/>
    </row>
    <row r="297" spans="1:14">
      <c r="A297" s="24"/>
      <c r="B297" s="24"/>
      <c r="C297" s="25"/>
      <c r="D297" s="24"/>
      <c r="E297" s="26" t="str">
        <f>IFERROR(VLOOKUP(D297,'04_Master Karyawan'!$A$5:$F$50,2,FALSE),"")</f>
        <v/>
      </c>
      <c r="F297" s="24"/>
      <c r="G297" s="26" t="str">
        <f>IFERROR(VLOOKUP(F297,'05_Master KPI'!$B$5:$G$100,2,FALSE)&amp;" ("&amp;VLOOKUP(F297,'05_Master KPI'!$B$5:$G$100,3,FALSE)&amp;")","")</f>
        <v/>
      </c>
      <c r="H297" s="26">
        <f>IFERROR(IF(B297&lt;&gt;'06_Target KPI'!$B$3,0,IF(VLOOKUP(F297,'05_Master KPI'!$B$5:$G$100,6,FALSE)="Kumulatif",INDEX('06_Target KPI'!$E$5:$P$100,MATCH(F297,'06_Target KPI'!$B$5:$B$100,0),MATCH(A297,'06_Target KPI'!$E$4:$P$4,0))*DAY(C297)/DAY(EOMONTH(C297,0)),INDEX('06_Target KPI'!$E$5:$P$100,MATCH(F297,'06_Target KPI'!$B$5:$B$100,0),MATCH(A297,'06_Target KPI'!$E$4:$P$4,0)))),0)</f>
        <v>0</v>
      </c>
      <c r="I297" s="24"/>
      <c r="J297" s="27">
        <f>IFERROR(MIN(IF(VLOOKUP(F297,'05_Master KPI'!$B$5:$G$100,5,FALSE)="Lower",H297/I297,I297/H297),1),0)</f>
        <v>0</v>
      </c>
      <c r="K297" s="26">
        <f>IFERROR(VLOOKUP(F297,'05_Master KPI'!$B$5:$G$100,4,FALSE),0)</f>
        <v>0</v>
      </c>
      <c r="L297" s="28">
        <f t="shared" si="4"/>
        <v>0</v>
      </c>
      <c r="M297" s="26" t="str">
        <f>IF(D297="","",IF(J297&gt;='13_Setting'!$H$7,"Tercapai",IF(J297&gt;='13_Setting'!$H$6,"On Track","Tertinggal")))</f>
        <v/>
      </c>
      <c r="N297" s="24"/>
    </row>
    <row r="298" spans="1:14">
      <c r="A298" s="24"/>
      <c r="B298" s="24"/>
      <c r="C298" s="25"/>
      <c r="D298" s="24"/>
      <c r="E298" s="26" t="str">
        <f>IFERROR(VLOOKUP(D298,'04_Master Karyawan'!$A$5:$F$50,2,FALSE),"")</f>
        <v/>
      </c>
      <c r="F298" s="24"/>
      <c r="G298" s="26" t="str">
        <f>IFERROR(VLOOKUP(F298,'05_Master KPI'!$B$5:$G$100,2,FALSE)&amp;" ("&amp;VLOOKUP(F298,'05_Master KPI'!$B$5:$G$100,3,FALSE)&amp;")","")</f>
        <v/>
      </c>
      <c r="H298" s="26">
        <f>IFERROR(IF(B298&lt;&gt;'06_Target KPI'!$B$3,0,IF(VLOOKUP(F298,'05_Master KPI'!$B$5:$G$100,6,FALSE)="Kumulatif",INDEX('06_Target KPI'!$E$5:$P$100,MATCH(F298,'06_Target KPI'!$B$5:$B$100,0),MATCH(A298,'06_Target KPI'!$E$4:$P$4,0))*DAY(C298)/DAY(EOMONTH(C298,0)),INDEX('06_Target KPI'!$E$5:$P$100,MATCH(F298,'06_Target KPI'!$B$5:$B$100,0),MATCH(A298,'06_Target KPI'!$E$4:$P$4,0)))),0)</f>
        <v>0</v>
      </c>
      <c r="I298" s="24"/>
      <c r="J298" s="27">
        <f>IFERROR(MIN(IF(VLOOKUP(F298,'05_Master KPI'!$B$5:$G$100,5,FALSE)="Lower",H298/I298,I298/H298),1),0)</f>
        <v>0</v>
      </c>
      <c r="K298" s="26">
        <f>IFERROR(VLOOKUP(F298,'05_Master KPI'!$B$5:$G$100,4,FALSE),0)</f>
        <v>0</v>
      </c>
      <c r="L298" s="28">
        <f t="shared" si="4"/>
        <v>0</v>
      </c>
      <c r="M298" s="26" t="str">
        <f>IF(D298="","",IF(J298&gt;='13_Setting'!$H$7,"Tercapai",IF(J298&gt;='13_Setting'!$H$6,"On Track","Tertinggal")))</f>
        <v/>
      </c>
      <c r="N298" s="24"/>
    </row>
    <row r="299" spans="1:14">
      <c r="A299" s="24"/>
      <c r="B299" s="24"/>
      <c r="C299" s="25"/>
      <c r="D299" s="24"/>
      <c r="E299" s="26" t="str">
        <f>IFERROR(VLOOKUP(D299,'04_Master Karyawan'!$A$5:$F$50,2,FALSE),"")</f>
        <v/>
      </c>
      <c r="F299" s="24"/>
      <c r="G299" s="26" t="str">
        <f>IFERROR(VLOOKUP(F299,'05_Master KPI'!$B$5:$G$100,2,FALSE)&amp;" ("&amp;VLOOKUP(F299,'05_Master KPI'!$B$5:$G$100,3,FALSE)&amp;")","")</f>
        <v/>
      </c>
      <c r="H299" s="26">
        <f>IFERROR(IF(B299&lt;&gt;'06_Target KPI'!$B$3,0,IF(VLOOKUP(F299,'05_Master KPI'!$B$5:$G$100,6,FALSE)="Kumulatif",INDEX('06_Target KPI'!$E$5:$P$100,MATCH(F299,'06_Target KPI'!$B$5:$B$100,0),MATCH(A299,'06_Target KPI'!$E$4:$P$4,0))*DAY(C299)/DAY(EOMONTH(C299,0)),INDEX('06_Target KPI'!$E$5:$P$100,MATCH(F299,'06_Target KPI'!$B$5:$B$100,0),MATCH(A299,'06_Target KPI'!$E$4:$P$4,0)))),0)</f>
        <v>0</v>
      </c>
      <c r="I299" s="24"/>
      <c r="J299" s="27">
        <f>IFERROR(MIN(IF(VLOOKUP(F299,'05_Master KPI'!$B$5:$G$100,5,FALSE)="Lower",H299/I299,I299/H299),1),0)</f>
        <v>0</v>
      </c>
      <c r="K299" s="26">
        <f>IFERROR(VLOOKUP(F299,'05_Master KPI'!$B$5:$G$100,4,FALSE),0)</f>
        <v>0</v>
      </c>
      <c r="L299" s="28">
        <f t="shared" si="4"/>
        <v>0</v>
      </c>
      <c r="M299" s="26" t="str">
        <f>IF(D299="","",IF(J299&gt;='13_Setting'!$H$7,"Tercapai",IF(J299&gt;='13_Setting'!$H$6,"On Track","Tertinggal")))</f>
        <v/>
      </c>
      <c r="N299" s="24"/>
    </row>
    <row r="300" spans="1:14">
      <c r="A300" s="24"/>
      <c r="B300" s="24"/>
      <c r="C300" s="25"/>
      <c r="D300" s="24"/>
      <c r="E300" s="26" t="str">
        <f>IFERROR(VLOOKUP(D300,'04_Master Karyawan'!$A$5:$F$50,2,FALSE),"")</f>
        <v/>
      </c>
      <c r="F300" s="24"/>
      <c r="G300" s="26" t="str">
        <f>IFERROR(VLOOKUP(F300,'05_Master KPI'!$B$5:$G$100,2,FALSE)&amp;" ("&amp;VLOOKUP(F300,'05_Master KPI'!$B$5:$G$100,3,FALSE)&amp;")","")</f>
        <v/>
      </c>
      <c r="H300" s="26">
        <f>IFERROR(IF(B300&lt;&gt;'06_Target KPI'!$B$3,0,IF(VLOOKUP(F300,'05_Master KPI'!$B$5:$G$100,6,FALSE)="Kumulatif",INDEX('06_Target KPI'!$E$5:$P$100,MATCH(F300,'06_Target KPI'!$B$5:$B$100,0),MATCH(A300,'06_Target KPI'!$E$4:$P$4,0))*DAY(C300)/DAY(EOMONTH(C300,0)),INDEX('06_Target KPI'!$E$5:$P$100,MATCH(F300,'06_Target KPI'!$B$5:$B$100,0),MATCH(A300,'06_Target KPI'!$E$4:$P$4,0)))),0)</f>
        <v>0</v>
      </c>
      <c r="I300" s="24"/>
      <c r="J300" s="27">
        <f>IFERROR(MIN(IF(VLOOKUP(F300,'05_Master KPI'!$B$5:$G$100,5,FALSE)="Lower",H300/I300,I300/H300),1),0)</f>
        <v>0</v>
      </c>
      <c r="K300" s="26">
        <f>IFERROR(VLOOKUP(F300,'05_Master KPI'!$B$5:$G$100,4,FALSE),0)</f>
        <v>0</v>
      </c>
      <c r="L300" s="28">
        <f t="shared" si="4"/>
        <v>0</v>
      </c>
      <c r="M300" s="26" t="str">
        <f>IF(D300="","",IF(J300&gt;='13_Setting'!$H$7,"Tercapai",IF(J300&gt;='13_Setting'!$H$6,"On Track","Tertinggal")))</f>
        <v/>
      </c>
      <c r="N300" s="24"/>
    </row>
    <row r="301" spans="1:14">
      <c r="A301" s="24"/>
      <c r="B301" s="24"/>
      <c r="C301" s="25"/>
      <c r="D301" s="24"/>
      <c r="E301" s="26" t="str">
        <f>IFERROR(VLOOKUP(D301,'04_Master Karyawan'!$A$5:$F$50,2,FALSE),"")</f>
        <v/>
      </c>
      <c r="F301" s="24"/>
      <c r="G301" s="26" t="str">
        <f>IFERROR(VLOOKUP(F301,'05_Master KPI'!$B$5:$G$100,2,FALSE)&amp;" ("&amp;VLOOKUP(F301,'05_Master KPI'!$B$5:$G$100,3,FALSE)&amp;")","")</f>
        <v/>
      </c>
      <c r="H301" s="26">
        <f>IFERROR(IF(B301&lt;&gt;'06_Target KPI'!$B$3,0,IF(VLOOKUP(F301,'05_Master KPI'!$B$5:$G$100,6,FALSE)="Kumulatif",INDEX('06_Target KPI'!$E$5:$P$100,MATCH(F301,'06_Target KPI'!$B$5:$B$100,0),MATCH(A301,'06_Target KPI'!$E$4:$P$4,0))*DAY(C301)/DAY(EOMONTH(C301,0)),INDEX('06_Target KPI'!$E$5:$P$100,MATCH(F301,'06_Target KPI'!$B$5:$B$100,0),MATCH(A301,'06_Target KPI'!$E$4:$P$4,0)))),0)</f>
        <v>0</v>
      </c>
      <c r="I301" s="24"/>
      <c r="J301" s="27">
        <f>IFERROR(MIN(IF(VLOOKUP(F301,'05_Master KPI'!$B$5:$G$100,5,FALSE)="Lower",H301/I301,I301/H301),1),0)</f>
        <v>0</v>
      </c>
      <c r="K301" s="26">
        <f>IFERROR(VLOOKUP(F301,'05_Master KPI'!$B$5:$G$100,4,FALSE),0)</f>
        <v>0</v>
      </c>
      <c r="L301" s="28">
        <f t="shared" si="4"/>
        <v>0</v>
      </c>
      <c r="M301" s="26" t="str">
        <f>IF(D301="","",IF(J301&gt;='13_Setting'!$H$7,"Tercapai",IF(J301&gt;='13_Setting'!$H$6,"On Track","Tertinggal")))</f>
        <v/>
      </c>
      <c r="N301" s="24"/>
    </row>
    <row r="302" spans="1:14">
      <c r="A302" s="24"/>
      <c r="B302" s="24"/>
      <c r="C302" s="25"/>
      <c r="D302" s="24"/>
      <c r="E302" s="26" t="str">
        <f>IFERROR(VLOOKUP(D302,'04_Master Karyawan'!$A$5:$F$50,2,FALSE),"")</f>
        <v/>
      </c>
      <c r="F302" s="24"/>
      <c r="G302" s="26" t="str">
        <f>IFERROR(VLOOKUP(F302,'05_Master KPI'!$B$5:$G$100,2,FALSE)&amp;" ("&amp;VLOOKUP(F302,'05_Master KPI'!$B$5:$G$100,3,FALSE)&amp;")","")</f>
        <v/>
      </c>
      <c r="H302" s="26">
        <f>IFERROR(IF(B302&lt;&gt;'06_Target KPI'!$B$3,0,IF(VLOOKUP(F302,'05_Master KPI'!$B$5:$G$100,6,FALSE)="Kumulatif",INDEX('06_Target KPI'!$E$5:$P$100,MATCH(F302,'06_Target KPI'!$B$5:$B$100,0),MATCH(A302,'06_Target KPI'!$E$4:$P$4,0))*DAY(C302)/DAY(EOMONTH(C302,0)),INDEX('06_Target KPI'!$E$5:$P$100,MATCH(F302,'06_Target KPI'!$B$5:$B$100,0),MATCH(A302,'06_Target KPI'!$E$4:$P$4,0)))),0)</f>
        <v>0</v>
      </c>
      <c r="I302" s="24"/>
      <c r="J302" s="27">
        <f>IFERROR(MIN(IF(VLOOKUP(F302,'05_Master KPI'!$B$5:$G$100,5,FALSE)="Lower",H302/I302,I302/H302),1),0)</f>
        <v>0</v>
      </c>
      <c r="K302" s="26">
        <f>IFERROR(VLOOKUP(F302,'05_Master KPI'!$B$5:$G$100,4,FALSE),0)</f>
        <v>0</v>
      </c>
      <c r="L302" s="28">
        <f t="shared" si="4"/>
        <v>0</v>
      </c>
      <c r="M302" s="26" t="str">
        <f>IF(D302="","",IF(J302&gt;='13_Setting'!$H$7,"Tercapai",IF(J302&gt;='13_Setting'!$H$6,"On Track","Tertinggal")))</f>
        <v/>
      </c>
      <c r="N302" s="24"/>
    </row>
    <row r="303" spans="1:14">
      <c r="A303" s="24"/>
      <c r="B303" s="24"/>
      <c r="C303" s="25"/>
      <c r="D303" s="24"/>
      <c r="E303" s="26" t="str">
        <f>IFERROR(VLOOKUP(D303,'04_Master Karyawan'!$A$5:$F$50,2,FALSE),"")</f>
        <v/>
      </c>
      <c r="F303" s="24"/>
      <c r="G303" s="26" t="str">
        <f>IFERROR(VLOOKUP(F303,'05_Master KPI'!$B$5:$G$100,2,FALSE)&amp;" ("&amp;VLOOKUP(F303,'05_Master KPI'!$B$5:$G$100,3,FALSE)&amp;")","")</f>
        <v/>
      </c>
      <c r="H303" s="26">
        <f>IFERROR(IF(B303&lt;&gt;'06_Target KPI'!$B$3,0,IF(VLOOKUP(F303,'05_Master KPI'!$B$5:$G$100,6,FALSE)="Kumulatif",INDEX('06_Target KPI'!$E$5:$P$100,MATCH(F303,'06_Target KPI'!$B$5:$B$100,0),MATCH(A303,'06_Target KPI'!$E$4:$P$4,0))*DAY(C303)/DAY(EOMONTH(C303,0)),INDEX('06_Target KPI'!$E$5:$P$100,MATCH(F303,'06_Target KPI'!$B$5:$B$100,0),MATCH(A303,'06_Target KPI'!$E$4:$P$4,0)))),0)</f>
        <v>0</v>
      </c>
      <c r="I303" s="24"/>
      <c r="J303" s="27">
        <f>IFERROR(MIN(IF(VLOOKUP(F303,'05_Master KPI'!$B$5:$G$100,5,FALSE)="Lower",H303/I303,I303/H303),1),0)</f>
        <v>0</v>
      </c>
      <c r="K303" s="26">
        <f>IFERROR(VLOOKUP(F303,'05_Master KPI'!$B$5:$G$100,4,FALSE),0)</f>
        <v>0</v>
      </c>
      <c r="L303" s="28">
        <f t="shared" si="4"/>
        <v>0</v>
      </c>
      <c r="M303" s="26" t="str">
        <f>IF(D303="","",IF(J303&gt;='13_Setting'!$H$7,"Tercapai",IF(J303&gt;='13_Setting'!$H$6,"On Track","Tertinggal")))</f>
        <v/>
      </c>
      <c r="N303" s="24"/>
    </row>
    <row r="304" spans="1:14">
      <c r="A304" s="29"/>
      <c r="B304" s="29"/>
      <c r="C304" s="30"/>
      <c r="D304" s="29"/>
      <c r="E304" s="31" t="str">
        <f>IFERROR(VLOOKUP(D304,'04_Master Karyawan'!$A$5:$F$50,2,FALSE),"")</f>
        <v/>
      </c>
      <c r="F304" s="29"/>
      <c r="G304" s="31" t="str">
        <f>IFERROR(VLOOKUP(F304,'05_Master KPI'!$B$5:$G$100,2,FALSE)&amp;" ("&amp;VLOOKUP(F304,'05_Master KPI'!$B$5:$G$100,3,FALSE)&amp;")","")</f>
        <v/>
      </c>
      <c r="H304" s="31">
        <f>IFERROR(IF(B304&lt;&gt;'06_Target KPI'!$B$3,0,IF(VLOOKUP(F304,'05_Master KPI'!$B$5:$G$100,6,FALSE)="Kumulatif",INDEX('06_Target KPI'!$E$5:$P$100,MATCH(F304,'06_Target KPI'!$B$5:$B$100,0),MATCH(A304,'06_Target KPI'!$E$4:$P$4,0))*DAY(C304)/DAY(EOMONTH(C304,0)),INDEX('06_Target KPI'!$E$5:$P$100,MATCH(F304,'06_Target KPI'!$B$5:$B$100,0),MATCH(A304,'06_Target KPI'!$E$4:$P$4,0)))),0)</f>
        <v>0</v>
      </c>
      <c r="I304" s="29"/>
      <c r="J304" s="32">
        <f>IFERROR(MIN(IF(VLOOKUP(F304,'05_Master KPI'!$B$5:$G$100,5,FALSE)="Lower",H304/I304,I304/H304),1),0)</f>
        <v>0</v>
      </c>
      <c r="K304" s="31">
        <f>IFERROR(VLOOKUP(F304,'05_Master KPI'!$B$5:$G$100,4,FALSE),0)</f>
        <v>0</v>
      </c>
      <c r="L304" s="33">
        <f t="shared" si="4"/>
        <v>0</v>
      </c>
      <c r="M304" s="31" t="str">
        <f>IF(D304="","",IF(J304&gt;='13_Setting'!$H$7,"Tercapai",IF(J304&gt;='13_Setting'!$H$6,"On Track","Tertinggal")))</f>
        <v/>
      </c>
      <c r="N304" s="29"/>
    </row>
  </sheetData>
  <mergeCells count="2">
    <mergeCell ref="A1:N1"/>
    <mergeCell ref="A2:N2"/>
  </mergeCells>
  <conditionalFormatting sqref="M5:M304">
    <cfRule type="containsText" dxfId="6" priority="1" operator="containsText" text="Tercapai"/>
    <cfRule type="containsText" dxfId="5" priority="2" operator="containsText" text="On Track"/>
    <cfRule type="containsText" dxfId="4" priority="3" operator="containsText" text="Tertinggal"/>
  </conditionalFormatting>
  <dataValidations count="2">
    <dataValidation type="list" sqref="D5:D304" xr:uid="{00000000-0002-0000-0A00-000002000000}">
      <formula1>"EMP008"</formula1>
    </dataValidation>
    <dataValidation type="list" sqref="F5:F304" xr:uid="{00000000-0002-0000-0A00-000003000000}">
      <formula1>"HR001,HR002,HR003,HR004,HR005,HR006"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xr:uid="{00000000-0002-0000-0A00-000000000000}">
          <x14:formula1>
            <xm:f>'13_Setting'!$A$5:$A$16</xm:f>
          </x14:formula1>
          <xm:sqref>A5:A304</xm:sqref>
        </x14:dataValidation>
        <x14:dataValidation type="list" xr:uid="{00000000-0002-0000-0A00-000001000000}">
          <x14:formula1>
            <xm:f>'13_Setting'!$D$5:$D$9</xm:f>
          </x14:formula1>
          <xm:sqref>B5:B304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Z304"/>
  <sheetViews>
    <sheetView showGridLines="0" workbookViewId="0"/>
  </sheetViews>
  <sheetFormatPr defaultRowHeight="13.8"/>
  <cols>
    <col min="1" max="1" width="14" customWidth="1"/>
    <col min="2" max="2" width="9" customWidth="1"/>
    <col min="3" max="3" width="14" customWidth="1"/>
    <col min="4" max="4" width="12" customWidth="1"/>
    <col min="5" max="5" width="28" customWidth="1"/>
    <col min="6" max="6" width="12" customWidth="1"/>
    <col min="7" max="7" width="30" customWidth="1"/>
    <col min="8" max="13" width="14" customWidth="1"/>
    <col min="14" max="14" width="30" customWidth="1"/>
  </cols>
  <sheetData>
    <row r="1" spans="1:26" ht="34.049999999999997" customHeight="1">
      <c r="A1" s="55" t="s">
        <v>217</v>
      </c>
      <c r="B1" s="55" t="s">
        <v>217</v>
      </c>
      <c r="C1" s="55" t="s">
        <v>217</v>
      </c>
      <c r="D1" s="55" t="s">
        <v>217</v>
      </c>
      <c r="E1" s="55" t="s">
        <v>217</v>
      </c>
      <c r="F1" s="55" t="s">
        <v>217</v>
      </c>
      <c r="G1" s="55" t="s">
        <v>217</v>
      </c>
      <c r="H1" s="55" t="s">
        <v>217</v>
      </c>
      <c r="I1" s="55" t="s">
        <v>217</v>
      </c>
      <c r="J1" s="55" t="s">
        <v>217</v>
      </c>
      <c r="K1" s="55" t="s">
        <v>217</v>
      </c>
      <c r="L1" s="55" t="s">
        <v>217</v>
      </c>
      <c r="M1" s="55" t="s">
        <v>217</v>
      </c>
      <c r="N1" s="55" t="s">
        <v>217</v>
      </c>
      <c r="O1" s="1"/>
      <c r="P1" s="1"/>
      <c r="Q1" s="1"/>
      <c r="R1" s="1"/>
      <c r="S1" s="1"/>
      <c r="T1" s="1"/>
      <c r="U1" s="1"/>
      <c r="V1" s="1"/>
      <c r="W1" s="1"/>
      <c r="X1" s="1"/>
      <c r="Y1" s="1"/>
      <c r="Z1" s="1"/>
    </row>
    <row r="2" spans="1:26" ht="24" customHeight="1">
      <c r="A2" s="56" t="s">
        <v>203</v>
      </c>
      <c r="B2" s="56" t="s">
        <v>203</v>
      </c>
      <c r="C2" s="56" t="s">
        <v>203</v>
      </c>
      <c r="D2" s="56" t="s">
        <v>203</v>
      </c>
      <c r="E2" s="56" t="s">
        <v>203</v>
      </c>
      <c r="F2" s="56" t="s">
        <v>203</v>
      </c>
      <c r="G2" s="56" t="s">
        <v>203</v>
      </c>
      <c r="H2" s="56" t="s">
        <v>203</v>
      </c>
      <c r="I2" s="56" t="s">
        <v>203</v>
      </c>
      <c r="J2" s="56" t="s">
        <v>203</v>
      </c>
      <c r="K2" s="56" t="s">
        <v>203</v>
      </c>
      <c r="L2" s="56" t="s">
        <v>203</v>
      </c>
      <c r="M2" s="56" t="s">
        <v>203</v>
      </c>
      <c r="N2" s="56" t="s">
        <v>203</v>
      </c>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204</v>
      </c>
      <c r="D4" s="6" t="s">
        <v>83</v>
      </c>
      <c r="E4" s="6" t="s">
        <v>34</v>
      </c>
      <c r="F4" s="6" t="s">
        <v>108</v>
      </c>
      <c r="G4" s="6" t="s">
        <v>205</v>
      </c>
      <c r="H4" s="6" t="s">
        <v>206</v>
      </c>
      <c r="I4" s="6" t="s">
        <v>207</v>
      </c>
      <c r="J4" s="6" t="s">
        <v>208</v>
      </c>
      <c r="K4" s="6" t="s">
        <v>111</v>
      </c>
      <c r="L4" s="6" t="s">
        <v>209</v>
      </c>
      <c r="M4" s="6" t="s">
        <v>85</v>
      </c>
      <c r="N4" s="3" t="s">
        <v>210</v>
      </c>
      <c r="O4" s="1"/>
      <c r="P4" s="1"/>
      <c r="Q4" s="1"/>
      <c r="R4" s="1"/>
      <c r="S4" s="1"/>
      <c r="T4" s="1"/>
      <c r="U4" s="1"/>
      <c r="V4" s="1"/>
      <c r="W4" s="1"/>
      <c r="X4" s="1"/>
      <c r="Y4" s="1"/>
      <c r="Z4" s="1"/>
    </row>
    <row r="5" spans="1:26">
      <c r="A5" s="16" t="s">
        <v>192</v>
      </c>
      <c r="B5" s="16">
        <v>2026</v>
      </c>
      <c r="C5" s="17">
        <v>46053</v>
      </c>
      <c r="D5" s="16" t="s">
        <v>104</v>
      </c>
      <c r="E5" s="8" t="str">
        <f>IFERROR(VLOOKUP(D5,'04_Master Karyawan'!$A$5:$F$50,2,FALSE),"")</f>
        <v>Finance Staff (Ganti Nama)</v>
      </c>
      <c r="F5" s="16" t="s">
        <v>180</v>
      </c>
      <c r="G5" s="8" t="str">
        <f>IFERROR(VLOOKUP(F5,'05_Master KPI'!$B$5:$G$100,2,FALSE)&amp;" ("&amp;VLOOKUP(F5,'05_Master KPI'!$B$5:$G$100,3,FALSE)&amp;")","")</f>
        <v>Laporan Tepat Waktu (%)</v>
      </c>
      <c r="H5" s="8">
        <f>IFERROR(IF(B5&lt;&gt;'06_Target KPI'!$B$3,0,IF(VLOOKUP(F5,'05_Master KPI'!$B$5:$G$100,6,FALSE)="Kumulatif",INDEX('06_Target KPI'!$E$5:$P$100,MATCH(F5,'06_Target KPI'!$B$5:$B$100,0),MATCH(A5,'06_Target KPI'!$E$4:$P$4,0))*DAY(C5)/DAY(EOMONTH(C5,0)),INDEX('06_Target KPI'!$E$5:$P$100,MATCH(F5,'06_Target KPI'!$B$5:$B$100,0),MATCH(A5,'06_Target KPI'!$E$4:$P$4,0)))),0)</f>
        <v>100</v>
      </c>
      <c r="I5" s="16">
        <v>74.3</v>
      </c>
      <c r="J5" s="18">
        <f>IFERROR(MIN(IF(VLOOKUP(F5,'05_Master KPI'!$B$5:$G$100,5,FALSE)="Lower",H5/I5,I5/H5),1),0)</f>
        <v>0.74299999999999999</v>
      </c>
      <c r="K5" s="8">
        <f>IFERROR(VLOOKUP(F5,'05_Master KPI'!$B$5:$G$100,4,FALSE),0)</f>
        <v>25</v>
      </c>
      <c r="L5" s="19">
        <f t="shared" ref="L5:L68" si="0">J5*K5</f>
        <v>18.574999999999999</v>
      </c>
      <c r="M5" s="8" t="str">
        <f>IF(D5="","",IF(J5&gt;='13_Setting'!$H$7,"Tercapai",IF(J5&gt;='13_Setting'!$H$6,"On Track","Tertinggal")))</f>
        <v>Tertinggal</v>
      </c>
      <c r="N5" s="16" t="s">
        <v>211</v>
      </c>
      <c r="O5" s="1"/>
      <c r="P5" s="1"/>
      <c r="Q5" s="1"/>
      <c r="R5" s="1"/>
      <c r="S5" s="1"/>
      <c r="T5" s="1"/>
      <c r="U5" s="1"/>
      <c r="V5" s="1"/>
      <c r="W5" s="1"/>
      <c r="X5" s="1"/>
      <c r="Y5" s="1"/>
      <c r="Z5" s="1"/>
    </row>
    <row r="6" spans="1:26">
      <c r="A6" s="20" t="s">
        <v>192</v>
      </c>
      <c r="B6" s="20">
        <v>2026</v>
      </c>
      <c r="C6" s="21">
        <v>46053</v>
      </c>
      <c r="D6" s="20" t="s">
        <v>104</v>
      </c>
      <c r="E6" s="9" t="str">
        <f>IFERROR(VLOOKUP(D6,'04_Master Karyawan'!$A$5:$F$50,2,FALSE),"")</f>
        <v>Finance Staff (Ganti Nama)</v>
      </c>
      <c r="F6" s="20" t="s">
        <v>182</v>
      </c>
      <c r="G6" s="9" t="str">
        <f>IFERROR(VLOOKUP(F6,'05_Master KPI'!$B$5:$G$100,2,FALSE)&amp;" ("&amp;VLOOKUP(F6,'05_Master KPI'!$B$5:$G$100,3,FALSE)&amp;")","")</f>
        <v>Deviasi Cashflow (%)</v>
      </c>
      <c r="H6" s="9">
        <f>IFERROR(IF(B6&lt;&gt;'06_Target KPI'!$B$3,0,IF(VLOOKUP(F6,'05_Master KPI'!$B$5:$G$100,6,FALSE)="Kumulatif",INDEX('06_Target KPI'!$E$5:$P$100,MATCH(F6,'06_Target KPI'!$B$5:$B$100,0),MATCH(A6,'06_Target KPI'!$E$4:$P$4,0))*DAY(C6)/DAY(EOMONTH(C6,0)),INDEX('06_Target KPI'!$E$5:$P$100,MATCH(F6,'06_Target KPI'!$B$5:$B$100,0),MATCH(A6,'06_Target KPI'!$E$4:$P$4,0)))),0)</f>
        <v>5</v>
      </c>
      <c r="I6" s="20">
        <v>6.7</v>
      </c>
      <c r="J6" s="22">
        <f>IFERROR(MIN(IF(VLOOKUP(F6,'05_Master KPI'!$B$5:$G$100,5,FALSE)="Lower",H6/I6,I6/H6),1),0)</f>
        <v>0.74626865671641784</v>
      </c>
      <c r="K6" s="9">
        <f>IFERROR(VLOOKUP(F6,'05_Master KPI'!$B$5:$G$100,4,FALSE),0)</f>
        <v>25</v>
      </c>
      <c r="L6" s="23">
        <f t="shared" si="0"/>
        <v>18.656716417910445</v>
      </c>
      <c r="M6" s="9" t="str">
        <f>IF(D6="","",IF(J6&gt;='13_Setting'!$H$7,"Tercapai",IF(J6&gt;='13_Setting'!$H$6,"On Track","Tertinggal")))</f>
        <v>Tertinggal</v>
      </c>
      <c r="N6" s="20" t="s">
        <v>211</v>
      </c>
      <c r="O6" s="1"/>
      <c r="P6" s="1"/>
      <c r="Q6" s="1"/>
      <c r="R6" s="1"/>
      <c r="S6" s="1"/>
      <c r="T6" s="1"/>
      <c r="U6" s="1"/>
      <c r="V6" s="1"/>
      <c r="W6" s="1"/>
      <c r="X6" s="1"/>
      <c r="Y6" s="1"/>
      <c r="Z6" s="1"/>
    </row>
    <row r="7" spans="1:26">
      <c r="A7" s="20" t="s">
        <v>192</v>
      </c>
      <c r="B7" s="20">
        <v>2026</v>
      </c>
      <c r="C7" s="21">
        <v>46053</v>
      </c>
      <c r="D7" s="20" t="s">
        <v>104</v>
      </c>
      <c r="E7" s="9" t="str">
        <f>IFERROR(VLOOKUP(D7,'04_Master Karyawan'!$A$5:$F$50,2,FALSE),"")</f>
        <v>Finance Staff (Ganti Nama)</v>
      </c>
      <c r="F7" s="20" t="s">
        <v>184</v>
      </c>
      <c r="G7" s="9" t="str">
        <f>IFERROR(VLOOKUP(F7,'05_Master KPI'!$B$5:$G$100,2,FALSE)&amp;" ("&amp;VLOOKUP(F7,'05_Master KPI'!$B$5:$G$100,3,FALSE)&amp;")","")</f>
        <v>Penagihan Piutang (%)</v>
      </c>
      <c r="H7" s="9">
        <f>IFERROR(IF(B7&lt;&gt;'06_Target KPI'!$B$3,0,IF(VLOOKUP(F7,'05_Master KPI'!$B$5:$G$100,6,FALSE)="Kumulatif",INDEX('06_Target KPI'!$E$5:$P$100,MATCH(F7,'06_Target KPI'!$B$5:$B$100,0),MATCH(A7,'06_Target KPI'!$E$4:$P$4,0))*DAY(C7)/DAY(EOMONTH(C7,0)),INDEX('06_Target KPI'!$E$5:$P$100,MATCH(F7,'06_Target KPI'!$B$5:$B$100,0),MATCH(A7,'06_Target KPI'!$E$4:$P$4,0)))),0)</f>
        <v>95</v>
      </c>
      <c r="I7" s="20">
        <v>70.5</v>
      </c>
      <c r="J7" s="22">
        <f>IFERROR(MIN(IF(VLOOKUP(F7,'05_Master KPI'!$B$5:$G$100,5,FALSE)="Lower",H7/I7,I7/H7),1),0)</f>
        <v>0.74210526315789471</v>
      </c>
      <c r="K7" s="9">
        <f>IFERROR(VLOOKUP(F7,'05_Master KPI'!$B$5:$G$100,4,FALSE),0)</f>
        <v>25</v>
      </c>
      <c r="L7" s="23">
        <f t="shared" si="0"/>
        <v>18.552631578947366</v>
      </c>
      <c r="M7" s="9" t="str">
        <f>IF(D7="","",IF(J7&gt;='13_Setting'!$H$7,"Tercapai",IF(J7&gt;='13_Setting'!$H$6,"On Track","Tertinggal")))</f>
        <v>Tertinggal</v>
      </c>
      <c r="N7" s="20" t="s">
        <v>211</v>
      </c>
      <c r="O7" s="1"/>
      <c r="P7" s="1"/>
      <c r="Q7" s="1"/>
      <c r="R7" s="1"/>
      <c r="S7" s="1"/>
      <c r="T7" s="1"/>
      <c r="U7" s="1"/>
      <c r="V7" s="1"/>
      <c r="W7" s="1"/>
      <c r="X7" s="1"/>
      <c r="Y7" s="1"/>
      <c r="Z7" s="1"/>
    </row>
    <row r="8" spans="1:26">
      <c r="A8" s="20" t="s">
        <v>192</v>
      </c>
      <c r="B8" s="20">
        <v>2026</v>
      </c>
      <c r="C8" s="21">
        <v>46053</v>
      </c>
      <c r="D8" s="20" t="s">
        <v>104</v>
      </c>
      <c r="E8" s="9" t="str">
        <f>IFERROR(VLOOKUP(D8,'04_Master Karyawan'!$A$5:$F$50,2,FALSE),"")</f>
        <v>Finance Staff (Ganti Nama)</v>
      </c>
      <c r="F8" s="20" t="s">
        <v>186</v>
      </c>
      <c r="G8" s="9" t="str">
        <f>IFERROR(VLOOKUP(F8,'05_Master KPI'!$B$5:$G$100,2,FALSE)&amp;" ("&amp;VLOOKUP(F8,'05_Master KPI'!$B$5:$G$100,3,FALSE)&amp;")","")</f>
        <v>Akurasi Biaya (%)</v>
      </c>
      <c r="H8" s="9">
        <f>IFERROR(IF(B8&lt;&gt;'06_Target KPI'!$B$3,0,IF(VLOOKUP(F8,'05_Master KPI'!$B$5:$G$100,6,FALSE)="Kumulatif",INDEX('06_Target KPI'!$E$5:$P$100,MATCH(F8,'06_Target KPI'!$B$5:$B$100,0),MATCH(A8,'06_Target KPI'!$E$4:$P$4,0))*DAY(C8)/DAY(EOMONTH(C8,0)),INDEX('06_Target KPI'!$E$5:$P$100,MATCH(F8,'06_Target KPI'!$B$5:$B$100,0),MATCH(A8,'06_Target KPI'!$E$4:$P$4,0)))),0)</f>
        <v>99</v>
      </c>
      <c r="I8" s="20">
        <v>73.5</v>
      </c>
      <c r="J8" s="22">
        <f>IFERROR(MIN(IF(VLOOKUP(F8,'05_Master KPI'!$B$5:$G$100,5,FALSE)="Lower",H8/I8,I8/H8),1),0)</f>
        <v>0.74242424242424243</v>
      </c>
      <c r="K8" s="9">
        <f>IFERROR(VLOOKUP(F8,'05_Master KPI'!$B$5:$G$100,4,FALSE),0)</f>
        <v>25</v>
      </c>
      <c r="L8" s="23">
        <f t="shared" si="0"/>
        <v>18.560606060606062</v>
      </c>
      <c r="M8" s="9" t="str">
        <f>IF(D8="","",IF(J8&gt;='13_Setting'!$H$7,"Tercapai",IF(J8&gt;='13_Setting'!$H$6,"On Track","Tertinggal")))</f>
        <v>Tertinggal</v>
      </c>
      <c r="N8" s="20" t="s">
        <v>211</v>
      </c>
      <c r="O8" s="1"/>
      <c r="P8" s="1"/>
      <c r="Q8" s="1"/>
      <c r="R8" s="1"/>
      <c r="S8" s="1"/>
      <c r="T8" s="1"/>
      <c r="U8" s="1"/>
      <c r="V8" s="1"/>
      <c r="W8" s="1"/>
      <c r="X8" s="1"/>
      <c r="Y8" s="1"/>
      <c r="Z8" s="1"/>
    </row>
    <row r="9" spans="1:26">
      <c r="A9" s="20" t="s">
        <v>193</v>
      </c>
      <c r="B9" s="20">
        <v>2026</v>
      </c>
      <c r="C9" s="21">
        <v>46081</v>
      </c>
      <c r="D9" s="20" t="s">
        <v>104</v>
      </c>
      <c r="E9" s="9" t="str">
        <f>IFERROR(VLOOKUP(D9,'04_Master Karyawan'!$A$5:$F$50,2,FALSE),"")</f>
        <v>Finance Staff (Ganti Nama)</v>
      </c>
      <c r="F9" s="20" t="s">
        <v>180</v>
      </c>
      <c r="G9" s="9" t="str">
        <f>IFERROR(VLOOKUP(F9,'05_Master KPI'!$B$5:$G$100,2,FALSE)&amp;" ("&amp;VLOOKUP(F9,'05_Master KPI'!$B$5:$G$100,3,FALSE)&amp;")","")</f>
        <v>Laporan Tepat Waktu (%)</v>
      </c>
      <c r="H9" s="9">
        <f>IFERROR(IF(B9&lt;&gt;'06_Target KPI'!$B$3,0,IF(VLOOKUP(F9,'05_Master KPI'!$B$5:$G$100,6,FALSE)="Kumulatif",INDEX('06_Target KPI'!$E$5:$P$100,MATCH(F9,'06_Target KPI'!$B$5:$B$100,0),MATCH(A9,'06_Target KPI'!$E$4:$P$4,0))*DAY(C9)/DAY(EOMONTH(C9,0)),INDEX('06_Target KPI'!$E$5:$P$100,MATCH(F9,'06_Target KPI'!$B$5:$B$100,0),MATCH(A9,'06_Target KPI'!$E$4:$P$4,0)))),0)</f>
        <v>100</v>
      </c>
      <c r="I9" s="20">
        <v>78.3</v>
      </c>
      <c r="J9" s="22">
        <f>IFERROR(MIN(IF(VLOOKUP(F9,'05_Master KPI'!$B$5:$G$100,5,FALSE)="Lower",H9/I9,I9/H9),1),0)</f>
        <v>0.78299999999999992</v>
      </c>
      <c r="K9" s="9">
        <f>IFERROR(VLOOKUP(F9,'05_Master KPI'!$B$5:$G$100,4,FALSE),0)</f>
        <v>25</v>
      </c>
      <c r="L9" s="23">
        <f t="shared" si="0"/>
        <v>19.574999999999999</v>
      </c>
      <c r="M9" s="9" t="str">
        <f>IF(D9="","",IF(J9&gt;='13_Setting'!$H$7,"Tercapai",IF(J9&gt;='13_Setting'!$H$6,"On Track","Tertinggal")))</f>
        <v>Tertinggal</v>
      </c>
      <c r="N9" s="20" t="s">
        <v>211</v>
      </c>
      <c r="O9" s="1"/>
      <c r="P9" s="1"/>
      <c r="Q9" s="1"/>
      <c r="R9" s="1"/>
      <c r="S9" s="1"/>
      <c r="T9" s="1"/>
      <c r="U9" s="1"/>
      <c r="V9" s="1"/>
      <c r="W9" s="1"/>
      <c r="X9" s="1"/>
      <c r="Y9" s="1"/>
      <c r="Z9" s="1"/>
    </row>
    <row r="10" spans="1:26">
      <c r="A10" s="20" t="s">
        <v>193</v>
      </c>
      <c r="B10" s="20">
        <v>2026</v>
      </c>
      <c r="C10" s="21">
        <v>46081</v>
      </c>
      <c r="D10" s="20" t="s">
        <v>104</v>
      </c>
      <c r="E10" s="9" t="str">
        <f>IFERROR(VLOOKUP(D10,'04_Master Karyawan'!$A$5:$F$50,2,FALSE),"")</f>
        <v>Finance Staff (Ganti Nama)</v>
      </c>
      <c r="F10" s="20" t="s">
        <v>182</v>
      </c>
      <c r="G10" s="9" t="str">
        <f>IFERROR(VLOOKUP(F10,'05_Master KPI'!$B$5:$G$100,2,FALSE)&amp;" ("&amp;VLOOKUP(F10,'05_Master KPI'!$B$5:$G$100,3,FALSE)&amp;")","")</f>
        <v>Deviasi Cashflow (%)</v>
      </c>
      <c r="H10" s="9">
        <f>IFERROR(IF(B10&lt;&gt;'06_Target KPI'!$B$3,0,IF(VLOOKUP(F10,'05_Master KPI'!$B$5:$G$100,6,FALSE)="Kumulatif",INDEX('06_Target KPI'!$E$5:$P$100,MATCH(F10,'06_Target KPI'!$B$5:$B$100,0),MATCH(A10,'06_Target KPI'!$E$4:$P$4,0))*DAY(C10)/DAY(EOMONTH(C10,0)),INDEX('06_Target KPI'!$E$5:$P$100,MATCH(F10,'06_Target KPI'!$B$5:$B$100,0),MATCH(A10,'06_Target KPI'!$E$4:$P$4,0)))),0)</f>
        <v>5</v>
      </c>
      <c r="I10" s="20">
        <v>6.4</v>
      </c>
      <c r="J10" s="22">
        <f>IFERROR(MIN(IF(VLOOKUP(F10,'05_Master KPI'!$B$5:$G$100,5,FALSE)="Lower",H10/I10,I10/H10),1),0)</f>
        <v>0.78125</v>
      </c>
      <c r="K10" s="9">
        <f>IFERROR(VLOOKUP(F10,'05_Master KPI'!$B$5:$G$100,4,FALSE),0)</f>
        <v>25</v>
      </c>
      <c r="L10" s="23">
        <f t="shared" si="0"/>
        <v>19.53125</v>
      </c>
      <c r="M10" s="9" t="str">
        <f>IF(D10="","",IF(J10&gt;='13_Setting'!$H$7,"Tercapai",IF(J10&gt;='13_Setting'!$H$6,"On Track","Tertinggal")))</f>
        <v>Tertinggal</v>
      </c>
      <c r="N10" s="20" t="s">
        <v>211</v>
      </c>
      <c r="O10" s="1"/>
      <c r="P10" s="1"/>
      <c r="Q10" s="1"/>
      <c r="R10" s="1"/>
      <c r="S10" s="1"/>
      <c r="T10" s="1"/>
      <c r="U10" s="1"/>
      <c r="V10" s="1"/>
      <c r="W10" s="1"/>
      <c r="X10" s="1"/>
      <c r="Y10" s="1"/>
      <c r="Z10" s="1"/>
    </row>
    <row r="11" spans="1:26">
      <c r="A11" s="20" t="s">
        <v>193</v>
      </c>
      <c r="B11" s="20">
        <v>2026</v>
      </c>
      <c r="C11" s="21">
        <v>46081</v>
      </c>
      <c r="D11" s="20" t="s">
        <v>104</v>
      </c>
      <c r="E11" s="9" t="str">
        <f>IFERROR(VLOOKUP(D11,'04_Master Karyawan'!$A$5:$F$50,2,FALSE),"")</f>
        <v>Finance Staff (Ganti Nama)</v>
      </c>
      <c r="F11" s="20" t="s">
        <v>184</v>
      </c>
      <c r="G11" s="9" t="str">
        <f>IFERROR(VLOOKUP(F11,'05_Master KPI'!$B$5:$G$100,2,FALSE)&amp;" ("&amp;VLOOKUP(F11,'05_Master KPI'!$B$5:$G$100,3,FALSE)&amp;")","")</f>
        <v>Penagihan Piutang (%)</v>
      </c>
      <c r="H11" s="9">
        <f>IFERROR(IF(B11&lt;&gt;'06_Target KPI'!$B$3,0,IF(VLOOKUP(F11,'05_Master KPI'!$B$5:$G$100,6,FALSE)="Kumulatif",INDEX('06_Target KPI'!$E$5:$P$100,MATCH(F11,'06_Target KPI'!$B$5:$B$100,0),MATCH(A11,'06_Target KPI'!$E$4:$P$4,0))*DAY(C11)/DAY(EOMONTH(C11,0)),INDEX('06_Target KPI'!$E$5:$P$100,MATCH(F11,'06_Target KPI'!$B$5:$B$100,0),MATCH(A11,'06_Target KPI'!$E$4:$P$4,0)))),0)</f>
        <v>95</v>
      </c>
      <c r="I11" s="20">
        <v>74.3</v>
      </c>
      <c r="J11" s="22">
        <f>IFERROR(MIN(IF(VLOOKUP(F11,'05_Master KPI'!$B$5:$G$100,5,FALSE)="Lower",H11/I11,I11/H11),1),0)</f>
        <v>0.78210526315789475</v>
      </c>
      <c r="K11" s="9">
        <f>IFERROR(VLOOKUP(F11,'05_Master KPI'!$B$5:$G$100,4,FALSE),0)</f>
        <v>25</v>
      </c>
      <c r="L11" s="23">
        <f t="shared" si="0"/>
        <v>19.55263157894737</v>
      </c>
      <c r="M11" s="9" t="str">
        <f>IF(D11="","",IF(J11&gt;='13_Setting'!$H$7,"Tercapai",IF(J11&gt;='13_Setting'!$H$6,"On Track","Tertinggal")))</f>
        <v>Tertinggal</v>
      </c>
      <c r="N11" s="20" t="s">
        <v>211</v>
      </c>
      <c r="O11" s="1"/>
      <c r="P11" s="1"/>
      <c r="Q11" s="1"/>
      <c r="R11" s="1"/>
      <c r="S11" s="1"/>
      <c r="T11" s="1"/>
      <c r="U11" s="1"/>
      <c r="V11" s="1"/>
      <c r="W11" s="1"/>
      <c r="X11" s="1"/>
      <c r="Y11" s="1"/>
      <c r="Z11" s="1"/>
    </row>
    <row r="12" spans="1:26">
      <c r="A12" s="20" t="s">
        <v>193</v>
      </c>
      <c r="B12" s="20">
        <v>2026</v>
      </c>
      <c r="C12" s="21">
        <v>46081</v>
      </c>
      <c r="D12" s="20" t="s">
        <v>104</v>
      </c>
      <c r="E12" s="9" t="str">
        <f>IFERROR(VLOOKUP(D12,'04_Master Karyawan'!$A$5:$F$50,2,FALSE),"")</f>
        <v>Finance Staff (Ganti Nama)</v>
      </c>
      <c r="F12" s="20" t="s">
        <v>186</v>
      </c>
      <c r="G12" s="9" t="str">
        <f>IFERROR(VLOOKUP(F12,'05_Master KPI'!$B$5:$G$100,2,FALSE)&amp;" ("&amp;VLOOKUP(F12,'05_Master KPI'!$B$5:$G$100,3,FALSE)&amp;")","")</f>
        <v>Akurasi Biaya (%)</v>
      </c>
      <c r="H12" s="9">
        <f>IFERROR(IF(B12&lt;&gt;'06_Target KPI'!$B$3,0,IF(VLOOKUP(F12,'05_Master KPI'!$B$5:$G$100,6,FALSE)="Kumulatif",INDEX('06_Target KPI'!$E$5:$P$100,MATCH(F12,'06_Target KPI'!$B$5:$B$100,0),MATCH(A12,'06_Target KPI'!$E$4:$P$4,0))*DAY(C12)/DAY(EOMONTH(C12,0)),INDEX('06_Target KPI'!$E$5:$P$100,MATCH(F12,'06_Target KPI'!$B$5:$B$100,0),MATCH(A12,'06_Target KPI'!$E$4:$P$4,0)))),0)</f>
        <v>99</v>
      </c>
      <c r="I12" s="20">
        <v>77.5</v>
      </c>
      <c r="J12" s="22">
        <f>IFERROR(MIN(IF(VLOOKUP(F12,'05_Master KPI'!$B$5:$G$100,5,FALSE)="Lower",H12/I12,I12/H12),1),0)</f>
        <v>0.78282828282828287</v>
      </c>
      <c r="K12" s="9">
        <f>IFERROR(VLOOKUP(F12,'05_Master KPI'!$B$5:$G$100,4,FALSE),0)</f>
        <v>25</v>
      </c>
      <c r="L12" s="23">
        <f t="shared" si="0"/>
        <v>19.570707070707073</v>
      </c>
      <c r="M12" s="9" t="str">
        <f>IF(D12="","",IF(J12&gt;='13_Setting'!$H$7,"Tercapai",IF(J12&gt;='13_Setting'!$H$6,"On Track","Tertinggal")))</f>
        <v>Tertinggal</v>
      </c>
      <c r="N12" s="20" t="s">
        <v>211</v>
      </c>
      <c r="O12" s="1"/>
      <c r="P12" s="1"/>
      <c r="Q12" s="1"/>
      <c r="R12" s="1"/>
      <c r="S12" s="1"/>
      <c r="T12" s="1"/>
      <c r="U12" s="1"/>
      <c r="V12" s="1"/>
      <c r="W12" s="1"/>
      <c r="X12" s="1"/>
      <c r="Y12" s="1"/>
      <c r="Z12" s="1"/>
    </row>
    <row r="13" spans="1:26">
      <c r="A13" s="20" t="s">
        <v>194</v>
      </c>
      <c r="B13" s="20">
        <v>2026</v>
      </c>
      <c r="C13" s="21">
        <v>46112</v>
      </c>
      <c r="D13" s="20" t="s">
        <v>104</v>
      </c>
      <c r="E13" s="9" t="str">
        <f>IFERROR(VLOOKUP(D13,'04_Master Karyawan'!$A$5:$F$50,2,FALSE),"")</f>
        <v>Finance Staff (Ganti Nama)</v>
      </c>
      <c r="F13" s="20" t="s">
        <v>180</v>
      </c>
      <c r="G13" s="9" t="str">
        <f>IFERROR(VLOOKUP(F13,'05_Master KPI'!$B$5:$G$100,2,FALSE)&amp;" ("&amp;VLOOKUP(F13,'05_Master KPI'!$B$5:$G$100,3,FALSE)&amp;")","")</f>
        <v>Laporan Tepat Waktu (%)</v>
      </c>
      <c r="H13" s="9">
        <f>IFERROR(IF(B13&lt;&gt;'06_Target KPI'!$B$3,0,IF(VLOOKUP(F13,'05_Master KPI'!$B$5:$G$100,6,FALSE)="Kumulatif",INDEX('06_Target KPI'!$E$5:$P$100,MATCH(F13,'06_Target KPI'!$B$5:$B$100,0),MATCH(A13,'06_Target KPI'!$E$4:$P$4,0))*DAY(C13)/DAY(EOMONTH(C13,0)),INDEX('06_Target KPI'!$E$5:$P$100,MATCH(F13,'06_Target KPI'!$B$5:$B$100,0),MATCH(A13,'06_Target KPI'!$E$4:$P$4,0)))),0)</f>
        <v>100</v>
      </c>
      <c r="I13" s="20">
        <v>80.3</v>
      </c>
      <c r="J13" s="22">
        <f>IFERROR(MIN(IF(VLOOKUP(F13,'05_Master KPI'!$B$5:$G$100,5,FALSE)="Lower",H13/I13,I13/H13),1),0)</f>
        <v>0.80299999999999994</v>
      </c>
      <c r="K13" s="9">
        <f>IFERROR(VLOOKUP(F13,'05_Master KPI'!$B$5:$G$100,4,FALSE),0)</f>
        <v>25</v>
      </c>
      <c r="L13" s="23">
        <f t="shared" si="0"/>
        <v>20.074999999999999</v>
      </c>
      <c r="M13" s="9" t="str">
        <f>IF(D13="","",IF(J13&gt;='13_Setting'!$H$7,"Tercapai",IF(J13&gt;='13_Setting'!$H$6,"On Track","Tertinggal")))</f>
        <v>Tertinggal</v>
      </c>
      <c r="N13" s="20" t="s">
        <v>211</v>
      </c>
      <c r="O13" s="1"/>
      <c r="P13" s="1"/>
      <c r="Q13" s="1"/>
      <c r="R13" s="1"/>
      <c r="S13" s="1"/>
      <c r="T13" s="1"/>
      <c r="U13" s="1"/>
      <c r="V13" s="1"/>
      <c r="W13" s="1"/>
      <c r="X13" s="1"/>
      <c r="Y13" s="1"/>
      <c r="Z13" s="1"/>
    </row>
    <row r="14" spans="1:26">
      <c r="A14" s="20" t="s">
        <v>194</v>
      </c>
      <c r="B14" s="20">
        <v>2026</v>
      </c>
      <c r="C14" s="21">
        <v>46112</v>
      </c>
      <c r="D14" s="20" t="s">
        <v>104</v>
      </c>
      <c r="E14" s="9" t="str">
        <f>IFERROR(VLOOKUP(D14,'04_Master Karyawan'!$A$5:$F$50,2,FALSE),"")</f>
        <v>Finance Staff (Ganti Nama)</v>
      </c>
      <c r="F14" s="20" t="s">
        <v>182</v>
      </c>
      <c r="G14" s="9" t="str">
        <f>IFERROR(VLOOKUP(F14,'05_Master KPI'!$B$5:$G$100,2,FALSE)&amp;" ("&amp;VLOOKUP(F14,'05_Master KPI'!$B$5:$G$100,3,FALSE)&amp;")","")</f>
        <v>Deviasi Cashflow (%)</v>
      </c>
      <c r="H14" s="9">
        <f>IFERROR(IF(B14&lt;&gt;'06_Target KPI'!$B$3,0,IF(VLOOKUP(F14,'05_Master KPI'!$B$5:$G$100,6,FALSE)="Kumulatif",INDEX('06_Target KPI'!$E$5:$P$100,MATCH(F14,'06_Target KPI'!$B$5:$B$100,0),MATCH(A14,'06_Target KPI'!$E$4:$P$4,0))*DAY(C14)/DAY(EOMONTH(C14,0)),INDEX('06_Target KPI'!$E$5:$P$100,MATCH(F14,'06_Target KPI'!$B$5:$B$100,0),MATCH(A14,'06_Target KPI'!$E$4:$P$4,0)))),0)</f>
        <v>5</v>
      </c>
      <c r="I14" s="20">
        <v>6.2</v>
      </c>
      <c r="J14" s="22">
        <f>IFERROR(MIN(IF(VLOOKUP(F14,'05_Master KPI'!$B$5:$G$100,5,FALSE)="Lower",H14/I14,I14/H14),1),0)</f>
        <v>0.80645161290322576</v>
      </c>
      <c r="K14" s="9">
        <f>IFERROR(VLOOKUP(F14,'05_Master KPI'!$B$5:$G$100,4,FALSE),0)</f>
        <v>25</v>
      </c>
      <c r="L14" s="23">
        <f t="shared" si="0"/>
        <v>20.161290322580644</v>
      </c>
      <c r="M14" s="9" t="str">
        <f>IF(D14="","",IF(J14&gt;='13_Setting'!$H$7,"Tercapai",IF(J14&gt;='13_Setting'!$H$6,"On Track","Tertinggal")))</f>
        <v>Tertinggal</v>
      </c>
      <c r="N14" s="20" t="s">
        <v>211</v>
      </c>
      <c r="O14" s="1"/>
      <c r="P14" s="1"/>
      <c r="Q14" s="1"/>
      <c r="R14" s="1"/>
      <c r="S14" s="1"/>
      <c r="T14" s="1"/>
      <c r="U14" s="1"/>
      <c r="V14" s="1"/>
      <c r="W14" s="1"/>
      <c r="X14" s="1"/>
      <c r="Y14" s="1"/>
      <c r="Z14" s="1"/>
    </row>
    <row r="15" spans="1:26">
      <c r="A15" s="20" t="s">
        <v>194</v>
      </c>
      <c r="B15" s="20">
        <v>2026</v>
      </c>
      <c r="C15" s="21">
        <v>46112</v>
      </c>
      <c r="D15" s="20" t="s">
        <v>104</v>
      </c>
      <c r="E15" s="9" t="str">
        <f>IFERROR(VLOOKUP(D15,'04_Master Karyawan'!$A$5:$F$50,2,FALSE),"")</f>
        <v>Finance Staff (Ganti Nama)</v>
      </c>
      <c r="F15" s="20" t="s">
        <v>184</v>
      </c>
      <c r="G15" s="9" t="str">
        <f>IFERROR(VLOOKUP(F15,'05_Master KPI'!$B$5:$G$100,2,FALSE)&amp;" ("&amp;VLOOKUP(F15,'05_Master KPI'!$B$5:$G$100,3,FALSE)&amp;")","")</f>
        <v>Penagihan Piutang (%)</v>
      </c>
      <c r="H15" s="9">
        <f>IFERROR(IF(B15&lt;&gt;'06_Target KPI'!$B$3,0,IF(VLOOKUP(F15,'05_Master KPI'!$B$5:$G$100,6,FALSE)="Kumulatif",INDEX('06_Target KPI'!$E$5:$P$100,MATCH(F15,'06_Target KPI'!$B$5:$B$100,0),MATCH(A15,'06_Target KPI'!$E$4:$P$4,0))*DAY(C15)/DAY(EOMONTH(C15,0)),INDEX('06_Target KPI'!$E$5:$P$100,MATCH(F15,'06_Target KPI'!$B$5:$B$100,0),MATCH(A15,'06_Target KPI'!$E$4:$P$4,0)))),0)</f>
        <v>95</v>
      </c>
      <c r="I15" s="20">
        <v>76.2</v>
      </c>
      <c r="J15" s="22">
        <f>IFERROR(MIN(IF(VLOOKUP(F15,'05_Master KPI'!$B$5:$G$100,5,FALSE)="Lower",H15/I15,I15/H15),1),0)</f>
        <v>0.80210526315789477</v>
      </c>
      <c r="K15" s="9">
        <f>IFERROR(VLOOKUP(F15,'05_Master KPI'!$B$5:$G$100,4,FALSE),0)</f>
        <v>25</v>
      </c>
      <c r="L15" s="23">
        <f t="shared" si="0"/>
        <v>20.05263157894737</v>
      </c>
      <c r="M15" s="9" t="str">
        <f>IF(D15="","",IF(J15&gt;='13_Setting'!$H$7,"Tercapai",IF(J15&gt;='13_Setting'!$H$6,"On Track","Tertinggal")))</f>
        <v>Tertinggal</v>
      </c>
      <c r="N15" s="20" t="s">
        <v>211</v>
      </c>
      <c r="O15" s="1"/>
      <c r="P15" s="1"/>
      <c r="Q15" s="1"/>
      <c r="R15" s="1"/>
      <c r="S15" s="1"/>
      <c r="T15" s="1"/>
      <c r="U15" s="1"/>
      <c r="V15" s="1"/>
      <c r="W15" s="1"/>
      <c r="X15" s="1"/>
      <c r="Y15" s="1"/>
      <c r="Z15" s="1"/>
    </row>
    <row r="16" spans="1:26">
      <c r="A16" s="20" t="s">
        <v>194</v>
      </c>
      <c r="B16" s="20">
        <v>2026</v>
      </c>
      <c r="C16" s="21">
        <v>46112</v>
      </c>
      <c r="D16" s="20" t="s">
        <v>104</v>
      </c>
      <c r="E16" s="9" t="str">
        <f>IFERROR(VLOOKUP(D16,'04_Master Karyawan'!$A$5:$F$50,2,FALSE),"")</f>
        <v>Finance Staff (Ganti Nama)</v>
      </c>
      <c r="F16" s="20" t="s">
        <v>186</v>
      </c>
      <c r="G16" s="9" t="str">
        <f>IFERROR(VLOOKUP(F16,'05_Master KPI'!$B$5:$G$100,2,FALSE)&amp;" ("&amp;VLOOKUP(F16,'05_Master KPI'!$B$5:$G$100,3,FALSE)&amp;")","")</f>
        <v>Akurasi Biaya (%)</v>
      </c>
      <c r="H16" s="9">
        <f>IFERROR(IF(B16&lt;&gt;'06_Target KPI'!$B$3,0,IF(VLOOKUP(F16,'05_Master KPI'!$B$5:$G$100,6,FALSE)="Kumulatif",INDEX('06_Target KPI'!$E$5:$P$100,MATCH(F16,'06_Target KPI'!$B$5:$B$100,0),MATCH(A16,'06_Target KPI'!$E$4:$P$4,0))*DAY(C16)/DAY(EOMONTH(C16,0)),INDEX('06_Target KPI'!$E$5:$P$100,MATCH(F16,'06_Target KPI'!$B$5:$B$100,0),MATCH(A16,'06_Target KPI'!$E$4:$P$4,0)))),0)</f>
        <v>99</v>
      </c>
      <c r="I16" s="20">
        <v>79.400000000000006</v>
      </c>
      <c r="J16" s="22">
        <f>IFERROR(MIN(IF(VLOOKUP(F16,'05_Master KPI'!$B$5:$G$100,5,FALSE)="Lower",H16/I16,I16/H16),1),0)</f>
        <v>0.80202020202020208</v>
      </c>
      <c r="K16" s="9">
        <f>IFERROR(VLOOKUP(F16,'05_Master KPI'!$B$5:$G$100,4,FALSE),0)</f>
        <v>25</v>
      </c>
      <c r="L16" s="23">
        <f t="shared" si="0"/>
        <v>20.050505050505052</v>
      </c>
      <c r="M16" s="9" t="str">
        <f>IF(D16="","",IF(J16&gt;='13_Setting'!$H$7,"Tercapai",IF(J16&gt;='13_Setting'!$H$6,"On Track","Tertinggal")))</f>
        <v>Tertinggal</v>
      </c>
      <c r="N16" s="20" t="s">
        <v>211</v>
      </c>
      <c r="O16" s="1"/>
      <c r="P16" s="1"/>
      <c r="Q16" s="1"/>
      <c r="R16" s="1"/>
      <c r="S16" s="1"/>
      <c r="T16" s="1"/>
      <c r="U16" s="1"/>
      <c r="V16" s="1"/>
      <c r="W16" s="1"/>
      <c r="X16" s="1"/>
      <c r="Y16" s="1"/>
      <c r="Z16" s="1"/>
    </row>
    <row r="17" spans="1:26">
      <c r="A17" s="20" t="s">
        <v>195</v>
      </c>
      <c r="B17" s="20">
        <v>2026</v>
      </c>
      <c r="C17" s="21">
        <v>46142</v>
      </c>
      <c r="D17" s="20" t="s">
        <v>104</v>
      </c>
      <c r="E17" s="9" t="str">
        <f>IFERROR(VLOOKUP(D17,'04_Master Karyawan'!$A$5:$F$50,2,FALSE),"")</f>
        <v>Finance Staff (Ganti Nama)</v>
      </c>
      <c r="F17" s="20" t="s">
        <v>180</v>
      </c>
      <c r="G17" s="9" t="str">
        <f>IFERROR(VLOOKUP(F17,'05_Master KPI'!$B$5:$G$100,2,FALSE)&amp;" ("&amp;VLOOKUP(F17,'05_Master KPI'!$B$5:$G$100,3,FALSE)&amp;")","")</f>
        <v>Laporan Tepat Waktu (%)</v>
      </c>
      <c r="H17" s="9">
        <f>IFERROR(IF(B17&lt;&gt;'06_Target KPI'!$B$3,0,IF(VLOOKUP(F17,'05_Master KPI'!$B$5:$G$100,6,FALSE)="Kumulatif",INDEX('06_Target KPI'!$E$5:$P$100,MATCH(F17,'06_Target KPI'!$B$5:$B$100,0),MATCH(A17,'06_Target KPI'!$E$4:$P$4,0))*DAY(C17)/DAY(EOMONTH(C17,0)),INDEX('06_Target KPI'!$E$5:$P$100,MATCH(F17,'06_Target KPI'!$B$5:$B$100,0),MATCH(A17,'06_Target KPI'!$E$4:$P$4,0)))),0)</f>
        <v>100</v>
      </c>
      <c r="I17" s="20">
        <v>83.3</v>
      </c>
      <c r="J17" s="22">
        <f>IFERROR(MIN(IF(VLOOKUP(F17,'05_Master KPI'!$B$5:$G$100,5,FALSE)="Lower",H17/I17,I17/H17),1),0)</f>
        <v>0.83299999999999996</v>
      </c>
      <c r="K17" s="9">
        <f>IFERROR(VLOOKUP(F17,'05_Master KPI'!$B$5:$G$100,4,FALSE),0)</f>
        <v>25</v>
      </c>
      <c r="L17" s="23">
        <f t="shared" si="0"/>
        <v>20.824999999999999</v>
      </c>
      <c r="M17" s="9" t="str">
        <f>IF(D17="","",IF(J17&gt;='13_Setting'!$H$7,"Tercapai",IF(J17&gt;='13_Setting'!$H$6,"On Track","Tertinggal")))</f>
        <v>Tertinggal</v>
      </c>
      <c r="N17" s="20" t="s">
        <v>211</v>
      </c>
      <c r="O17" s="1"/>
      <c r="P17" s="1"/>
      <c r="Q17" s="1"/>
      <c r="R17" s="1"/>
      <c r="S17" s="1"/>
      <c r="T17" s="1"/>
      <c r="U17" s="1"/>
      <c r="V17" s="1"/>
      <c r="W17" s="1"/>
      <c r="X17" s="1"/>
      <c r="Y17" s="1"/>
      <c r="Z17" s="1"/>
    </row>
    <row r="18" spans="1:26">
      <c r="A18" s="20" t="s">
        <v>195</v>
      </c>
      <c r="B18" s="20">
        <v>2026</v>
      </c>
      <c r="C18" s="21">
        <v>46142</v>
      </c>
      <c r="D18" s="20" t="s">
        <v>104</v>
      </c>
      <c r="E18" s="9" t="str">
        <f>IFERROR(VLOOKUP(D18,'04_Master Karyawan'!$A$5:$F$50,2,FALSE),"")</f>
        <v>Finance Staff (Ganti Nama)</v>
      </c>
      <c r="F18" s="20" t="s">
        <v>182</v>
      </c>
      <c r="G18" s="9" t="str">
        <f>IFERROR(VLOOKUP(F18,'05_Master KPI'!$B$5:$G$100,2,FALSE)&amp;" ("&amp;VLOOKUP(F18,'05_Master KPI'!$B$5:$G$100,3,FALSE)&amp;")","")</f>
        <v>Deviasi Cashflow (%)</v>
      </c>
      <c r="H18" s="9">
        <f>IFERROR(IF(B18&lt;&gt;'06_Target KPI'!$B$3,0,IF(VLOOKUP(F18,'05_Master KPI'!$B$5:$G$100,6,FALSE)="Kumulatif",INDEX('06_Target KPI'!$E$5:$P$100,MATCH(F18,'06_Target KPI'!$B$5:$B$100,0),MATCH(A18,'06_Target KPI'!$E$4:$P$4,0))*DAY(C18)/DAY(EOMONTH(C18,0)),INDEX('06_Target KPI'!$E$5:$P$100,MATCH(F18,'06_Target KPI'!$B$5:$B$100,0),MATCH(A18,'06_Target KPI'!$E$4:$P$4,0)))),0)</f>
        <v>5</v>
      </c>
      <c r="I18" s="20">
        <v>6</v>
      </c>
      <c r="J18" s="22">
        <f>IFERROR(MIN(IF(VLOOKUP(F18,'05_Master KPI'!$B$5:$G$100,5,FALSE)="Lower",H18/I18,I18/H18),1),0)</f>
        <v>0.83333333333333337</v>
      </c>
      <c r="K18" s="9">
        <f>IFERROR(VLOOKUP(F18,'05_Master KPI'!$B$5:$G$100,4,FALSE),0)</f>
        <v>25</v>
      </c>
      <c r="L18" s="23">
        <f t="shared" si="0"/>
        <v>20.833333333333336</v>
      </c>
      <c r="M18" s="9" t="str">
        <f>IF(D18="","",IF(J18&gt;='13_Setting'!$H$7,"Tercapai",IF(J18&gt;='13_Setting'!$H$6,"On Track","Tertinggal")))</f>
        <v>Tertinggal</v>
      </c>
      <c r="N18" s="20" t="s">
        <v>211</v>
      </c>
      <c r="O18" s="1"/>
      <c r="P18" s="1"/>
      <c r="Q18" s="1"/>
      <c r="R18" s="1"/>
      <c r="S18" s="1"/>
      <c r="T18" s="1"/>
      <c r="U18" s="1"/>
      <c r="V18" s="1"/>
      <c r="W18" s="1"/>
      <c r="X18" s="1"/>
      <c r="Y18" s="1"/>
      <c r="Z18" s="1"/>
    </row>
    <row r="19" spans="1:26">
      <c r="A19" s="20" t="s">
        <v>195</v>
      </c>
      <c r="B19" s="20">
        <v>2026</v>
      </c>
      <c r="C19" s="21">
        <v>46142</v>
      </c>
      <c r="D19" s="20" t="s">
        <v>104</v>
      </c>
      <c r="E19" s="9" t="str">
        <f>IFERROR(VLOOKUP(D19,'04_Master Karyawan'!$A$5:$F$50,2,FALSE),"")</f>
        <v>Finance Staff (Ganti Nama)</v>
      </c>
      <c r="F19" s="20" t="s">
        <v>184</v>
      </c>
      <c r="G19" s="9" t="str">
        <f>IFERROR(VLOOKUP(F19,'05_Master KPI'!$B$5:$G$100,2,FALSE)&amp;" ("&amp;VLOOKUP(F19,'05_Master KPI'!$B$5:$G$100,3,FALSE)&amp;")","")</f>
        <v>Penagihan Piutang (%)</v>
      </c>
      <c r="H19" s="9">
        <f>IFERROR(IF(B19&lt;&gt;'06_Target KPI'!$B$3,0,IF(VLOOKUP(F19,'05_Master KPI'!$B$5:$G$100,6,FALSE)="Kumulatif",INDEX('06_Target KPI'!$E$5:$P$100,MATCH(F19,'06_Target KPI'!$B$5:$B$100,0),MATCH(A19,'06_Target KPI'!$E$4:$P$4,0))*DAY(C19)/DAY(EOMONTH(C19,0)),INDEX('06_Target KPI'!$E$5:$P$100,MATCH(F19,'06_Target KPI'!$B$5:$B$100,0),MATCH(A19,'06_Target KPI'!$E$4:$P$4,0)))),0)</f>
        <v>95</v>
      </c>
      <c r="I19" s="20">
        <v>79.099999999999994</v>
      </c>
      <c r="J19" s="22">
        <f>IFERROR(MIN(IF(VLOOKUP(F19,'05_Master KPI'!$B$5:$G$100,5,FALSE)="Lower",H19/I19,I19/H19),1),0)</f>
        <v>0.83263157894736839</v>
      </c>
      <c r="K19" s="9">
        <f>IFERROR(VLOOKUP(F19,'05_Master KPI'!$B$5:$G$100,4,FALSE),0)</f>
        <v>25</v>
      </c>
      <c r="L19" s="23">
        <f t="shared" si="0"/>
        <v>20.815789473684209</v>
      </c>
      <c r="M19" s="9" t="str">
        <f>IF(D19="","",IF(J19&gt;='13_Setting'!$H$7,"Tercapai",IF(J19&gt;='13_Setting'!$H$6,"On Track","Tertinggal")))</f>
        <v>Tertinggal</v>
      </c>
      <c r="N19" s="20" t="s">
        <v>211</v>
      </c>
      <c r="O19" s="1"/>
      <c r="P19" s="1"/>
      <c r="Q19" s="1"/>
      <c r="R19" s="1"/>
      <c r="S19" s="1"/>
      <c r="T19" s="1"/>
      <c r="U19" s="1"/>
      <c r="V19" s="1"/>
      <c r="W19" s="1"/>
      <c r="X19" s="1"/>
      <c r="Y19" s="1"/>
      <c r="Z19" s="1"/>
    </row>
    <row r="20" spans="1:26">
      <c r="A20" s="20" t="s">
        <v>195</v>
      </c>
      <c r="B20" s="20">
        <v>2026</v>
      </c>
      <c r="C20" s="21">
        <v>46142</v>
      </c>
      <c r="D20" s="20" t="s">
        <v>104</v>
      </c>
      <c r="E20" s="9" t="str">
        <f>IFERROR(VLOOKUP(D20,'04_Master Karyawan'!$A$5:$F$50,2,FALSE),"")</f>
        <v>Finance Staff (Ganti Nama)</v>
      </c>
      <c r="F20" s="20" t="s">
        <v>186</v>
      </c>
      <c r="G20" s="9" t="str">
        <f>IFERROR(VLOOKUP(F20,'05_Master KPI'!$B$5:$G$100,2,FALSE)&amp;" ("&amp;VLOOKUP(F20,'05_Master KPI'!$B$5:$G$100,3,FALSE)&amp;")","")</f>
        <v>Akurasi Biaya (%)</v>
      </c>
      <c r="H20" s="9">
        <f>IFERROR(IF(B20&lt;&gt;'06_Target KPI'!$B$3,0,IF(VLOOKUP(F20,'05_Master KPI'!$B$5:$G$100,6,FALSE)="Kumulatif",INDEX('06_Target KPI'!$E$5:$P$100,MATCH(F20,'06_Target KPI'!$B$5:$B$100,0),MATCH(A20,'06_Target KPI'!$E$4:$P$4,0))*DAY(C20)/DAY(EOMONTH(C20,0)),INDEX('06_Target KPI'!$E$5:$P$100,MATCH(F20,'06_Target KPI'!$B$5:$B$100,0),MATCH(A20,'06_Target KPI'!$E$4:$P$4,0)))),0)</f>
        <v>99</v>
      </c>
      <c r="I20" s="20">
        <v>82.4</v>
      </c>
      <c r="J20" s="22">
        <f>IFERROR(MIN(IF(VLOOKUP(F20,'05_Master KPI'!$B$5:$G$100,5,FALSE)="Lower",H20/I20,I20/H20),1),0)</f>
        <v>0.83232323232323235</v>
      </c>
      <c r="K20" s="9">
        <f>IFERROR(VLOOKUP(F20,'05_Master KPI'!$B$5:$G$100,4,FALSE),0)</f>
        <v>25</v>
      </c>
      <c r="L20" s="23">
        <f t="shared" si="0"/>
        <v>20.80808080808081</v>
      </c>
      <c r="M20" s="9" t="str">
        <f>IF(D20="","",IF(J20&gt;='13_Setting'!$H$7,"Tercapai",IF(J20&gt;='13_Setting'!$H$6,"On Track","Tertinggal")))</f>
        <v>Tertinggal</v>
      </c>
      <c r="N20" s="20" t="s">
        <v>211</v>
      </c>
      <c r="O20" s="1"/>
      <c r="P20" s="1"/>
      <c r="Q20" s="1"/>
      <c r="R20" s="1"/>
      <c r="S20" s="1"/>
      <c r="T20" s="1"/>
      <c r="U20" s="1"/>
      <c r="V20" s="1"/>
      <c r="W20" s="1"/>
      <c r="X20" s="1"/>
      <c r="Y20" s="1"/>
      <c r="Z20" s="1"/>
    </row>
    <row r="21" spans="1:26">
      <c r="A21" s="20" t="s">
        <v>40</v>
      </c>
      <c r="B21" s="20">
        <v>2026</v>
      </c>
      <c r="C21" s="21">
        <v>46173</v>
      </c>
      <c r="D21" s="20" t="s">
        <v>104</v>
      </c>
      <c r="E21" s="9" t="str">
        <f>IFERROR(VLOOKUP(D21,'04_Master Karyawan'!$A$5:$F$50,2,FALSE),"")</f>
        <v>Finance Staff (Ganti Nama)</v>
      </c>
      <c r="F21" s="20" t="s">
        <v>180</v>
      </c>
      <c r="G21" s="9" t="str">
        <f>IFERROR(VLOOKUP(F21,'05_Master KPI'!$B$5:$G$100,2,FALSE)&amp;" ("&amp;VLOOKUP(F21,'05_Master KPI'!$B$5:$G$100,3,FALSE)&amp;")","")</f>
        <v>Laporan Tepat Waktu (%)</v>
      </c>
      <c r="H21" s="9">
        <f>IFERROR(IF(B21&lt;&gt;'06_Target KPI'!$B$3,0,IF(VLOOKUP(F21,'05_Master KPI'!$B$5:$G$100,6,FALSE)="Kumulatif",INDEX('06_Target KPI'!$E$5:$P$100,MATCH(F21,'06_Target KPI'!$B$5:$B$100,0),MATCH(A21,'06_Target KPI'!$E$4:$P$4,0))*DAY(C21)/DAY(EOMONTH(C21,0)),INDEX('06_Target KPI'!$E$5:$P$100,MATCH(F21,'06_Target KPI'!$B$5:$B$100,0),MATCH(A21,'06_Target KPI'!$E$4:$P$4,0)))),0)</f>
        <v>100</v>
      </c>
      <c r="I21" s="20">
        <v>82.3</v>
      </c>
      <c r="J21" s="22">
        <f>IFERROR(MIN(IF(VLOOKUP(F21,'05_Master KPI'!$B$5:$G$100,5,FALSE)="Lower",H21/I21,I21/H21),1),0)</f>
        <v>0.82299999999999995</v>
      </c>
      <c r="K21" s="9">
        <f>IFERROR(VLOOKUP(F21,'05_Master KPI'!$B$5:$G$100,4,FALSE),0)</f>
        <v>25</v>
      </c>
      <c r="L21" s="23">
        <f t="shared" si="0"/>
        <v>20.574999999999999</v>
      </c>
      <c r="M21" s="9" t="str">
        <f>IF(D21="","",IF(J21&gt;='13_Setting'!$H$7,"Tercapai",IF(J21&gt;='13_Setting'!$H$6,"On Track","Tertinggal")))</f>
        <v>Tertinggal</v>
      </c>
      <c r="N21" s="20" t="s">
        <v>211</v>
      </c>
      <c r="O21" s="1"/>
      <c r="P21" s="1"/>
      <c r="Q21" s="1"/>
      <c r="R21" s="1"/>
      <c r="S21" s="1"/>
      <c r="T21" s="1"/>
      <c r="U21" s="1"/>
      <c r="V21" s="1"/>
      <c r="W21" s="1"/>
      <c r="X21" s="1"/>
      <c r="Y21" s="1"/>
      <c r="Z21" s="1"/>
    </row>
    <row r="22" spans="1:26">
      <c r="A22" s="20" t="s">
        <v>40</v>
      </c>
      <c r="B22" s="20">
        <v>2026</v>
      </c>
      <c r="C22" s="21">
        <v>46173</v>
      </c>
      <c r="D22" s="20" t="s">
        <v>104</v>
      </c>
      <c r="E22" s="9" t="str">
        <f>IFERROR(VLOOKUP(D22,'04_Master Karyawan'!$A$5:$F$50,2,FALSE),"")</f>
        <v>Finance Staff (Ganti Nama)</v>
      </c>
      <c r="F22" s="20" t="s">
        <v>182</v>
      </c>
      <c r="G22" s="9" t="str">
        <f>IFERROR(VLOOKUP(F22,'05_Master KPI'!$B$5:$G$100,2,FALSE)&amp;" ("&amp;VLOOKUP(F22,'05_Master KPI'!$B$5:$G$100,3,FALSE)&amp;")","")</f>
        <v>Deviasi Cashflow (%)</v>
      </c>
      <c r="H22" s="9">
        <f>IFERROR(IF(B22&lt;&gt;'06_Target KPI'!$B$3,0,IF(VLOOKUP(F22,'05_Master KPI'!$B$5:$G$100,6,FALSE)="Kumulatif",INDEX('06_Target KPI'!$E$5:$P$100,MATCH(F22,'06_Target KPI'!$B$5:$B$100,0),MATCH(A22,'06_Target KPI'!$E$4:$P$4,0))*DAY(C22)/DAY(EOMONTH(C22,0)),INDEX('06_Target KPI'!$E$5:$P$100,MATCH(F22,'06_Target KPI'!$B$5:$B$100,0),MATCH(A22,'06_Target KPI'!$E$4:$P$4,0)))),0)</f>
        <v>5</v>
      </c>
      <c r="I22" s="20">
        <v>6.1</v>
      </c>
      <c r="J22" s="22">
        <f>IFERROR(MIN(IF(VLOOKUP(F22,'05_Master KPI'!$B$5:$G$100,5,FALSE)="Lower",H22/I22,I22/H22),1),0)</f>
        <v>0.81967213114754101</v>
      </c>
      <c r="K22" s="9">
        <f>IFERROR(VLOOKUP(F22,'05_Master KPI'!$B$5:$G$100,4,FALSE),0)</f>
        <v>25</v>
      </c>
      <c r="L22" s="23">
        <f t="shared" si="0"/>
        <v>20.491803278688526</v>
      </c>
      <c r="M22" s="9" t="str">
        <f>IF(D22="","",IF(J22&gt;='13_Setting'!$H$7,"Tercapai",IF(J22&gt;='13_Setting'!$H$6,"On Track","Tertinggal")))</f>
        <v>Tertinggal</v>
      </c>
      <c r="N22" s="20" t="s">
        <v>211</v>
      </c>
      <c r="O22" s="1"/>
      <c r="P22" s="1"/>
      <c r="Q22" s="1"/>
      <c r="R22" s="1"/>
      <c r="S22" s="1"/>
      <c r="T22" s="1"/>
      <c r="U22" s="1"/>
      <c r="V22" s="1"/>
      <c r="W22" s="1"/>
      <c r="X22" s="1"/>
      <c r="Y22" s="1"/>
      <c r="Z22" s="1"/>
    </row>
    <row r="23" spans="1:26">
      <c r="A23" s="20" t="s">
        <v>40</v>
      </c>
      <c r="B23" s="20">
        <v>2026</v>
      </c>
      <c r="C23" s="21">
        <v>46173</v>
      </c>
      <c r="D23" s="20" t="s">
        <v>104</v>
      </c>
      <c r="E23" s="9" t="str">
        <f>IFERROR(VLOOKUP(D23,'04_Master Karyawan'!$A$5:$F$50,2,FALSE),"")</f>
        <v>Finance Staff (Ganti Nama)</v>
      </c>
      <c r="F23" s="20" t="s">
        <v>184</v>
      </c>
      <c r="G23" s="9" t="str">
        <f>IFERROR(VLOOKUP(F23,'05_Master KPI'!$B$5:$G$100,2,FALSE)&amp;" ("&amp;VLOOKUP(F23,'05_Master KPI'!$B$5:$G$100,3,FALSE)&amp;")","")</f>
        <v>Penagihan Piutang (%)</v>
      </c>
      <c r="H23" s="9">
        <f>IFERROR(IF(B23&lt;&gt;'06_Target KPI'!$B$3,0,IF(VLOOKUP(F23,'05_Master KPI'!$B$5:$G$100,6,FALSE)="Kumulatif",INDEX('06_Target KPI'!$E$5:$P$100,MATCH(F23,'06_Target KPI'!$B$5:$B$100,0),MATCH(A23,'06_Target KPI'!$E$4:$P$4,0))*DAY(C23)/DAY(EOMONTH(C23,0)),INDEX('06_Target KPI'!$E$5:$P$100,MATCH(F23,'06_Target KPI'!$B$5:$B$100,0),MATCH(A23,'06_Target KPI'!$E$4:$P$4,0)))),0)</f>
        <v>95</v>
      </c>
      <c r="I23" s="20">
        <v>78.099999999999994</v>
      </c>
      <c r="J23" s="22">
        <f>IFERROR(MIN(IF(VLOOKUP(F23,'05_Master KPI'!$B$5:$G$100,5,FALSE)="Lower",H23/I23,I23/H23),1),0)</f>
        <v>0.82210526315789467</v>
      </c>
      <c r="K23" s="9">
        <f>IFERROR(VLOOKUP(F23,'05_Master KPI'!$B$5:$G$100,4,FALSE),0)</f>
        <v>25</v>
      </c>
      <c r="L23" s="23">
        <f t="shared" si="0"/>
        <v>20.552631578947366</v>
      </c>
      <c r="M23" s="9" t="str">
        <f>IF(D23="","",IF(J23&gt;='13_Setting'!$H$7,"Tercapai",IF(J23&gt;='13_Setting'!$H$6,"On Track","Tertinggal")))</f>
        <v>Tertinggal</v>
      </c>
      <c r="N23" s="20" t="s">
        <v>211</v>
      </c>
      <c r="O23" s="1"/>
      <c r="P23" s="1"/>
      <c r="Q23" s="1"/>
      <c r="R23" s="1"/>
      <c r="S23" s="1"/>
      <c r="T23" s="1"/>
      <c r="U23" s="1"/>
      <c r="V23" s="1"/>
      <c r="W23" s="1"/>
      <c r="X23" s="1"/>
      <c r="Y23" s="1"/>
      <c r="Z23" s="1"/>
    </row>
    <row r="24" spans="1:26">
      <c r="A24" s="20" t="s">
        <v>40</v>
      </c>
      <c r="B24" s="20">
        <v>2026</v>
      </c>
      <c r="C24" s="21">
        <v>46173</v>
      </c>
      <c r="D24" s="20" t="s">
        <v>104</v>
      </c>
      <c r="E24" s="9" t="str">
        <f>IFERROR(VLOOKUP(D24,'04_Master Karyawan'!$A$5:$F$50,2,FALSE),"")</f>
        <v>Finance Staff (Ganti Nama)</v>
      </c>
      <c r="F24" s="20" t="s">
        <v>186</v>
      </c>
      <c r="G24" s="9" t="str">
        <f>IFERROR(VLOOKUP(F24,'05_Master KPI'!$B$5:$G$100,2,FALSE)&amp;" ("&amp;VLOOKUP(F24,'05_Master KPI'!$B$5:$G$100,3,FALSE)&amp;")","")</f>
        <v>Akurasi Biaya (%)</v>
      </c>
      <c r="H24" s="9">
        <f>IFERROR(IF(B24&lt;&gt;'06_Target KPI'!$B$3,0,IF(VLOOKUP(F24,'05_Master KPI'!$B$5:$G$100,6,FALSE)="Kumulatif",INDEX('06_Target KPI'!$E$5:$P$100,MATCH(F24,'06_Target KPI'!$B$5:$B$100,0),MATCH(A24,'06_Target KPI'!$E$4:$P$4,0))*DAY(C24)/DAY(EOMONTH(C24,0)),INDEX('06_Target KPI'!$E$5:$P$100,MATCH(F24,'06_Target KPI'!$B$5:$B$100,0),MATCH(A24,'06_Target KPI'!$E$4:$P$4,0)))),0)</f>
        <v>99</v>
      </c>
      <c r="I24" s="20">
        <v>81.400000000000006</v>
      </c>
      <c r="J24" s="22">
        <f>IFERROR(MIN(IF(VLOOKUP(F24,'05_Master KPI'!$B$5:$G$100,5,FALSE)="Lower",H24/I24,I24/H24),1),0)</f>
        <v>0.8222222222222223</v>
      </c>
      <c r="K24" s="9">
        <f>IFERROR(VLOOKUP(F24,'05_Master KPI'!$B$5:$G$100,4,FALSE),0)</f>
        <v>25</v>
      </c>
      <c r="L24" s="23">
        <f t="shared" si="0"/>
        <v>20.555555555555557</v>
      </c>
      <c r="M24" s="9" t="str">
        <f>IF(D24="","",IF(J24&gt;='13_Setting'!$H$7,"Tercapai",IF(J24&gt;='13_Setting'!$H$6,"On Track","Tertinggal")))</f>
        <v>Tertinggal</v>
      </c>
      <c r="N24" s="20" t="s">
        <v>211</v>
      </c>
      <c r="O24" s="1"/>
      <c r="P24" s="1"/>
      <c r="Q24" s="1"/>
      <c r="R24" s="1"/>
      <c r="S24" s="1"/>
      <c r="T24" s="1"/>
      <c r="U24" s="1"/>
      <c r="V24" s="1"/>
      <c r="W24" s="1"/>
      <c r="X24" s="1"/>
      <c r="Y24" s="1"/>
      <c r="Z24" s="1"/>
    </row>
    <row r="25" spans="1:26">
      <c r="A25" s="20" t="s">
        <v>196</v>
      </c>
      <c r="B25" s="20">
        <v>2026</v>
      </c>
      <c r="C25" s="21">
        <v>46203</v>
      </c>
      <c r="D25" s="20" t="s">
        <v>104</v>
      </c>
      <c r="E25" s="9" t="str">
        <f>IFERROR(VLOOKUP(D25,'04_Master Karyawan'!$A$5:$F$50,2,FALSE),"")</f>
        <v>Finance Staff (Ganti Nama)</v>
      </c>
      <c r="F25" s="20" t="s">
        <v>180</v>
      </c>
      <c r="G25" s="9" t="str">
        <f>IFERROR(VLOOKUP(F25,'05_Master KPI'!$B$5:$G$100,2,FALSE)&amp;" ("&amp;VLOOKUP(F25,'05_Master KPI'!$B$5:$G$100,3,FALSE)&amp;")","")</f>
        <v>Laporan Tepat Waktu (%)</v>
      </c>
      <c r="H25" s="9">
        <f>IFERROR(IF(B25&lt;&gt;'06_Target KPI'!$B$3,0,IF(VLOOKUP(F25,'05_Master KPI'!$B$5:$G$100,6,FALSE)="Kumulatif",INDEX('06_Target KPI'!$E$5:$P$100,MATCH(F25,'06_Target KPI'!$B$5:$B$100,0),MATCH(A25,'06_Target KPI'!$E$4:$P$4,0))*DAY(C25)/DAY(EOMONTH(C25,0)),INDEX('06_Target KPI'!$E$5:$P$100,MATCH(F25,'06_Target KPI'!$B$5:$B$100,0),MATCH(A25,'06_Target KPI'!$E$4:$P$4,0)))),0)</f>
        <v>100</v>
      </c>
      <c r="I25" s="20">
        <v>85.3</v>
      </c>
      <c r="J25" s="22">
        <f>IFERROR(MIN(IF(VLOOKUP(F25,'05_Master KPI'!$B$5:$G$100,5,FALSE)="Lower",H25/I25,I25/H25),1),0)</f>
        <v>0.85299999999999998</v>
      </c>
      <c r="K25" s="9">
        <f>IFERROR(VLOOKUP(F25,'05_Master KPI'!$B$5:$G$100,4,FALSE),0)</f>
        <v>25</v>
      </c>
      <c r="L25" s="23">
        <f t="shared" si="0"/>
        <v>21.324999999999999</v>
      </c>
      <c r="M25" s="9" t="str">
        <f>IF(D25="","",IF(J25&gt;='13_Setting'!$H$7,"Tercapai",IF(J25&gt;='13_Setting'!$H$6,"On Track","Tertinggal")))</f>
        <v>On Track</v>
      </c>
      <c r="N25" s="20" t="s">
        <v>211</v>
      </c>
      <c r="O25" s="1"/>
      <c r="P25" s="1"/>
      <c r="Q25" s="1"/>
      <c r="R25" s="1"/>
      <c r="S25" s="1"/>
      <c r="T25" s="1"/>
      <c r="U25" s="1"/>
      <c r="V25" s="1"/>
      <c r="W25" s="1"/>
      <c r="X25" s="1"/>
      <c r="Y25" s="1"/>
      <c r="Z25" s="1"/>
    </row>
    <row r="26" spans="1:26">
      <c r="A26" s="20" t="s">
        <v>196</v>
      </c>
      <c r="B26" s="20">
        <v>2026</v>
      </c>
      <c r="C26" s="21">
        <v>46203</v>
      </c>
      <c r="D26" s="20" t="s">
        <v>104</v>
      </c>
      <c r="E26" s="9" t="str">
        <f>IFERROR(VLOOKUP(D26,'04_Master Karyawan'!$A$5:$F$50,2,FALSE),"")</f>
        <v>Finance Staff (Ganti Nama)</v>
      </c>
      <c r="F26" s="20" t="s">
        <v>182</v>
      </c>
      <c r="G26" s="9" t="str">
        <f>IFERROR(VLOOKUP(F26,'05_Master KPI'!$B$5:$G$100,2,FALSE)&amp;" ("&amp;VLOOKUP(F26,'05_Master KPI'!$B$5:$G$100,3,FALSE)&amp;")","")</f>
        <v>Deviasi Cashflow (%)</v>
      </c>
      <c r="H26" s="9">
        <f>IFERROR(IF(B26&lt;&gt;'06_Target KPI'!$B$3,0,IF(VLOOKUP(F26,'05_Master KPI'!$B$5:$G$100,6,FALSE)="Kumulatif",INDEX('06_Target KPI'!$E$5:$P$100,MATCH(F26,'06_Target KPI'!$B$5:$B$100,0),MATCH(A26,'06_Target KPI'!$E$4:$P$4,0))*DAY(C26)/DAY(EOMONTH(C26,0)),INDEX('06_Target KPI'!$E$5:$P$100,MATCH(F26,'06_Target KPI'!$B$5:$B$100,0),MATCH(A26,'06_Target KPI'!$E$4:$P$4,0)))),0)</f>
        <v>5</v>
      </c>
      <c r="I26" s="20">
        <v>5.9</v>
      </c>
      <c r="J26" s="22">
        <f>IFERROR(MIN(IF(VLOOKUP(F26,'05_Master KPI'!$B$5:$G$100,5,FALSE)="Lower",H26/I26,I26/H26),1),0)</f>
        <v>0.84745762711864403</v>
      </c>
      <c r="K26" s="9">
        <f>IFERROR(VLOOKUP(F26,'05_Master KPI'!$B$5:$G$100,4,FALSE),0)</f>
        <v>25</v>
      </c>
      <c r="L26" s="23">
        <f t="shared" si="0"/>
        <v>21.1864406779661</v>
      </c>
      <c r="M26" s="9" t="str">
        <f>IF(D26="","",IF(J26&gt;='13_Setting'!$H$7,"Tercapai",IF(J26&gt;='13_Setting'!$H$6,"On Track","Tertinggal")))</f>
        <v>Tertinggal</v>
      </c>
      <c r="N26" s="20" t="s">
        <v>211</v>
      </c>
      <c r="O26" s="1"/>
      <c r="P26" s="1"/>
      <c r="Q26" s="1"/>
      <c r="R26" s="1"/>
      <c r="S26" s="1"/>
      <c r="T26" s="1"/>
      <c r="U26" s="1"/>
      <c r="V26" s="1"/>
      <c r="W26" s="1"/>
      <c r="X26" s="1"/>
      <c r="Y26" s="1"/>
      <c r="Z26" s="1"/>
    </row>
    <row r="27" spans="1:26">
      <c r="A27" s="20" t="s">
        <v>196</v>
      </c>
      <c r="B27" s="20">
        <v>2026</v>
      </c>
      <c r="C27" s="21">
        <v>46203</v>
      </c>
      <c r="D27" s="20" t="s">
        <v>104</v>
      </c>
      <c r="E27" s="9" t="str">
        <f>IFERROR(VLOOKUP(D27,'04_Master Karyawan'!$A$5:$F$50,2,FALSE),"")</f>
        <v>Finance Staff (Ganti Nama)</v>
      </c>
      <c r="F27" s="20" t="s">
        <v>184</v>
      </c>
      <c r="G27" s="9" t="str">
        <f>IFERROR(VLOOKUP(F27,'05_Master KPI'!$B$5:$G$100,2,FALSE)&amp;" ("&amp;VLOOKUP(F27,'05_Master KPI'!$B$5:$G$100,3,FALSE)&amp;")","")</f>
        <v>Penagihan Piutang (%)</v>
      </c>
      <c r="H27" s="9">
        <f>IFERROR(IF(B27&lt;&gt;'06_Target KPI'!$B$3,0,IF(VLOOKUP(F27,'05_Master KPI'!$B$5:$G$100,6,FALSE)="Kumulatif",INDEX('06_Target KPI'!$E$5:$P$100,MATCH(F27,'06_Target KPI'!$B$5:$B$100,0),MATCH(A27,'06_Target KPI'!$E$4:$P$4,0))*DAY(C27)/DAY(EOMONTH(C27,0)),INDEX('06_Target KPI'!$E$5:$P$100,MATCH(F27,'06_Target KPI'!$B$5:$B$100,0),MATCH(A27,'06_Target KPI'!$E$4:$P$4,0)))),0)</f>
        <v>95</v>
      </c>
      <c r="I27" s="20">
        <v>81</v>
      </c>
      <c r="J27" s="22">
        <f>IFERROR(MIN(IF(VLOOKUP(F27,'05_Master KPI'!$B$5:$G$100,5,FALSE)="Lower",H27/I27,I27/H27),1),0)</f>
        <v>0.85263157894736841</v>
      </c>
      <c r="K27" s="9">
        <f>IFERROR(VLOOKUP(F27,'05_Master KPI'!$B$5:$G$100,4,FALSE),0)</f>
        <v>25</v>
      </c>
      <c r="L27" s="23">
        <f t="shared" si="0"/>
        <v>21.315789473684209</v>
      </c>
      <c r="M27" s="9" t="str">
        <f>IF(D27="","",IF(J27&gt;='13_Setting'!$H$7,"Tercapai",IF(J27&gt;='13_Setting'!$H$6,"On Track","Tertinggal")))</f>
        <v>On Track</v>
      </c>
      <c r="N27" s="20" t="s">
        <v>211</v>
      </c>
      <c r="O27" s="1"/>
      <c r="P27" s="1"/>
      <c r="Q27" s="1"/>
      <c r="R27" s="1"/>
      <c r="S27" s="1"/>
      <c r="T27" s="1"/>
      <c r="U27" s="1"/>
      <c r="V27" s="1"/>
      <c r="W27" s="1"/>
      <c r="X27" s="1"/>
      <c r="Y27" s="1"/>
      <c r="Z27" s="1"/>
    </row>
    <row r="28" spans="1:26">
      <c r="A28" s="20" t="s">
        <v>196</v>
      </c>
      <c r="B28" s="20">
        <v>2026</v>
      </c>
      <c r="C28" s="21">
        <v>46203</v>
      </c>
      <c r="D28" s="20" t="s">
        <v>104</v>
      </c>
      <c r="E28" s="9" t="str">
        <f>IFERROR(VLOOKUP(D28,'04_Master Karyawan'!$A$5:$F$50,2,FALSE),"")</f>
        <v>Finance Staff (Ganti Nama)</v>
      </c>
      <c r="F28" s="20" t="s">
        <v>186</v>
      </c>
      <c r="G28" s="9" t="str">
        <f>IFERROR(VLOOKUP(F28,'05_Master KPI'!$B$5:$G$100,2,FALSE)&amp;" ("&amp;VLOOKUP(F28,'05_Master KPI'!$B$5:$G$100,3,FALSE)&amp;")","")</f>
        <v>Akurasi Biaya (%)</v>
      </c>
      <c r="H28" s="9">
        <f>IFERROR(IF(B28&lt;&gt;'06_Target KPI'!$B$3,0,IF(VLOOKUP(F28,'05_Master KPI'!$B$5:$G$100,6,FALSE)="Kumulatif",INDEX('06_Target KPI'!$E$5:$P$100,MATCH(F28,'06_Target KPI'!$B$5:$B$100,0),MATCH(A28,'06_Target KPI'!$E$4:$P$4,0))*DAY(C28)/DAY(EOMONTH(C28,0)),INDEX('06_Target KPI'!$E$5:$P$100,MATCH(F28,'06_Target KPI'!$B$5:$B$100,0),MATCH(A28,'06_Target KPI'!$E$4:$P$4,0)))),0)</f>
        <v>99</v>
      </c>
      <c r="I28" s="20">
        <v>84.4</v>
      </c>
      <c r="J28" s="22">
        <f>IFERROR(MIN(IF(VLOOKUP(F28,'05_Master KPI'!$B$5:$G$100,5,FALSE)="Lower",H28/I28,I28/H28),1),0)</f>
        <v>0.85252525252525257</v>
      </c>
      <c r="K28" s="9">
        <f>IFERROR(VLOOKUP(F28,'05_Master KPI'!$B$5:$G$100,4,FALSE),0)</f>
        <v>25</v>
      </c>
      <c r="L28" s="23">
        <f t="shared" si="0"/>
        <v>21.313131313131315</v>
      </c>
      <c r="M28" s="9" t="str">
        <f>IF(D28="","",IF(J28&gt;='13_Setting'!$H$7,"Tercapai",IF(J28&gt;='13_Setting'!$H$6,"On Track","Tertinggal")))</f>
        <v>On Track</v>
      </c>
      <c r="N28" s="20" t="s">
        <v>211</v>
      </c>
      <c r="O28" s="1"/>
      <c r="P28" s="1"/>
      <c r="Q28" s="1"/>
      <c r="R28" s="1"/>
      <c r="S28" s="1"/>
      <c r="T28" s="1"/>
      <c r="U28" s="1"/>
      <c r="V28" s="1"/>
      <c r="W28" s="1"/>
      <c r="X28" s="1"/>
      <c r="Y28" s="1"/>
      <c r="Z28" s="1"/>
    </row>
    <row r="29" spans="1:26">
      <c r="A29" s="20" t="s">
        <v>197</v>
      </c>
      <c r="B29" s="20">
        <v>2026</v>
      </c>
      <c r="C29" s="21">
        <v>46234</v>
      </c>
      <c r="D29" s="20" t="s">
        <v>104</v>
      </c>
      <c r="E29" s="9" t="str">
        <f>IFERROR(VLOOKUP(D29,'04_Master Karyawan'!$A$5:$F$50,2,FALSE),"")</f>
        <v>Finance Staff (Ganti Nama)</v>
      </c>
      <c r="F29" s="20" t="s">
        <v>180</v>
      </c>
      <c r="G29" s="9" t="str">
        <f>IFERROR(VLOOKUP(F29,'05_Master KPI'!$B$5:$G$100,2,FALSE)&amp;" ("&amp;VLOOKUP(F29,'05_Master KPI'!$B$5:$G$100,3,FALSE)&amp;")","")</f>
        <v>Laporan Tepat Waktu (%)</v>
      </c>
      <c r="H29" s="9">
        <f>IFERROR(IF(B29&lt;&gt;'06_Target KPI'!$B$3,0,IF(VLOOKUP(F29,'05_Master KPI'!$B$5:$G$100,6,FALSE)="Kumulatif",INDEX('06_Target KPI'!$E$5:$P$100,MATCH(F29,'06_Target KPI'!$B$5:$B$100,0),MATCH(A29,'06_Target KPI'!$E$4:$P$4,0))*DAY(C29)/DAY(EOMONTH(C29,0)),INDEX('06_Target KPI'!$E$5:$P$100,MATCH(F29,'06_Target KPI'!$B$5:$B$100,0),MATCH(A29,'06_Target KPI'!$E$4:$P$4,0)))),0)</f>
        <v>100</v>
      </c>
      <c r="I29" s="20">
        <v>87.3</v>
      </c>
      <c r="J29" s="22">
        <f>IFERROR(MIN(IF(VLOOKUP(F29,'05_Master KPI'!$B$5:$G$100,5,FALSE)="Lower",H29/I29,I29/H29),1),0)</f>
        <v>0.873</v>
      </c>
      <c r="K29" s="9">
        <f>IFERROR(VLOOKUP(F29,'05_Master KPI'!$B$5:$G$100,4,FALSE),0)</f>
        <v>25</v>
      </c>
      <c r="L29" s="23">
        <f t="shared" si="0"/>
        <v>21.824999999999999</v>
      </c>
      <c r="M29" s="9" t="str">
        <f>IF(D29="","",IF(J29&gt;='13_Setting'!$H$7,"Tercapai",IF(J29&gt;='13_Setting'!$H$6,"On Track","Tertinggal")))</f>
        <v>On Track</v>
      </c>
      <c r="N29" s="20" t="s">
        <v>211</v>
      </c>
      <c r="O29" s="1"/>
      <c r="P29" s="1"/>
      <c r="Q29" s="1"/>
      <c r="R29" s="1"/>
      <c r="S29" s="1"/>
      <c r="T29" s="1"/>
      <c r="U29" s="1"/>
      <c r="V29" s="1"/>
      <c r="W29" s="1"/>
      <c r="X29" s="1"/>
      <c r="Y29" s="1"/>
      <c r="Z29" s="1"/>
    </row>
    <row r="30" spans="1:26">
      <c r="A30" s="20" t="s">
        <v>197</v>
      </c>
      <c r="B30" s="20">
        <v>2026</v>
      </c>
      <c r="C30" s="21">
        <v>46234</v>
      </c>
      <c r="D30" s="20" t="s">
        <v>104</v>
      </c>
      <c r="E30" s="9" t="str">
        <f>IFERROR(VLOOKUP(D30,'04_Master Karyawan'!$A$5:$F$50,2,FALSE),"")</f>
        <v>Finance Staff (Ganti Nama)</v>
      </c>
      <c r="F30" s="20" t="s">
        <v>182</v>
      </c>
      <c r="G30" s="9" t="str">
        <f>IFERROR(VLOOKUP(F30,'05_Master KPI'!$B$5:$G$100,2,FALSE)&amp;" ("&amp;VLOOKUP(F30,'05_Master KPI'!$B$5:$G$100,3,FALSE)&amp;")","")</f>
        <v>Deviasi Cashflow (%)</v>
      </c>
      <c r="H30" s="9">
        <f>IFERROR(IF(B30&lt;&gt;'06_Target KPI'!$B$3,0,IF(VLOOKUP(F30,'05_Master KPI'!$B$5:$G$100,6,FALSE)="Kumulatif",INDEX('06_Target KPI'!$E$5:$P$100,MATCH(F30,'06_Target KPI'!$B$5:$B$100,0),MATCH(A30,'06_Target KPI'!$E$4:$P$4,0))*DAY(C30)/DAY(EOMONTH(C30,0)),INDEX('06_Target KPI'!$E$5:$P$100,MATCH(F30,'06_Target KPI'!$B$5:$B$100,0),MATCH(A30,'06_Target KPI'!$E$4:$P$4,0)))),0)</f>
        <v>5</v>
      </c>
      <c r="I30" s="20">
        <v>5.7</v>
      </c>
      <c r="J30" s="22">
        <f>IFERROR(MIN(IF(VLOOKUP(F30,'05_Master KPI'!$B$5:$G$100,5,FALSE)="Lower",H30/I30,I30/H30),1),0)</f>
        <v>0.8771929824561403</v>
      </c>
      <c r="K30" s="9">
        <f>IFERROR(VLOOKUP(F30,'05_Master KPI'!$B$5:$G$100,4,FALSE),0)</f>
        <v>25</v>
      </c>
      <c r="L30" s="23">
        <f t="shared" si="0"/>
        <v>21.929824561403507</v>
      </c>
      <c r="M30" s="9" t="str">
        <f>IF(D30="","",IF(J30&gt;='13_Setting'!$H$7,"Tercapai",IF(J30&gt;='13_Setting'!$H$6,"On Track","Tertinggal")))</f>
        <v>On Track</v>
      </c>
      <c r="N30" s="20" t="s">
        <v>211</v>
      </c>
      <c r="O30" s="1"/>
      <c r="P30" s="1"/>
      <c r="Q30" s="1"/>
      <c r="R30" s="1"/>
      <c r="S30" s="1"/>
      <c r="T30" s="1"/>
      <c r="U30" s="1"/>
      <c r="V30" s="1"/>
      <c r="W30" s="1"/>
      <c r="X30" s="1"/>
      <c r="Y30" s="1"/>
      <c r="Z30" s="1"/>
    </row>
    <row r="31" spans="1:26">
      <c r="A31" s="20" t="s">
        <v>197</v>
      </c>
      <c r="B31" s="20">
        <v>2026</v>
      </c>
      <c r="C31" s="21">
        <v>46234</v>
      </c>
      <c r="D31" s="20" t="s">
        <v>104</v>
      </c>
      <c r="E31" s="9" t="str">
        <f>IFERROR(VLOOKUP(D31,'04_Master Karyawan'!$A$5:$F$50,2,FALSE),"")</f>
        <v>Finance Staff (Ganti Nama)</v>
      </c>
      <c r="F31" s="20" t="s">
        <v>184</v>
      </c>
      <c r="G31" s="9" t="str">
        <f>IFERROR(VLOOKUP(F31,'05_Master KPI'!$B$5:$G$100,2,FALSE)&amp;" ("&amp;VLOOKUP(F31,'05_Master KPI'!$B$5:$G$100,3,FALSE)&amp;")","")</f>
        <v>Penagihan Piutang (%)</v>
      </c>
      <c r="H31" s="9">
        <f>IFERROR(IF(B31&lt;&gt;'06_Target KPI'!$B$3,0,IF(VLOOKUP(F31,'05_Master KPI'!$B$5:$G$100,6,FALSE)="Kumulatif",INDEX('06_Target KPI'!$E$5:$P$100,MATCH(F31,'06_Target KPI'!$B$5:$B$100,0),MATCH(A31,'06_Target KPI'!$E$4:$P$4,0))*DAY(C31)/DAY(EOMONTH(C31,0)),INDEX('06_Target KPI'!$E$5:$P$100,MATCH(F31,'06_Target KPI'!$B$5:$B$100,0),MATCH(A31,'06_Target KPI'!$E$4:$P$4,0)))),0)</f>
        <v>95</v>
      </c>
      <c r="I31" s="20">
        <v>82.9</v>
      </c>
      <c r="J31" s="22">
        <f>IFERROR(MIN(IF(VLOOKUP(F31,'05_Master KPI'!$B$5:$G$100,5,FALSE)="Lower",H31/I31,I31/H31),1),0)</f>
        <v>0.87263157894736854</v>
      </c>
      <c r="K31" s="9">
        <f>IFERROR(VLOOKUP(F31,'05_Master KPI'!$B$5:$G$100,4,FALSE),0)</f>
        <v>25</v>
      </c>
      <c r="L31" s="23">
        <f t="shared" si="0"/>
        <v>21.815789473684212</v>
      </c>
      <c r="M31" s="9" t="str">
        <f>IF(D31="","",IF(J31&gt;='13_Setting'!$H$7,"Tercapai",IF(J31&gt;='13_Setting'!$H$6,"On Track","Tertinggal")))</f>
        <v>On Track</v>
      </c>
      <c r="N31" s="20" t="s">
        <v>211</v>
      </c>
      <c r="O31" s="1"/>
      <c r="P31" s="1"/>
      <c r="Q31" s="1"/>
      <c r="R31" s="1"/>
      <c r="S31" s="1"/>
      <c r="T31" s="1"/>
      <c r="U31" s="1"/>
      <c r="V31" s="1"/>
      <c r="W31" s="1"/>
      <c r="X31" s="1"/>
      <c r="Y31" s="1"/>
      <c r="Z31" s="1"/>
    </row>
    <row r="32" spans="1:26">
      <c r="A32" s="20" t="s">
        <v>197</v>
      </c>
      <c r="B32" s="20">
        <v>2026</v>
      </c>
      <c r="C32" s="21">
        <v>46234</v>
      </c>
      <c r="D32" s="20" t="s">
        <v>104</v>
      </c>
      <c r="E32" s="9" t="str">
        <f>IFERROR(VLOOKUP(D32,'04_Master Karyawan'!$A$5:$F$50,2,FALSE),"")</f>
        <v>Finance Staff (Ganti Nama)</v>
      </c>
      <c r="F32" s="20" t="s">
        <v>186</v>
      </c>
      <c r="G32" s="9" t="str">
        <f>IFERROR(VLOOKUP(F32,'05_Master KPI'!$B$5:$G$100,2,FALSE)&amp;" ("&amp;VLOOKUP(F32,'05_Master KPI'!$B$5:$G$100,3,FALSE)&amp;")","")</f>
        <v>Akurasi Biaya (%)</v>
      </c>
      <c r="H32" s="9">
        <f>IFERROR(IF(B32&lt;&gt;'06_Target KPI'!$B$3,0,IF(VLOOKUP(F32,'05_Master KPI'!$B$5:$G$100,6,FALSE)="Kumulatif",INDEX('06_Target KPI'!$E$5:$P$100,MATCH(F32,'06_Target KPI'!$B$5:$B$100,0),MATCH(A32,'06_Target KPI'!$E$4:$P$4,0))*DAY(C32)/DAY(EOMONTH(C32,0)),INDEX('06_Target KPI'!$E$5:$P$100,MATCH(F32,'06_Target KPI'!$B$5:$B$100,0),MATCH(A32,'06_Target KPI'!$E$4:$P$4,0)))),0)</f>
        <v>99</v>
      </c>
      <c r="I32" s="20">
        <v>86.4</v>
      </c>
      <c r="J32" s="22">
        <f>IFERROR(MIN(IF(VLOOKUP(F32,'05_Master KPI'!$B$5:$G$100,5,FALSE)="Lower",H32/I32,I32/H32),1),0)</f>
        <v>0.8727272727272728</v>
      </c>
      <c r="K32" s="9">
        <f>IFERROR(VLOOKUP(F32,'05_Master KPI'!$B$5:$G$100,4,FALSE),0)</f>
        <v>25</v>
      </c>
      <c r="L32" s="23">
        <f t="shared" si="0"/>
        <v>21.81818181818182</v>
      </c>
      <c r="M32" s="9" t="str">
        <f>IF(D32="","",IF(J32&gt;='13_Setting'!$H$7,"Tercapai",IF(J32&gt;='13_Setting'!$H$6,"On Track","Tertinggal")))</f>
        <v>On Track</v>
      </c>
      <c r="N32" s="20" t="s">
        <v>211</v>
      </c>
      <c r="O32" s="1"/>
      <c r="P32" s="1"/>
      <c r="Q32" s="1"/>
      <c r="R32" s="1"/>
      <c r="S32" s="1"/>
      <c r="T32" s="1"/>
      <c r="U32" s="1"/>
      <c r="V32" s="1"/>
      <c r="W32" s="1"/>
      <c r="X32" s="1"/>
      <c r="Y32" s="1"/>
      <c r="Z32" s="1"/>
    </row>
    <row r="33" spans="1:26">
      <c r="A33" s="20" t="s">
        <v>3</v>
      </c>
      <c r="B33" s="20">
        <v>2026</v>
      </c>
      <c r="C33" s="21">
        <v>46239</v>
      </c>
      <c r="D33" s="20" t="s">
        <v>104</v>
      </c>
      <c r="E33" s="9" t="str">
        <f>IFERROR(VLOOKUP(D33,'04_Master Karyawan'!$A$5:$F$50,2,FALSE),"")</f>
        <v>Finance Staff (Ganti Nama)</v>
      </c>
      <c r="F33" s="20" t="s">
        <v>180</v>
      </c>
      <c r="G33" s="9" t="str">
        <f>IFERROR(VLOOKUP(F33,'05_Master KPI'!$B$5:$G$100,2,FALSE)&amp;" ("&amp;VLOOKUP(F33,'05_Master KPI'!$B$5:$G$100,3,FALSE)&amp;")","")</f>
        <v>Laporan Tepat Waktu (%)</v>
      </c>
      <c r="H33" s="9">
        <f>IFERROR(IF(B33&lt;&gt;'06_Target KPI'!$B$3,0,IF(VLOOKUP(F33,'05_Master KPI'!$B$5:$G$100,6,FALSE)="Kumulatif",INDEX('06_Target KPI'!$E$5:$P$100,MATCH(F33,'06_Target KPI'!$B$5:$B$100,0),MATCH(A33,'06_Target KPI'!$E$4:$P$4,0))*DAY(C33)/DAY(EOMONTH(C33,0)),INDEX('06_Target KPI'!$E$5:$P$100,MATCH(F33,'06_Target KPI'!$B$5:$B$100,0),MATCH(A33,'06_Target KPI'!$E$4:$P$4,0)))),0)</f>
        <v>100</v>
      </c>
      <c r="I33" s="20">
        <v>84.3</v>
      </c>
      <c r="J33" s="22">
        <f>IFERROR(MIN(IF(VLOOKUP(F33,'05_Master KPI'!$B$5:$G$100,5,FALSE)="Lower",H33/I33,I33/H33),1),0)</f>
        <v>0.84299999999999997</v>
      </c>
      <c r="K33" s="9">
        <f>IFERROR(VLOOKUP(F33,'05_Master KPI'!$B$5:$G$100,4,FALSE),0)</f>
        <v>25</v>
      </c>
      <c r="L33" s="23">
        <f t="shared" si="0"/>
        <v>21.074999999999999</v>
      </c>
      <c r="M33" s="9" t="str">
        <f>IF(D33="","",IF(J33&gt;='13_Setting'!$H$7,"Tercapai",IF(J33&gt;='13_Setting'!$H$6,"On Track","Tertinggal")))</f>
        <v>Tertinggal</v>
      </c>
      <c r="N33" s="20" t="s">
        <v>212</v>
      </c>
      <c r="O33" s="1"/>
      <c r="P33" s="1"/>
      <c r="Q33" s="1"/>
      <c r="R33" s="1"/>
      <c r="S33" s="1"/>
      <c r="T33" s="1"/>
      <c r="U33" s="1"/>
      <c r="V33" s="1"/>
      <c r="W33" s="1"/>
      <c r="X33" s="1"/>
      <c r="Y33" s="1"/>
      <c r="Z33" s="1"/>
    </row>
    <row r="34" spans="1:26">
      <c r="A34" s="20" t="s">
        <v>3</v>
      </c>
      <c r="B34" s="20">
        <v>2026</v>
      </c>
      <c r="C34" s="21">
        <v>46239</v>
      </c>
      <c r="D34" s="20" t="s">
        <v>104</v>
      </c>
      <c r="E34" s="9" t="str">
        <f>IFERROR(VLOOKUP(D34,'04_Master Karyawan'!$A$5:$F$50,2,FALSE),"")</f>
        <v>Finance Staff (Ganti Nama)</v>
      </c>
      <c r="F34" s="20" t="s">
        <v>182</v>
      </c>
      <c r="G34" s="9" t="str">
        <f>IFERROR(VLOOKUP(F34,'05_Master KPI'!$B$5:$G$100,2,FALSE)&amp;" ("&amp;VLOOKUP(F34,'05_Master KPI'!$B$5:$G$100,3,FALSE)&amp;")","")</f>
        <v>Deviasi Cashflow (%)</v>
      </c>
      <c r="H34" s="9">
        <f>IFERROR(IF(B34&lt;&gt;'06_Target KPI'!$B$3,0,IF(VLOOKUP(F34,'05_Master KPI'!$B$5:$G$100,6,FALSE)="Kumulatif",INDEX('06_Target KPI'!$E$5:$P$100,MATCH(F34,'06_Target KPI'!$B$5:$B$100,0),MATCH(A34,'06_Target KPI'!$E$4:$P$4,0))*DAY(C34)/DAY(EOMONTH(C34,0)),INDEX('06_Target KPI'!$E$5:$P$100,MATCH(F34,'06_Target KPI'!$B$5:$B$100,0),MATCH(A34,'06_Target KPI'!$E$4:$P$4,0)))),0)</f>
        <v>5</v>
      </c>
      <c r="I34" s="20">
        <v>5.9</v>
      </c>
      <c r="J34" s="22">
        <f>IFERROR(MIN(IF(VLOOKUP(F34,'05_Master KPI'!$B$5:$G$100,5,FALSE)="Lower",H34/I34,I34/H34),1),0)</f>
        <v>0.84745762711864403</v>
      </c>
      <c r="K34" s="9">
        <f>IFERROR(VLOOKUP(F34,'05_Master KPI'!$B$5:$G$100,4,FALSE),0)</f>
        <v>25</v>
      </c>
      <c r="L34" s="23">
        <f t="shared" si="0"/>
        <v>21.1864406779661</v>
      </c>
      <c r="M34" s="9" t="str">
        <f>IF(D34="","",IF(J34&gt;='13_Setting'!$H$7,"Tercapai",IF(J34&gt;='13_Setting'!$H$6,"On Track","Tertinggal")))</f>
        <v>Tertinggal</v>
      </c>
      <c r="N34" s="20" t="s">
        <v>212</v>
      </c>
      <c r="O34" s="1"/>
      <c r="P34" s="1"/>
      <c r="Q34" s="1"/>
      <c r="R34" s="1"/>
      <c r="S34" s="1"/>
      <c r="T34" s="1"/>
      <c r="U34" s="1"/>
      <c r="V34" s="1"/>
      <c r="W34" s="1"/>
      <c r="X34" s="1"/>
      <c r="Y34" s="1"/>
      <c r="Z34" s="1"/>
    </row>
    <row r="35" spans="1:26">
      <c r="A35" s="20" t="s">
        <v>3</v>
      </c>
      <c r="B35" s="20">
        <v>2026</v>
      </c>
      <c r="C35" s="21">
        <v>46239</v>
      </c>
      <c r="D35" s="20" t="s">
        <v>104</v>
      </c>
      <c r="E35" s="9" t="str">
        <f>IFERROR(VLOOKUP(D35,'04_Master Karyawan'!$A$5:$F$50,2,FALSE),"")</f>
        <v>Finance Staff (Ganti Nama)</v>
      </c>
      <c r="F35" s="20" t="s">
        <v>184</v>
      </c>
      <c r="G35" s="9" t="str">
        <f>IFERROR(VLOOKUP(F35,'05_Master KPI'!$B$5:$G$100,2,FALSE)&amp;" ("&amp;VLOOKUP(F35,'05_Master KPI'!$B$5:$G$100,3,FALSE)&amp;")","")</f>
        <v>Penagihan Piutang (%)</v>
      </c>
      <c r="H35" s="9">
        <f>IFERROR(IF(B35&lt;&gt;'06_Target KPI'!$B$3,0,IF(VLOOKUP(F35,'05_Master KPI'!$B$5:$G$100,6,FALSE)="Kumulatif",INDEX('06_Target KPI'!$E$5:$P$100,MATCH(F35,'06_Target KPI'!$B$5:$B$100,0),MATCH(A35,'06_Target KPI'!$E$4:$P$4,0))*DAY(C35)/DAY(EOMONTH(C35,0)),INDEX('06_Target KPI'!$E$5:$P$100,MATCH(F35,'06_Target KPI'!$B$5:$B$100,0),MATCH(A35,'06_Target KPI'!$E$4:$P$4,0)))),0)</f>
        <v>95</v>
      </c>
      <c r="I35" s="20">
        <v>80</v>
      </c>
      <c r="J35" s="22">
        <f>IFERROR(MIN(IF(VLOOKUP(F35,'05_Master KPI'!$B$5:$G$100,5,FALSE)="Lower",H35/I35,I35/H35),1),0)</f>
        <v>0.84210526315789469</v>
      </c>
      <c r="K35" s="9">
        <f>IFERROR(VLOOKUP(F35,'05_Master KPI'!$B$5:$G$100,4,FALSE),0)</f>
        <v>25</v>
      </c>
      <c r="L35" s="23">
        <f t="shared" si="0"/>
        <v>21.052631578947366</v>
      </c>
      <c r="M35" s="9" t="str">
        <f>IF(D35="","",IF(J35&gt;='13_Setting'!$H$7,"Tercapai",IF(J35&gt;='13_Setting'!$H$6,"On Track","Tertinggal")))</f>
        <v>Tertinggal</v>
      </c>
      <c r="N35" s="20" t="s">
        <v>212</v>
      </c>
      <c r="O35" s="1"/>
      <c r="P35" s="1"/>
      <c r="Q35" s="1"/>
      <c r="R35" s="1"/>
      <c r="S35" s="1"/>
      <c r="T35" s="1"/>
      <c r="U35" s="1"/>
      <c r="V35" s="1"/>
      <c r="W35" s="1"/>
      <c r="X35" s="1"/>
      <c r="Y35" s="1"/>
      <c r="Z35" s="1"/>
    </row>
    <row r="36" spans="1:26">
      <c r="A36" s="20" t="s">
        <v>3</v>
      </c>
      <c r="B36" s="20">
        <v>2026</v>
      </c>
      <c r="C36" s="21">
        <v>46239</v>
      </c>
      <c r="D36" s="20" t="s">
        <v>104</v>
      </c>
      <c r="E36" s="9" t="str">
        <f>IFERROR(VLOOKUP(D36,'04_Master Karyawan'!$A$5:$F$50,2,FALSE),"")</f>
        <v>Finance Staff (Ganti Nama)</v>
      </c>
      <c r="F36" s="20" t="s">
        <v>186</v>
      </c>
      <c r="G36" s="9" t="str">
        <f>IFERROR(VLOOKUP(F36,'05_Master KPI'!$B$5:$G$100,2,FALSE)&amp;" ("&amp;VLOOKUP(F36,'05_Master KPI'!$B$5:$G$100,3,FALSE)&amp;")","")</f>
        <v>Akurasi Biaya (%)</v>
      </c>
      <c r="H36" s="9">
        <f>IFERROR(IF(B36&lt;&gt;'06_Target KPI'!$B$3,0,IF(VLOOKUP(F36,'05_Master KPI'!$B$5:$G$100,6,FALSE)="Kumulatif",INDEX('06_Target KPI'!$E$5:$P$100,MATCH(F36,'06_Target KPI'!$B$5:$B$100,0),MATCH(A36,'06_Target KPI'!$E$4:$P$4,0))*DAY(C36)/DAY(EOMONTH(C36,0)),INDEX('06_Target KPI'!$E$5:$P$100,MATCH(F36,'06_Target KPI'!$B$5:$B$100,0),MATCH(A36,'06_Target KPI'!$E$4:$P$4,0)))),0)</f>
        <v>99</v>
      </c>
      <c r="I36" s="20">
        <v>83.4</v>
      </c>
      <c r="J36" s="22">
        <f>IFERROR(MIN(IF(VLOOKUP(F36,'05_Master KPI'!$B$5:$G$100,5,FALSE)="Lower",H36/I36,I36/H36),1),0)</f>
        <v>0.84242424242424252</v>
      </c>
      <c r="K36" s="9">
        <f>IFERROR(VLOOKUP(F36,'05_Master KPI'!$B$5:$G$100,4,FALSE),0)</f>
        <v>25</v>
      </c>
      <c r="L36" s="23">
        <f t="shared" si="0"/>
        <v>21.060606060606062</v>
      </c>
      <c r="M36" s="9" t="str">
        <f>IF(D36="","",IF(J36&gt;='13_Setting'!$H$7,"Tercapai",IF(J36&gt;='13_Setting'!$H$6,"On Track","Tertinggal")))</f>
        <v>Tertinggal</v>
      </c>
      <c r="N36" s="20" t="s">
        <v>212</v>
      </c>
      <c r="O36" s="1"/>
      <c r="P36" s="1"/>
      <c r="Q36" s="1"/>
      <c r="R36" s="1"/>
      <c r="S36" s="1"/>
      <c r="T36" s="1"/>
      <c r="U36" s="1"/>
      <c r="V36" s="1"/>
      <c r="W36" s="1"/>
      <c r="X36" s="1"/>
      <c r="Y36" s="1"/>
      <c r="Z36" s="1"/>
    </row>
    <row r="37" spans="1:26">
      <c r="A37" s="20"/>
      <c r="B37" s="20"/>
      <c r="C37" s="21"/>
      <c r="D37" s="20"/>
      <c r="E37" s="9" t="str">
        <f>IFERROR(VLOOKUP(D37,'04_Master Karyawan'!$A$5:$F$50,2,FALSE),"")</f>
        <v/>
      </c>
      <c r="F37" s="20"/>
      <c r="G37" s="9" t="str">
        <f>IFERROR(VLOOKUP(F37,'05_Master KPI'!$B$5:$G$100,2,FALSE)&amp;" ("&amp;VLOOKUP(F37,'05_Master KPI'!$B$5:$G$100,3,FALSE)&amp;")","")</f>
        <v/>
      </c>
      <c r="H37" s="9">
        <f>IFERROR(IF(B37&lt;&gt;'06_Target KPI'!$B$3,0,IF(VLOOKUP(F37,'05_Master KPI'!$B$5:$G$100,6,FALSE)="Kumulatif",INDEX('06_Target KPI'!$E$5:$P$100,MATCH(F37,'06_Target KPI'!$B$5:$B$100,0),MATCH(A37,'06_Target KPI'!$E$4:$P$4,0))*DAY(C37)/DAY(EOMONTH(C37,0)),INDEX('06_Target KPI'!$E$5:$P$100,MATCH(F37,'06_Target KPI'!$B$5:$B$100,0),MATCH(A37,'06_Target KPI'!$E$4:$P$4,0)))),0)</f>
        <v>0</v>
      </c>
      <c r="I37" s="20"/>
      <c r="J37" s="22">
        <f>IFERROR(MIN(IF(VLOOKUP(F37,'05_Master KPI'!$B$5:$G$100,5,FALSE)="Lower",H37/I37,I37/H37),1),0)</f>
        <v>0</v>
      </c>
      <c r="K37" s="9">
        <f>IFERROR(VLOOKUP(F37,'05_Master KPI'!$B$5:$G$100,4,FALSE),0)</f>
        <v>0</v>
      </c>
      <c r="L37" s="23">
        <f t="shared" si="0"/>
        <v>0</v>
      </c>
      <c r="M37" s="9" t="str">
        <f>IF(D37="","",IF(J37&gt;='13_Setting'!$H$7,"Tercapai",IF(J37&gt;='13_Setting'!$H$6,"On Track","Tertinggal")))</f>
        <v/>
      </c>
      <c r="N37" s="20"/>
      <c r="O37" s="1"/>
      <c r="P37" s="1"/>
      <c r="Q37" s="1"/>
      <c r="R37" s="1"/>
      <c r="S37" s="1"/>
      <c r="T37" s="1"/>
      <c r="U37" s="1"/>
      <c r="V37" s="1"/>
      <c r="W37" s="1"/>
      <c r="X37" s="1"/>
      <c r="Y37" s="1"/>
      <c r="Z37" s="1"/>
    </row>
    <row r="38" spans="1:26">
      <c r="A38" s="20"/>
      <c r="B38" s="20"/>
      <c r="C38" s="21"/>
      <c r="D38" s="20"/>
      <c r="E38" s="9" t="str">
        <f>IFERROR(VLOOKUP(D38,'04_Master Karyawan'!$A$5:$F$50,2,FALSE),"")</f>
        <v/>
      </c>
      <c r="F38" s="20"/>
      <c r="G38" s="9" t="str">
        <f>IFERROR(VLOOKUP(F38,'05_Master KPI'!$B$5:$G$100,2,FALSE)&amp;" ("&amp;VLOOKUP(F38,'05_Master KPI'!$B$5:$G$100,3,FALSE)&amp;")","")</f>
        <v/>
      </c>
      <c r="H38" s="9">
        <f>IFERROR(IF(B38&lt;&gt;'06_Target KPI'!$B$3,0,IF(VLOOKUP(F38,'05_Master KPI'!$B$5:$G$100,6,FALSE)="Kumulatif",INDEX('06_Target KPI'!$E$5:$P$100,MATCH(F38,'06_Target KPI'!$B$5:$B$100,0),MATCH(A38,'06_Target KPI'!$E$4:$P$4,0))*DAY(C38)/DAY(EOMONTH(C38,0)),INDEX('06_Target KPI'!$E$5:$P$100,MATCH(F38,'06_Target KPI'!$B$5:$B$100,0),MATCH(A38,'06_Target KPI'!$E$4:$P$4,0)))),0)</f>
        <v>0</v>
      </c>
      <c r="I38" s="20"/>
      <c r="J38" s="22">
        <f>IFERROR(MIN(IF(VLOOKUP(F38,'05_Master KPI'!$B$5:$G$100,5,FALSE)="Lower",H38/I38,I38/H38),1),0)</f>
        <v>0</v>
      </c>
      <c r="K38" s="9">
        <f>IFERROR(VLOOKUP(F38,'05_Master KPI'!$B$5:$G$100,4,FALSE),0)</f>
        <v>0</v>
      </c>
      <c r="L38" s="23">
        <f t="shared" si="0"/>
        <v>0</v>
      </c>
      <c r="M38" s="9" t="str">
        <f>IF(D38="","",IF(J38&gt;='13_Setting'!$H$7,"Tercapai",IF(J38&gt;='13_Setting'!$H$6,"On Track","Tertinggal")))</f>
        <v/>
      </c>
      <c r="N38" s="20"/>
      <c r="O38" s="1"/>
      <c r="P38" s="1"/>
      <c r="Q38" s="1"/>
      <c r="R38" s="1"/>
      <c r="S38" s="1"/>
      <c r="T38" s="1"/>
      <c r="U38" s="1"/>
      <c r="V38" s="1"/>
      <c r="W38" s="1"/>
      <c r="X38" s="1"/>
      <c r="Y38" s="1"/>
      <c r="Z38" s="1"/>
    </row>
    <row r="39" spans="1:26">
      <c r="A39" s="20"/>
      <c r="B39" s="20"/>
      <c r="C39" s="21"/>
      <c r="D39" s="20"/>
      <c r="E39" s="9" t="str">
        <f>IFERROR(VLOOKUP(D39,'04_Master Karyawan'!$A$5:$F$50,2,FALSE),"")</f>
        <v/>
      </c>
      <c r="F39" s="20"/>
      <c r="G39" s="9" t="str">
        <f>IFERROR(VLOOKUP(F39,'05_Master KPI'!$B$5:$G$100,2,FALSE)&amp;" ("&amp;VLOOKUP(F39,'05_Master KPI'!$B$5:$G$100,3,FALSE)&amp;")","")</f>
        <v/>
      </c>
      <c r="H39" s="9">
        <f>IFERROR(IF(B39&lt;&gt;'06_Target KPI'!$B$3,0,IF(VLOOKUP(F39,'05_Master KPI'!$B$5:$G$100,6,FALSE)="Kumulatif",INDEX('06_Target KPI'!$E$5:$P$100,MATCH(F39,'06_Target KPI'!$B$5:$B$100,0),MATCH(A39,'06_Target KPI'!$E$4:$P$4,0))*DAY(C39)/DAY(EOMONTH(C39,0)),INDEX('06_Target KPI'!$E$5:$P$100,MATCH(F39,'06_Target KPI'!$B$5:$B$100,0),MATCH(A39,'06_Target KPI'!$E$4:$P$4,0)))),0)</f>
        <v>0</v>
      </c>
      <c r="I39" s="20"/>
      <c r="J39" s="22">
        <f>IFERROR(MIN(IF(VLOOKUP(F39,'05_Master KPI'!$B$5:$G$100,5,FALSE)="Lower",H39/I39,I39/H39),1),0)</f>
        <v>0</v>
      </c>
      <c r="K39" s="9">
        <f>IFERROR(VLOOKUP(F39,'05_Master KPI'!$B$5:$G$100,4,FALSE),0)</f>
        <v>0</v>
      </c>
      <c r="L39" s="23">
        <f t="shared" si="0"/>
        <v>0</v>
      </c>
      <c r="M39" s="9" t="str">
        <f>IF(D39="","",IF(J39&gt;='13_Setting'!$H$7,"Tercapai",IF(J39&gt;='13_Setting'!$H$6,"On Track","Tertinggal")))</f>
        <v/>
      </c>
      <c r="N39" s="20"/>
      <c r="O39" s="1"/>
      <c r="P39" s="1"/>
      <c r="Q39" s="1"/>
      <c r="R39" s="1"/>
      <c r="S39" s="1"/>
      <c r="T39" s="1"/>
      <c r="U39" s="1"/>
      <c r="V39" s="1"/>
      <c r="W39" s="1"/>
      <c r="X39" s="1"/>
      <c r="Y39" s="1"/>
      <c r="Z39" s="1"/>
    </row>
    <row r="40" spans="1:26">
      <c r="A40" s="20"/>
      <c r="B40" s="20"/>
      <c r="C40" s="21"/>
      <c r="D40" s="20"/>
      <c r="E40" s="9" t="str">
        <f>IFERROR(VLOOKUP(D40,'04_Master Karyawan'!$A$5:$F$50,2,FALSE),"")</f>
        <v/>
      </c>
      <c r="F40" s="20"/>
      <c r="G40" s="9" t="str">
        <f>IFERROR(VLOOKUP(F40,'05_Master KPI'!$B$5:$G$100,2,FALSE)&amp;" ("&amp;VLOOKUP(F40,'05_Master KPI'!$B$5:$G$100,3,FALSE)&amp;")","")</f>
        <v/>
      </c>
      <c r="H40" s="9">
        <f>IFERROR(IF(B40&lt;&gt;'06_Target KPI'!$B$3,0,IF(VLOOKUP(F40,'05_Master KPI'!$B$5:$G$100,6,FALSE)="Kumulatif",INDEX('06_Target KPI'!$E$5:$P$100,MATCH(F40,'06_Target KPI'!$B$5:$B$100,0),MATCH(A40,'06_Target KPI'!$E$4:$P$4,0))*DAY(C40)/DAY(EOMONTH(C40,0)),INDEX('06_Target KPI'!$E$5:$P$100,MATCH(F40,'06_Target KPI'!$B$5:$B$100,0),MATCH(A40,'06_Target KPI'!$E$4:$P$4,0)))),0)</f>
        <v>0</v>
      </c>
      <c r="I40" s="20"/>
      <c r="J40" s="22">
        <f>IFERROR(MIN(IF(VLOOKUP(F40,'05_Master KPI'!$B$5:$G$100,5,FALSE)="Lower",H40/I40,I40/H40),1),0)</f>
        <v>0</v>
      </c>
      <c r="K40" s="9">
        <f>IFERROR(VLOOKUP(F40,'05_Master KPI'!$B$5:$G$100,4,FALSE),0)</f>
        <v>0</v>
      </c>
      <c r="L40" s="23">
        <f t="shared" si="0"/>
        <v>0</v>
      </c>
      <c r="M40" s="9" t="str">
        <f>IF(D40="","",IF(J40&gt;='13_Setting'!$H$7,"Tercapai",IF(J40&gt;='13_Setting'!$H$6,"On Track","Tertinggal")))</f>
        <v/>
      </c>
      <c r="N40" s="20"/>
      <c r="O40" s="1"/>
      <c r="P40" s="1"/>
      <c r="Q40" s="1"/>
      <c r="R40" s="1"/>
      <c r="S40" s="1"/>
      <c r="T40" s="1"/>
      <c r="U40" s="1"/>
      <c r="V40" s="1"/>
      <c r="W40" s="1"/>
      <c r="X40" s="1"/>
      <c r="Y40" s="1"/>
      <c r="Z40" s="1"/>
    </row>
    <row r="41" spans="1:26">
      <c r="A41" s="20"/>
      <c r="B41" s="20"/>
      <c r="C41" s="21"/>
      <c r="D41" s="20"/>
      <c r="E41" s="9" t="str">
        <f>IFERROR(VLOOKUP(D41,'04_Master Karyawan'!$A$5:$F$50,2,FALSE),"")</f>
        <v/>
      </c>
      <c r="F41" s="20"/>
      <c r="G41" s="9" t="str">
        <f>IFERROR(VLOOKUP(F41,'05_Master KPI'!$B$5:$G$100,2,FALSE)&amp;" ("&amp;VLOOKUP(F41,'05_Master KPI'!$B$5:$G$100,3,FALSE)&amp;")","")</f>
        <v/>
      </c>
      <c r="H41" s="9">
        <f>IFERROR(IF(B41&lt;&gt;'06_Target KPI'!$B$3,0,IF(VLOOKUP(F41,'05_Master KPI'!$B$5:$G$100,6,FALSE)="Kumulatif",INDEX('06_Target KPI'!$E$5:$P$100,MATCH(F41,'06_Target KPI'!$B$5:$B$100,0),MATCH(A41,'06_Target KPI'!$E$4:$P$4,0))*DAY(C41)/DAY(EOMONTH(C41,0)),INDEX('06_Target KPI'!$E$5:$P$100,MATCH(F41,'06_Target KPI'!$B$5:$B$100,0),MATCH(A41,'06_Target KPI'!$E$4:$P$4,0)))),0)</f>
        <v>0</v>
      </c>
      <c r="I41" s="20"/>
      <c r="J41" s="22">
        <f>IFERROR(MIN(IF(VLOOKUP(F41,'05_Master KPI'!$B$5:$G$100,5,FALSE)="Lower",H41/I41,I41/H41),1),0)</f>
        <v>0</v>
      </c>
      <c r="K41" s="9">
        <f>IFERROR(VLOOKUP(F41,'05_Master KPI'!$B$5:$G$100,4,FALSE),0)</f>
        <v>0</v>
      </c>
      <c r="L41" s="23">
        <f t="shared" si="0"/>
        <v>0</v>
      </c>
      <c r="M41" s="9" t="str">
        <f>IF(D41="","",IF(J41&gt;='13_Setting'!$H$7,"Tercapai",IF(J41&gt;='13_Setting'!$H$6,"On Track","Tertinggal")))</f>
        <v/>
      </c>
      <c r="N41" s="20"/>
      <c r="O41" s="1"/>
      <c r="P41" s="1"/>
      <c r="Q41" s="1"/>
      <c r="R41" s="1"/>
      <c r="S41" s="1"/>
      <c r="T41" s="1"/>
      <c r="U41" s="1"/>
      <c r="V41" s="1"/>
      <c r="W41" s="1"/>
      <c r="X41" s="1"/>
      <c r="Y41" s="1"/>
      <c r="Z41" s="1"/>
    </row>
    <row r="42" spans="1:26">
      <c r="A42" s="20"/>
      <c r="B42" s="20"/>
      <c r="C42" s="21"/>
      <c r="D42" s="20"/>
      <c r="E42" s="9" t="str">
        <f>IFERROR(VLOOKUP(D42,'04_Master Karyawan'!$A$5:$F$50,2,FALSE),"")</f>
        <v/>
      </c>
      <c r="F42" s="20"/>
      <c r="G42" s="9" t="str">
        <f>IFERROR(VLOOKUP(F42,'05_Master KPI'!$B$5:$G$100,2,FALSE)&amp;" ("&amp;VLOOKUP(F42,'05_Master KPI'!$B$5:$G$100,3,FALSE)&amp;")","")</f>
        <v/>
      </c>
      <c r="H42" s="9">
        <f>IFERROR(IF(B42&lt;&gt;'06_Target KPI'!$B$3,0,IF(VLOOKUP(F42,'05_Master KPI'!$B$5:$G$100,6,FALSE)="Kumulatif",INDEX('06_Target KPI'!$E$5:$P$100,MATCH(F42,'06_Target KPI'!$B$5:$B$100,0),MATCH(A42,'06_Target KPI'!$E$4:$P$4,0))*DAY(C42)/DAY(EOMONTH(C42,0)),INDEX('06_Target KPI'!$E$5:$P$100,MATCH(F42,'06_Target KPI'!$B$5:$B$100,0),MATCH(A42,'06_Target KPI'!$E$4:$P$4,0)))),0)</f>
        <v>0</v>
      </c>
      <c r="I42" s="20"/>
      <c r="J42" s="22">
        <f>IFERROR(MIN(IF(VLOOKUP(F42,'05_Master KPI'!$B$5:$G$100,5,FALSE)="Lower",H42/I42,I42/H42),1),0)</f>
        <v>0</v>
      </c>
      <c r="K42" s="9">
        <f>IFERROR(VLOOKUP(F42,'05_Master KPI'!$B$5:$G$100,4,FALSE),0)</f>
        <v>0</v>
      </c>
      <c r="L42" s="23">
        <f t="shared" si="0"/>
        <v>0</v>
      </c>
      <c r="M42" s="9" t="str">
        <f>IF(D42="","",IF(J42&gt;='13_Setting'!$H$7,"Tercapai",IF(J42&gt;='13_Setting'!$H$6,"On Track","Tertinggal")))</f>
        <v/>
      </c>
      <c r="N42" s="20"/>
      <c r="O42" s="1"/>
      <c r="P42" s="1"/>
      <c r="Q42" s="1"/>
      <c r="R42" s="1"/>
      <c r="S42" s="1"/>
      <c r="T42" s="1"/>
      <c r="U42" s="1"/>
      <c r="V42" s="1"/>
      <c r="W42" s="1"/>
      <c r="X42" s="1"/>
      <c r="Y42" s="1"/>
      <c r="Z42" s="1"/>
    </row>
    <row r="43" spans="1:26">
      <c r="A43" s="20"/>
      <c r="B43" s="20"/>
      <c r="C43" s="21"/>
      <c r="D43" s="20"/>
      <c r="E43" s="9" t="str">
        <f>IFERROR(VLOOKUP(D43,'04_Master Karyawan'!$A$5:$F$50,2,FALSE),"")</f>
        <v/>
      </c>
      <c r="F43" s="20"/>
      <c r="G43" s="9" t="str">
        <f>IFERROR(VLOOKUP(F43,'05_Master KPI'!$B$5:$G$100,2,FALSE)&amp;" ("&amp;VLOOKUP(F43,'05_Master KPI'!$B$5:$G$100,3,FALSE)&amp;")","")</f>
        <v/>
      </c>
      <c r="H43" s="9">
        <f>IFERROR(IF(B43&lt;&gt;'06_Target KPI'!$B$3,0,IF(VLOOKUP(F43,'05_Master KPI'!$B$5:$G$100,6,FALSE)="Kumulatif",INDEX('06_Target KPI'!$E$5:$P$100,MATCH(F43,'06_Target KPI'!$B$5:$B$100,0),MATCH(A43,'06_Target KPI'!$E$4:$P$4,0))*DAY(C43)/DAY(EOMONTH(C43,0)),INDEX('06_Target KPI'!$E$5:$P$100,MATCH(F43,'06_Target KPI'!$B$5:$B$100,0),MATCH(A43,'06_Target KPI'!$E$4:$P$4,0)))),0)</f>
        <v>0</v>
      </c>
      <c r="I43" s="20"/>
      <c r="J43" s="22">
        <f>IFERROR(MIN(IF(VLOOKUP(F43,'05_Master KPI'!$B$5:$G$100,5,FALSE)="Lower",H43/I43,I43/H43),1),0)</f>
        <v>0</v>
      </c>
      <c r="K43" s="9">
        <f>IFERROR(VLOOKUP(F43,'05_Master KPI'!$B$5:$G$100,4,FALSE),0)</f>
        <v>0</v>
      </c>
      <c r="L43" s="23">
        <f t="shared" si="0"/>
        <v>0</v>
      </c>
      <c r="M43" s="9" t="str">
        <f>IF(D43="","",IF(J43&gt;='13_Setting'!$H$7,"Tercapai",IF(J43&gt;='13_Setting'!$H$6,"On Track","Tertinggal")))</f>
        <v/>
      </c>
      <c r="N43" s="20"/>
      <c r="O43" s="1"/>
      <c r="P43" s="1"/>
      <c r="Q43" s="1"/>
      <c r="R43" s="1"/>
      <c r="S43" s="1"/>
      <c r="T43" s="1"/>
      <c r="U43" s="1"/>
      <c r="V43" s="1"/>
      <c r="W43" s="1"/>
      <c r="X43" s="1"/>
      <c r="Y43" s="1"/>
      <c r="Z43" s="1"/>
    </row>
    <row r="44" spans="1:26">
      <c r="A44" s="20"/>
      <c r="B44" s="20"/>
      <c r="C44" s="21"/>
      <c r="D44" s="20"/>
      <c r="E44" s="9" t="str">
        <f>IFERROR(VLOOKUP(D44,'04_Master Karyawan'!$A$5:$F$50,2,FALSE),"")</f>
        <v/>
      </c>
      <c r="F44" s="20"/>
      <c r="G44" s="9" t="str">
        <f>IFERROR(VLOOKUP(F44,'05_Master KPI'!$B$5:$G$100,2,FALSE)&amp;" ("&amp;VLOOKUP(F44,'05_Master KPI'!$B$5:$G$100,3,FALSE)&amp;")","")</f>
        <v/>
      </c>
      <c r="H44" s="9">
        <f>IFERROR(IF(B44&lt;&gt;'06_Target KPI'!$B$3,0,IF(VLOOKUP(F44,'05_Master KPI'!$B$5:$G$100,6,FALSE)="Kumulatif",INDEX('06_Target KPI'!$E$5:$P$100,MATCH(F44,'06_Target KPI'!$B$5:$B$100,0),MATCH(A44,'06_Target KPI'!$E$4:$P$4,0))*DAY(C44)/DAY(EOMONTH(C44,0)),INDEX('06_Target KPI'!$E$5:$P$100,MATCH(F44,'06_Target KPI'!$B$5:$B$100,0),MATCH(A44,'06_Target KPI'!$E$4:$P$4,0)))),0)</f>
        <v>0</v>
      </c>
      <c r="I44" s="20"/>
      <c r="J44" s="22">
        <f>IFERROR(MIN(IF(VLOOKUP(F44,'05_Master KPI'!$B$5:$G$100,5,FALSE)="Lower",H44/I44,I44/H44),1),0)</f>
        <v>0</v>
      </c>
      <c r="K44" s="9">
        <f>IFERROR(VLOOKUP(F44,'05_Master KPI'!$B$5:$G$100,4,FALSE),0)</f>
        <v>0</v>
      </c>
      <c r="L44" s="23">
        <f t="shared" si="0"/>
        <v>0</v>
      </c>
      <c r="M44" s="9" t="str">
        <f>IF(D44="","",IF(J44&gt;='13_Setting'!$H$7,"Tercapai",IF(J44&gt;='13_Setting'!$H$6,"On Track","Tertinggal")))</f>
        <v/>
      </c>
      <c r="N44" s="20"/>
      <c r="O44" s="1"/>
      <c r="P44" s="1"/>
      <c r="Q44" s="1"/>
      <c r="R44" s="1"/>
      <c r="S44" s="1"/>
      <c r="T44" s="1"/>
      <c r="U44" s="1"/>
      <c r="V44" s="1"/>
      <c r="W44" s="1"/>
      <c r="X44" s="1"/>
      <c r="Y44" s="1"/>
      <c r="Z44" s="1"/>
    </row>
    <row r="45" spans="1:26">
      <c r="A45" s="20"/>
      <c r="B45" s="20"/>
      <c r="C45" s="21"/>
      <c r="D45" s="20"/>
      <c r="E45" s="9" t="str">
        <f>IFERROR(VLOOKUP(D45,'04_Master Karyawan'!$A$5:$F$50,2,FALSE),"")</f>
        <v/>
      </c>
      <c r="F45" s="20"/>
      <c r="G45" s="9" t="str">
        <f>IFERROR(VLOOKUP(F45,'05_Master KPI'!$B$5:$G$100,2,FALSE)&amp;" ("&amp;VLOOKUP(F45,'05_Master KPI'!$B$5:$G$100,3,FALSE)&amp;")","")</f>
        <v/>
      </c>
      <c r="H45" s="9">
        <f>IFERROR(IF(B45&lt;&gt;'06_Target KPI'!$B$3,0,IF(VLOOKUP(F45,'05_Master KPI'!$B$5:$G$100,6,FALSE)="Kumulatif",INDEX('06_Target KPI'!$E$5:$P$100,MATCH(F45,'06_Target KPI'!$B$5:$B$100,0),MATCH(A45,'06_Target KPI'!$E$4:$P$4,0))*DAY(C45)/DAY(EOMONTH(C45,0)),INDEX('06_Target KPI'!$E$5:$P$100,MATCH(F45,'06_Target KPI'!$B$5:$B$100,0),MATCH(A45,'06_Target KPI'!$E$4:$P$4,0)))),0)</f>
        <v>0</v>
      </c>
      <c r="I45" s="20"/>
      <c r="J45" s="22">
        <f>IFERROR(MIN(IF(VLOOKUP(F45,'05_Master KPI'!$B$5:$G$100,5,FALSE)="Lower",H45/I45,I45/H45),1),0)</f>
        <v>0</v>
      </c>
      <c r="K45" s="9">
        <f>IFERROR(VLOOKUP(F45,'05_Master KPI'!$B$5:$G$100,4,FALSE),0)</f>
        <v>0</v>
      </c>
      <c r="L45" s="23">
        <f t="shared" si="0"/>
        <v>0</v>
      </c>
      <c r="M45" s="9" t="str">
        <f>IF(D45="","",IF(J45&gt;='13_Setting'!$H$7,"Tercapai",IF(J45&gt;='13_Setting'!$H$6,"On Track","Tertinggal")))</f>
        <v/>
      </c>
      <c r="N45" s="20"/>
      <c r="O45" s="1"/>
      <c r="P45" s="1"/>
      <c r="Q45" s="1"/>
      <c r="R45" s="1"/>
      <c r="S45" s="1"/>
      <c r="T45" s="1"/>
      <c r="U45" s="1"/>
      <c r="V45" s="1"/>
      <c r="W45" s="1"/>
      <c r="X45" s="1"/>
      <c r="Y45" s="1"/>
      <c r="Z45" s="1"/>
    </row>
    <row r="46" spans="1:26">
      <c r="A46" s="20"/>
      <c r="B46" s="20"/>
      <c r="C46" s="21"/>
      <c r="D46" s="20"/>
      <c r="E46" s="9" t="str">
        <f>IFERROR(VLOOKUP(D46,'04_Master Karyawan'!$A$5:$F$50,2,FALSE),"")</f>
        <v/>
      </c>
      <c r="F46" s="20"/>
      <c r="G46" s="9" t="str">
        <f>IFERROR(VLOOKUP(F46,'05_Master KPI'!$B$5:$G$100,2,FALSE)&amp;" ("&amp;VLOOKUP(F46,'05_Master KPI'!$B$5:$G$100,3,FALSE)&amp;")","")</f>
        <v/>
      </c>
      <c r="H46" s="9">
        <f>IFERROR(IF(B46&lt;&gt;'06_Target KPI'!$B$3,0,IF(VLOOKUP(F46,'05_Master KPI'!$B$5:$G$100,6,FALSE)="Kumulatif",INDEX('06_Target KPI'!$E$5:$P$100,MATCH(F46,'06_Target KPI'!$B$5:$B$100,0),MATCH(A46,'06_Target KPI'!$E$4:$P$4,0))*DAY(C46)/DAY(EOMONTH(C46,0)),INDEX('06_Target KPI'!$E$5:$P$100,MATCH(F46,'06_Target KPI'!$B$5:$B$100,0),MATCH(A46,'06_Target KPI'!$E$4:$P$4,0)))),0)</f>
        <v>0</v>
      </c>
      <c r="I46" s="20"/>
      <c r="J46" s="22">
        <f>IFERROR(MIN(IF(VLOOKUP(F46,'05_Master KPI'!$B$5:$G$100,5,FALSE)="Lower",H46/I46,I46/H46),1),0)</f>
        <v>0</v>
      </c>
      <c r="K46" s="9">
        <f>IFERROR(VLOOKUP(F46,'05_Master KPI'!$B$5:$G$100,4,FALSE),0)</f>
        <v>0</v>
      </c>
      <c r="L46" s="23">
        <f t="shared" si="0"/>
        <v>0</v>
      </c>
      <c r="M46" s="9" t="str">
        <f>IF(D46="","",IF(J46&gt;='13_Setting'!$H$7,"Tercapai",IF(J46&gt;='13_Setting'!$H$6,"On Track","Tertinggal")))</f>
        <v/>
      </c>
      <c r="N46" s="20"/>
      <c r="O46" s="1"/>
      <c r="P46" s="1"/>
      <c r="Q46" s="1"/>
      <c r="R46" s="1"/>
      <c r="S46" s="1"/>
      <c r="T46" s="1"/>
      <c r="U46" s="1"/>
      <c r="V46" s="1"/>
      <c r="W46" s="1"/>
      <c r="X46" s="1"/>
      <c r="Y46" s="1"/>
      <c r="Z46" s="1"/>
    </row>
    <row r="47" spans="1:26">
      <c r="A47" s="20"/>
      <c r="B47" s="20"/>
      <c r="C47" s="21"/>
      <c r="D47" s="20"/>
      <c r="E47" s="9" t="str">
        <f>IFERROR(VLOOKUP(D47,'04_Master Karyawan'!$A$5:$F$50,2,FALSE),"")</f>
        <v/>
      </c>
      <c r="F47" s="20"/>
      <c r="G47" s="9" t="str">
        <f>IFERROR(VLOOKUP(F47,'05_Master KPI'!$B$5:$G$100,2,FALSE)&amp;" ("&amp;VLOOKUP(F47,'05_Master KPI'!$B$5:$G$100,3,FALSE)&amp;")","")</f>
        <v/>
      </c>
      <c r="H47" s="9">
        <f>IFERROR(IF(B47&lt;&gt;'06_Target KPI'!$B$3,0,IF(VLOOKUP(F47,'05_Master KPI'!$B$5:$G$100,6,FALSE)="Kumulatif",INDEX('06_Target KPI'!$E$5:$P$100,MATCH(F47,'06_Target KPI'!$B$5:$B$100,0),MATCH(A47,'06_Target KPI'!$E$4:$P$4,0))*DAY(C47)/DAY(EOMONTH(C47,0)),INDEX('06_Target KPI'!$E$5:$P$100,MATCH(F47,'06_Target KPI'!$B$5:$B$100,0),MATCH(A47,'06_Target KPI'!$E$4:$P$4,0)))),0)</f>
        <v>0</v>
      </c>
      <c r="I47" s="20"/>
      <c r="J47" s="22">
        <f>IFERROR(MIN(IF(VLOOKUP(F47,'05_Master KPI'!$B$5:$G$100,5,FALSE)="Lower",H47/I47,I47/H47),1),0)</f>
        <v>0</v>
      </c>
      <c r="K47" s="9">
        <f>IFERROR(VLOOKUP(F47,'05_Master KPI'!$B$5:$G$100,4,FALSE),0)</f>
        <v>0</v>
      </c>
      <c r="L47" s="23">
        <f t="shared" si="0"/>
        <v>0</v>
      </c>
      <c r="M47" s="9" t="str">
        <f>IF(D47="","",IF(J47&gt;='13_Setting'!$H$7,"Tercapai",IF(J47&gt;='13_Setting'!$H$6,"On Track","Tertinggal")))</f>
        <v/>
      </c>
      <c r="N47" s="20"/>
      <c r="O47" s="1"/>
      <c r="P47" s="1"/>
      <c r="Q47" s="1"/>
      <c r="R47" s="1"/>
      <c r="S47" s="1"/>
      <c r="T47" s="1"/>
      <c r="U47" s="1"/>
      <c r="V47" s="1"/>
      <c r="W47" s="1"/>
      <c r="X47" s="1"/>
      <c r="Y47" s="1"/>
      <c r="Z47" s="1"/>
    </row>
    <row r="48" spans="1:26">
      <c r="A48" s="20"/>
      <c r="B48" s="20"/>
      <c r="C48" s="21"/>
      <c r="D48" s="20"/>
      <c r="E48" s="9" t="str">
        <f>IFERROR(VLOOKUP(D48,'04_Master Karyawan'!$A$5:$F$50,2,FALSE),"")</f>
        <v/>
      </c>
      <c r="F48" s="20"/>
      <c r="G48" s="9" t="str">
        <f>IFERROR(VLOOKUP(F48,'05_Master KPI'!$B$5:$G$100,2,FALSE)&amp;" ("&amp;VLOOKUP(F48,'05_Master KPI'!$B$5:$G$100,3,FALSE)&amp;")","")</f>
        <v/>
      </c>
      <c r="H48" s="9">
        <f>IFERROR(IF(B48&lt;&gt;'06_Target KPI'!$B$3,0,IF(VLOOKUP(F48,'05_Master KPI'!$B$5:$G$100,6,FALSE)="Kumulatif",INDEX('06_Target KPI'!$E$5:$P$100,MATCH(F48,'06_Target KPI'!$B$5:$B$100,0),MATCH(A48,'06_Target KPI'!$E$4:$P$4,0))*DAY(C48)/DAY(EOMONTH(C48,0)),INDEX('06_Target KPI'!$E$5:$P$100,MATCH(F48,'06_Target KPI'!$B$5:$B$100,0),MATCH(A48,'06_Target KPI'!$E$4:$P$4,0)))),0)</f>
        <v>0</v>
      </c>
      <c r="I48" s="20"/>
      <c r="J48" s="22">
        <f>IFERROR(MIN(IF(VLOOKUP(F48,'05_Master KPI'!$B$5:$G$100,5,FALSE)="Lower",H48/I48,I48/H48),1),0)</f>
        <v>0</v>
      </c>
      <c r="K48" s="9">
        <f>IFERROR(VLOOKUP(F48,'05_Master KPI'!$B$5:$G$100,4,FALSE),0)</f>
        <v>0</v>
      </c>
      <c r="L48" s="23">
        <f t="shared" si="0"/>
        <v>0</v>
      </c>
      <c r="M48" s="9" t="str">
        <f>IF(D48="","",IF(J48&gt;='13_Setting'!$H$7,"Tercapai",IF(J48&gt;='13_Setting'!$H$6,"On Track","Tertinggal")))</f>
        <v/>
      </c>
      <c r="N48" s="20"/>
      <c r="O48" s="1"/>
      <c r="P48" s="1"/>
      <c r="Q48" s="1"/>
      <c r="R48" s="1"/>
      <c r="S48" s="1"/>
      <c r="T48" s="1"/>
      <c r="U48" s="1"/>
      <c r="V48" s="1"/>
      <c r="W48" s="1"/>
      <c r="X48" s="1"/>
      <c r="Y48" s="1"/>
      <c r="Z48" s="1"/>
    </row>
    <row r="49" spans="1:26">
      <c r="A49" s="20"/>
      <c r="B49" s="20"/>
      <c r="C49" s="21"/>
      <c r="D49" s="20"/>
      <c r="E49" s="9" t="str">
        <f>IFERROR(VLOOKUP(D49,'04_Master Karyawan'!$A$5:$F$50,2,FALSE),"")</f>
        <v/>
      </c>
      <c r="F49" s="20"/>
      <c r="G49" s="9" t="str">
        <f>IFERROR(VLOOKUP(F49,'05_Master KPI'!$B$5:$G$100,2,FALSE)&amp;" ("&amp;VLOOKUP(F49,'05_Master KPI'!$B$5:$G$100,3,FALSE)&amp;")","")</f>
        <v/>
      </c>
      <c r="H49" s="9">
        <f>IFERROR(IF(B49&lt;&gt;'06_Target KPI'!$B$3,0,IF(VLOOKUP(F49,'05_Master KPI'!$B$5:$G$100,6,FALSE)="Kumulatif",INDEX('06_Target KPI'!$E$5:$P$100,MATCH(F49,'06_Target KPI'!$B$5:$B$100,0),MATCH(A49,'06_Target KPI'!$E$4:$P$4,0))*DAY(C49)/DAY(EOMONTH(C49,0)),INDEX('06_Target KPI'!$E$5:$P$100,MATCH(F49,'06_Target KPI'!$B$5:$B$100,0),MATCH(A49,'06_Target KPI'!$E$4:$P$4,0)))),0)</f>
        <v>0</v>
      </c>
      <c r="I49" s="20"/>
      <c r="J49" s="22">
        <f>IFERROR(MIN(IF(VLOOKUP(F49,'05_Master KPI'!$B$5:$G$100,5,FALSE)="Lower",H49/I49,I49/H49),1),0)</f>
        <v>0</v>
      </c>
      <c r="K49" s="9">
        <f>IFERROR(VLOOKUP(F49,'05_Master KPI'!$B$5:$G$100,4,FALSE),0)</f>
        <v>0</v>
      </c>
      <c r="L49" s="23">
        <f t="shared" si="0"/>
        <v>0</v>
      </c>
      <c r="M49" s="9" t="str">
        <f>IF(D49="","",IF(J49&gt;='13_Setting'!$H$7,"Tercapai",IF(J49&gt;='13_Setting'!$H$6,"On Track","Tertinggal")))</f>
        <v/>
      </c>
      <c r="N49" s="20"/>
      <c r="O49" s="1"/>
      <c r="P49" s="1"/>
      <c r="Q49" s="1"/>
      <c r="R49" s="1"/>
      <c r="S49" s="1"/>
      <c r="T49" s="1"/>
      <c r="U49" s="1"/>
      <c r="V49" s="1"/>
      <c r="W49" s="1"/>
      <c r="X49" s="1"/>
      <c r="Y49" s="1"/>
      <c r="Z49" s="1"/>
    </row>
    <row r="50" spans="1:26">
      <c r="A50" s="20"/>
      <c r="B50" s="20"/>
      <c r="C50" s="21"/>
      <c r="D50" s="20"/>
      <c r="E50" s="9" t="str">
        <f>IFERROR(VLOOKUP(D50,'04_Master Karyawan'!$A$5:$F$50,2,FALSE),"")</f>
        <v/>
      </c>
      <c r="F50" s="20"/>
      <c r="G50" s="9" t="str">
        <f>IFERROR(VLOOKUP(F50,'05_Master KPI'!$B$5:$G$100,2,FALSE)&amp;" ("&amp;VLOOKUP(F50,'05_Master KPI'!$B$5:$G$100,3,FALSE)&amp;")","")</f>
        <v/>
      </c>
      <c r="H50" s="9">
        <f>IFERROR(IF(B50&lt;&gt;'06_Target KPI'!$B$3,0,IF(VLOOKUP(F50,'05_Master KPI'!$B$5:$G$100,6,FALSE)="Kumulatif",INDEX('06_Target KPI'!$E$5:$P$100,MATCH(F50,'06_Target KPI'!$B$5:$B$100,0),MATCH(A50,'06_Target KPI'!$E$4:$P$4,0))*DAY(C50)/DAY(EOMONTH(C50,0)),INDEX('06_Target KPI'!$E$5:$P$100,MATCH(F50,'06_Target KPI'!$B$5:$B$100,0),MATCH(A50,'06_Target KPI'!$E$4:$P$4,0)))),0)</f>
        <v>0</v>
      </c>
      <c r="I50" s="20"/>
      <c r="J50" s="22">
        <f>IFERROR(MIN(IF(VLOOKUP(F50,'05_Master KPI'!$B$5:$G$100,5,FALSE)="Lower",H50/I50,I50/H50),1),0)</f>
        <v>0</v>
      </c>
      <c r="K50" s="9">
        <f>IFERROR(VLOOKUP(F50,'05_Master KPI'!$B$5:$G$100,4,FALSE),0)</f>
        <v>0</v>
      </c>
      <c r="L50" s="23">
        <f t="shared" si="0"/>
        <v>0</v>
      </c>
      <c r="M50" s="9" t="str">
        <f>IF(D50="","",IF(J50&gt;='13_Setting'!$H$7,"Tercapai",IF(J50&gt;='13_Setting'!$H$6,"On Track","Tertinggal")))</f>
        <v/>
      </c>
      <c r="N50" s="20"/>
      <c r="O50" s="1"/>
      <c r="P50" s="1"/>
      <c r="Q50" s="1"/>
      <c r="R50" s="1"/>
      <c r="S50" s="1"/>
      <c r="T50" s="1"/>
      <c r="U50" s="1"/>
      <c r="V50" s="1"/>
      <c r="W50" s="1"/>
      <c r="X50" s="1"/>
      <c r="Y50" s="1"/>
      <c r="Z50" s="1"/>
    </row>
    <row r="51" spans="1:26">
      <c r="A51" s="20"/>
      <c r="B51" s="20"/>
      <c r="C51" s="21"/>
      <c r="D51" s="20"/>
      <c r="E51" s="9" t="str">
        <f>IFERROR(VLOOKUP(D51,'04_Master Karyawan'!$A$5:$F$50,2,FALSE),"")</f>
        <v/>
      </c>
      <c r="F51" s="20"/>
      <c r="G51" s="9" t="str">
        <f>IFERROR(VLOOKUP(F51,'05_Master KPI'!$B$5:$G$100,2,FALSE)&amp;" ("&amp;VLOOKUP(F51,'05_Master KPI'!$B$5:$G$100,3,FALSE)&amp;")","")</f>
        <v/>
      </c>
      <c r="H51" s="9">
        <f>IFERROR(IF(B51&lt;&gt;'06_Target KPI'!$B$3,0,IF(VLOOKUP(F51,'05_Master KPI'!$B$5:$G$100,6,FALSE)="Kumulatif",INDEX('06_Target KPI'!$E$5:$P$100,MATCH(F51,'06_Target KPI'!$B$5:$B$100,0),MATCH(A51,'06_Target KPI'!$E$4:$P$4,0))*DAY(C51)/DAY(EOMONTH(C51,0)),INDEX('06_Target KPI'!$E$5:$P$100,MATCH(F51,'06_Target KPI'!$B$5:$B$100,0),MATCH(A51,'06_Target KPI'!$E$4:$P$4,0)))),0)</f>
        <v>0</v>
      </c>
      <c r="I51" s="20"/>
      <c r="J51" s="22">
        <f>IFERROR(MIN(IF(VLOOKUP(F51,'05_Master KPI'!$B$5:$G$100,5,FALSE)="Lower",H51/I51,I51/H51),1),0)</f>
        <v>0</v>
      </c>
      <c r="K51" s="9">
        <f>IFERROR(VLOOKUP(F51,'05_Master KPI'!$B$5:$G$100,4,FALSE),0)</f>
        <v>0</v>
      </c>
      <c r="L51" s="23">
        <f t="shared" si="0"/>
        <v>0</v>
      </c>
      <c r="M51" s="9" t="str">
        <f>IF(D51="","",IF(J51&gt;='13_Setting'!$H$7,"Tercapai",IF(J51&gt;='13_Setting'!$H$6,"On Track","Tertinggal")))</f>
        <v/>
      </c>
      <c r="N51" s="20"/>
      <c r="O51" s="1"/>
      <c r="P51" s="1"/>
      <c r="Q51" s="1"/>
      <c r="R51" s="1"/>
      <c r="S51" s="1"/>
      <c r="T51" s="1"/>
      <c r="U51" s="1"/>
      <c r="V51" s="1"/>
      <c r="W51" s="1"/>
      <c r="X51" s="1"/>
      <c r="Y51" s="1"/>
      <c r="Z51" s="1"/>
    </row>
    <row r="52" spans="1:26">
      <c r="A52" s="20"/>
      <c r="B52" s="20"/>
      <c r="C52" s="21"/>
      <c r="D52" s="20"/>
      <c r="E52" s="9" t="str">
        <f>IFERROR(VLOOKUP(D52,'04_Master Karyawan'!$A$5:$F$50,2,FALSE),"")</f>
        <v/>
      </c>
      <c r="F52" s="20"/>
      <c r="G52" s="9" t="str">
        <f>IFERROR(VLOOKUP(F52,'05_Master KPI'!$B$5:$G$100,2,FALSE)&amp;" ("&amp;VLOOKUP(F52,'05_Master KPI'!$B$5:$G$100,3,FALSE)&amp;")","")</f>
        <v/>
      </c>
      <c r="H52" s="9">
        <f>IFERROR(IF(B52&lt;&gt;'06_Target KPI'!$B$3,0,IF(VLOOKUP(F52,'05_Master KPI'!$B$5:$G$100,6,FALSE)="Kumulatif",INDEX('06_Target KPI'!$E$5:$P$100,MATCH(F52,'06_Target KPI'!$B$5:$B$100,0),MATCH(A52,'06_Target KPI'!$E$4:$P$4,0))*DAY(C52)/DAY(EOMONTH(C52,0)),INDEX('06_Target KPI'!$E$5:$P$100,MATCH(F52,'06_Target KPI'!$B$5:$B$100,0),MATCH(A52,'06_Target KPI'!$E$4:$P$4,0)))),0)</f>
        <v>0</v>
      </c>
      <c r="I52" s="20"/>
      <c r="J52" s="22">
        <f>IFERROR(MIN(IF(VLOOKUP(F52,'05_Master KPI'!$B$5:$G$100,5,FALSE)="Lower",H52/I52,I52/H52),1),0)</f>
        <v>0</v>
      </c>
      <c r="K52" s="9">
        <f>IFERROR(VLOOKUP(F52,'05_Master KPI'!$B$5:$G$100,4,FALSE),0)</f>
        <v>0</v>
      </c>
      <c r="L52" s="23">
        <f t="shared" si="0"/>
        <v>0</v>
      </c>
      <c r="M52" s="9" t="str">
        <f>IF(D52="","",IF(J52&gt;='13_Setting'!$H$7,"Tercapai",IF(J52&gt;='13_Setting'!$H$6,"On Track","Tertinggal")))</f>
        <v/>
      </c>
      <c r="N52" s="20"/>
      <c r="O52" s="1"/>
      <c r="P52" s="1"/>
      <c r="Q52" s="1"/>
      <c r="R52" s="1"/>
      <c r="S52" s="1"/>
      <c r="T52" s="1"/>
      <c r="U52" s="1"/>
      <c r="V52" s="1"/>
      <c r="W52" s="1"/>
      <c r="X52" s="1"/>
      <c r="Y52" s="1"/>
      <c r="Z52" s="1"/>
    </row>
    <row r="53" spans="1:26">
      <c r="A53" s="20"/>
      <c r="B53" s="20"/>
      <c r="C53" s="21"/>
      <c r="D53" s="20"/>
      <c r="E53" s="9" t="str">
        <f>IFERROR(VLOOKUP(D53,'04_Master Karyawan'!$A$5:$F$50,2,FALSE),"")</f>
        <v/>
      </c>
      <c r="F53" s="20"/>
      <c r="G53" s="9" t="str">
        <f>IFERROR(VLOOKUP(F53,'05_Master KPI'!$B$5:$G$100,2,FALSE)&amp;" ("&amp;VLOOKUP(F53,'05_Master KPI'!$B$5:$G$100,3,FALSE)&amp;")","")</f>
        <v/>
      </c>
      <c r="H53" s="9">
        <f>IFERROR(IF(B53&lt;&gt;'06_Target KPI'!$B$3,0,IF(VLOOKUP(F53,'05_Master KPI'!$B$5:$G$100,6,FALSE)="Kumulatif",INDEX('06_Target KPI'!$E$5:$P$100,MATCH(F53,'06_Target KPI'!$B$5:$B$100,0),MATCH(A53,'06_Target KPI'!$E$4:$P$4,0))*DAY(C53)/DAY(EOMONTH(C53,0)),INDEX('06_Target KPI'!$E$5:$P$100,MATCH(F53,'06_Target KPI'!$B$5:$B$100,0),MATCH(A53,'06_Target KPI'!$E$4:$P$4,0)))),0)</f>
        <v>0</v>
      </c>
      <c r="I53" s="20"/>
      <c r="J53" s="22">
        <f>IFERROR(MIN(IF(VLOOKUP(F53,'05_Master KPI'!$B$5:$G$100,5,FALSE)="Lower",H53/I53,I53/H53),1),0)</f>
        <v>0</v>
      </c>
      <c r="K53" s="9">
        <f>IFERROR(VLOOKUP(F53,'05_Master KPI'!$B$5:$G$100,4,FALSE),0)</f>
        <v>0</v>
      </c>
      <c r="L53" s="23">
        <f t="shared" si="0"/>
        <v>0</v>
      </c>
      <c r="M53" s="9" t="str">
        <f>IF(D53="","",IF(J53&gt;='13_Setting'!$H$7,"Tercapai",IF(J53&gt;='13_Setting'!$H$6,"On Track","Tertinggal")))</f>
        <v/>
      </c>
      <c r="N53" s="20"/>
      <c r="O53" s="1"/>
      <c r="P53" s="1"/>
      <c r="Q53" s="1"/>
      <c r="R53" s="1"/>
      <c r="S53" s="1"/>
      <c r="T53" s="1"/>
      <c r="U53" s="1"/>
      <c r="V53" s="1"/>
      <c r="W53" s="1"/>
      <c r="X53" s="1"/>
      <c r="Y53" s="1"/>
      <c r="Z53" s="1"/>
    </row>
    <row r="54" spans="1:26">
      <c r="A54" s="20"/>
      <c r="B54" s="20"/>
      <c r="C54" s="21"/>
      <c r="D54" s="20"/>
      <c r="E54" s="9" t="str">
        <f>IFERROR(VLOOKUP(D54,'04_Master Karyawan'!$A$5:$F$50,2,FALSE),"")</f>
        <v/>
      </c>
      <c r="F54" s="20"/>
      <c r="G54" s="9" t="str">
        <f>IFERROR(VLOOKUP(F54,'05_Master KPI'!$B$5:$G$100,2,FALSE)&amp;" ("&amp;VLOOKUP(F54,'05_Master KPI'!$B$5:$G$100,3,FALSE)&amp;")","")</f>
        <v/>
      </c>
      <c r="H54" s="9">
        <f>IFERROR(IF(B54&lt;&gt;'06_Target KPI'!$B$3,0,IF(VLOOKUP(F54,'05_Master KPI'!$B$5:$G$100,6,FALSE)="Kumulatif",INDEX('06_Target KPI'!$E$5:$P$100,MATCH(F54,'06_Target KPI'!$B$5:$B$100,0),MATCH(A54,'06_Target KPI'!$E$4:$P$4,0))*DAY(C54)/DAY(EOMONTH(C54,0)),INDEX('06_Target KPI'!$E$5:$P$100,MATCH(F54,'06_Target KPI'!$B$5:$B$100,0),MATCH(A54,'06_Target KPI'!$E$4:$P$4,0)))),0)</f>
        <v>0</v>
      </c>
      <c r="I54" s="20"/>
      <c r="J54" s="22">
        <f>IFERROR(MIN(IF(VLOOKUP(F54,'05_Master KPI'!$B$5:$G$100,5,FALSE)="Lower",H54/I54,I54/H54),1),0)</f>
        <v>0</v>
      </c>
      <c r="K54" s="9">
        <f>IFERROR(VLOOKUP(F54,'05_Master KPI'!$B$5:$G$100,4,FALSE),0)</f>
        <v>0</v>
      </c>
      <c r="L54" s="23">
        <f t="shared" si="0"/>
        <v>0</v>
      </c>
      <c r="M54" s="9" t="str">
        <f>IF(D54="","",IF(J54&gt;='13_Setting'!$H$7,"Tercapai",IF(J54&gt;='13_Setting'!$H$6,"On Track","Tertinggal")))</f>
        <v/>
      </c>
      <c r="N54" s="20"/>
      <c r="O54" s="1"/>
      <c r="P54" s="1"/>
      <c r="Q54" s="1"/>
      <c r="R54" s="1"/>
      <c r="S54" s="1"/>
      <c r="T54" s="1"/>
      <c r="U54" s="1"/>
      <c r="V54" s="1"/>
      <c r="W54" s="1"/>
      <c r="X54" s="1"/>
      <c r="Y54" s="1"/>
      <c r="Z54" s="1"/>
    </row>
    <row r="55" spans="1:26">
      <c r="A55" s="20"/>
      <c r="B55" s="20"/>
      <c r="C55" s="21"/>
      <c r="D55" s="20"/>
      <c r="E55" s="9" t="str">
        <f>IFERROR(VLOOKUP(D55,'04_Master Karyawan'!$A$5:$F$50,2,FALSE),"")</f>
        <v/>
      </c>
      <c r="F55" s="20"/>
      <c r="G55" s="9" t="str">
        <f>IFERROR(VLOOKUP(F55,'05_Master KPI'!$B$5:$G$100,2,FALSE)&amp;" ("&amp;VLOOKUP(F55,'05_Master KPI'!$B$5:$G$100,3,FALSE)&amp;")","")</f>
        <v/>
      </c>
      <c r="H55" s="9">
        <f>IFERROR(IF(B55&lt;&gt;'06_Target KPI'!$B$3,0,IF(VLOOKUP(F55,'05_Master KPI'!$B$5:$G$100,6,FALSE)="Kumulatif",INDEX('06_Target KPI'!$E$5:$P$100,MATCH(F55,'06_Target KPI'!$B$5:$B$100,0),MATCH(A55,'06_Target KPI'!$E$4:$P$4,0))*DAY(C55)/DAY(EOMONTH(C55,0)),INDEX('06_Target KPI'!$E$5:$P$100,MATCH(F55,'06_Target KPI'!$B$5:$B$100,0),MATCH(A55,'06_Target KPI'!$E$4:$P$4,0)))),0)</f>
        <v>0</v>
      </c>
      <c r="I55" s="20"/>
      <c r="J55" s="22">
        <f>IFERROR(MIN(IF(VLOOKUP(F55,'05_Master KPI'!$B$5:$G$100,5,FALSE)="Lower",H55/I55,I55/H55),1),0)</f>
        <v>0</v>
      </c>
      <c r="K55" s="9">
        <f>IFERROR(VLOOKUP(F55,'05_Master KPI'!$B$5:$G$100,4,FALSE),0)</f>
        <v>0</v>
      </c>
      <c r="L55" s="23">
        <f t="shared" si="0"/>
        <v>0</v>
      </c>
      <c r="M55" s="9" t="str">
        <f>IF(D55="","",IF(J55&gt;='13_Setting'!$H$7,"Tercapai",IF(J55&gt;='13_Setting'!$H$6,"On Track","Tertinggal")))</f>
        <v/>
      </c>
      <c r="N55" s="20"/>
      <c r="O55" s="1"/>
      <c r="P55" s="1"/>
      <c r="Q55" s="1"/>
      <c r="R55" s="1"/>
      <c r="S55" s="1"/>
      <c r="T55" s="1"/>
      <c r="U55" s="1"/>
      <c r="V55" s="1"/>
      <c r="W55" s="1"/>
      <c r="X55" s="1"/>
      <c r="Y55" s="1"/>
      <c r="Z55" s="1"/>
    </row>
    <row r="56" spans="1:26">
      <c r="A56" s="20"/>
      <c r="B56" s="20"/>
      <c r="C56" s="21"/>
      <c r="D56" s="20"/>
      <c r="E56" s="9" t="str">
        <f>IFERROR(VLOOKUP(D56,'04_Master Karyawan'!$A$5:$F$50,2,FALSE),"")</f>
        <v/>
      </c>
      <c r="F56" s="20"/>
      <c r="G56" s="9" t="str">
        <f>IFERROR(VLOOKUP(F56,'05_Master KPI'!$B$5:$G$100,2,FALSE)&amp;" ("&amp;VLOOKUP(F56,'05_Master KPI'!$B$5:$G$100,3,FALSE)&amp;")","")</f>
        <v/>
      </c>
      <c r="H56" s="9">
        <f>IFERROR(IF(B56&lt;&gt;'06_Target KPI'!$B$3,0,IF(VLOOKUP(F56,'05_Master KPI'!$B$5:$G$100,6,FALSE)="Kumulatif",INDEX('06_Target KPI'!$E$5:$P$100,MATCH(F56,'06_Target KPI'!$B$5:$B$100,0),MATCH(A56,'06_Target KPI'!$E$4:$P$4,0))*DAY(C56)/DAY(EOMONTH(C56,0)),INDEX('06_Target KPI'!$E$5:$P$100,MATCH(F56,'06_Target KPI'!$B$5:$B$100,0),MATCH(A56,'06_Target KPI'!$E$4:$P$4,0)))),0)</f>
        <v>0</v>
      </c>
      <c r="I56" s="20"/>
      <c r="J56" s="22">
        <f>IFERROR(MIN(IF(VLOOKUP(F56,'05_Master KPI'!$B$5:$G$100,5,FALSE)="Lower",H56/I56,I56/H56),1),0)</f>
        <v>0</v>
      </c>
      <c r="K56" s="9">
        <f>IFERROR(VLOOKUP(F56,'05_Master KPI'!$B$5:$G$100,4,FALSE),0)</f>
        <v>0</v>
      </c>
      <c r="L56" s="23">
        <f t="shared" si="0"/>
        <v>0</v>
      </c>
      <c r="M56" s="9" t="str">
        <f>IF(D56="","",IF(J56&gt;='13_Setting'!$H$7,"Tercapai",IF(J56&gt;='13_Setting'!$H$6,"On Track","Tertinggal")))</f>
        <v/>
      </c>
      <c r="N56" s="20"/>
      <c r="O56" s="1"/>
      <c r="P56" s="1"/>
      <c r="Q56" s="1"/>
      <c r="R56" s="1"/>
      <c r="S56" s="1"/>
      <c r="T56" s="1"/>
      <c r="U56" s="1"/>
      <c r="V56" s="1"/>
      <c r="W56" s="1"/>
      <c r="X56" s="1"/>
      <c r="Y56" s="1"/>
      <c r="Z56" s="1"/>
    </row>
    <row r="57" spans="1:26">
      <c r="A57" s="20"/>
      <c r="B57" s="20"/>
      <c r="C57" s="21"/>
      <c r="D57" s="20"/>
      <c r="E57" s="9" t="str">
        <f>IFERROR(VLOOKUP(D57,'04_Master Karyawan'!$A$5:$F$50,2,FALSE),"")</f>
        <v/>
      </c>
      <c r="F57" s="20"/>
      <c r="G57" s="9" t="str">
        <f>IFERROR(VLOOKUP(F57,'05_Master KPI'!$B$5:$G$100,2,FALSE)&amp;" ("&amp;VLOOKUP(F57,'05_Master KPI'!$B$5:$G$100,3,FALSE)&amp;")","")</f>
        <v/>
      </c>
      <c r="H57" s="9">
        <f>IFERROR(IF(B57&lt;&gt;'06_Target KPI'!$B$3,0,IF(VLOOKUP(F57,'05_Master KPI'!$B$5:$G$100,6,FALSE)="Kumulatif",INDEX('06_Target KPI'!$E$5:$P$100,MATCH(F57,'06_Target KPI'!$B$5:$B$100,0),MATCH(A57,'06_Target KPI'!$E$4:$P$4,0))*DAY(C57)/DAY(EOMONTH(C57,0)),INDEX('06_Target KPI'!$E$5:$P$100,MATCH(F57,'06_Target KPI'!$B$5:$B$100,0),MATCH(A57,'06_Target KPI'!$E$4:$P$4,0)))),0)</f>
        <v>0</v>
      </c>
      <c r="I57" s="20"/>
      <c r="J57" s="22">
        <f>IFERROR(MIN(IF(VLOOKUP(F57,'05_Master KPI'!$B$5:$G$100,5,FALSE)="Lower",H57/I57,I57/H57),1),0)</f>
        <v>0</v>
      </c>
      <c r="K57" s="9">
        <f>IFERROR(VLOOKUP(F57,'05_Master KPI'!$B$5:$G$100,4,FALSE),0)</f>
        <v>0</v>
      </c>
      <c r="L57" s="23">
        <f t="shared" si="0"/>
        <v>0</v>
      </c>
      <c r="M57" s="9" t="str">
        <f>IF(D57="","",IF(J57&gt;='13_Setting'!$H$7,"Tercapai",IF(J57&gt;='13_Setting'!$H$6,"On Track","Tertinggal")))</f>
        <v/>
      </c>
      <c r="N57" s="20"/>
      <c r="O57" s="1"/>
      <c r="P57" s="1"/>
      <c r="Q57" s="1"/>
      <c r="R57" s="1"/>
      <c r="S57" s="1"/>
      <c r="T57" s="1"/>
      <c r="U57" s="1"/>
      <c r="V57" s="1"/>
      <c r="W57" s="1"/>
      <c r="X57" s="1"/>
      <c r="Y57" s="1"/>
      <c r="Z57" s="1"/>
    </row>
    <row r="58" spans="1:26">
      <c r="A58" s="20"/>
      <c r="B58" s="20"/>
      <c r="C58" s="21"/>
      <c r="D58" s="20"/>
      <c r="E58" s="9" t="str">
        <f>IFERROR(VLOOKUP(D58,'04_Master Karyawan'!$A$5:$F$50,2,FALSE),"")</f>
        <v/>
      </c>
      <c r="F58" s="20"/>
      <c r="G58" s="9" t="str">
        <f>IFERROR(VLOOKUP(F58,'05_Master KPI'!$B$5:$G$100,2,FALSE)&amp;" ("&amp;VLOOKUP(F58,'05_Master KPI'!$B$5:$G$100,3,FALSE)&amp;")","")</f>
        <v/>
      </c>
      <c r="H58" s="9">
        <f>IFERROR(IF(B58&lt;&gt;'06_Target KPI'!$B$3,0,IF(VLOOKUP(F58,'05_Master KPI'!$B$5:$G$100,6,FALSE)="Kumulatif",INDEX('06_Target KPI'!$E$5:$P$100,MATCH(F58,'06_Target KPI'!$B$5:$B$100,0),MATCH(A58,'06_Target KPI'!$E$4:$P$4,0))*DAY(C58)/DAY(EOMONTH(C58,0)),INDEX('06_Target KPI'!$E$5:$P$100,MATCH(F58,'06_Target KPI'!$B$5:$B$100,0),MATCH(A58,'06_Target KPI'!$E$4:$P$4,0)))),0)</f>
        <v>0</v>
      </c>
      <c r="I58" s="20"/>
      <c r="J58" s="22">
        <f>IFERROR(MIN(IF(VLOOKUP(F58,'05_Master KPI'!$B$5:$G$100,5,FALSE)="Lower",H58/I58,I58/H58),1),0)</f>
        <v>0</v>
      </c>
      <c r="K58" s="9">
        <f>IFERROR(VLOOKUP(F58,'05_Master KPI'!$B$5:$G$100,4,FALSE),0)</f>
        <v>0</v>
      </c>
      <c r="L58" s="23">
        <f t="shared" si="0"/>
        <v>0</v>
      </c>
      <c r="M58" s="9" t="str">
        <f>IF(D58="","",IF(J58&gt;='13_Setting'!$H$7,"Tercapai",IF(J58&gt;='13_Setting'!$H$6,"On Track","Tertinggal")))</f>
        <v/>
      </c>
      <c r="N58" s="20"/>
      <c r="O58" s="1"/>
      <c r="P58" s="1"/>
      <c r="Q58" s="1"/>
      <c r="R58" s="1"/>
      <c r="S58" s="1"/>
      <c r="T58" s="1"/>
      <c r="U58" s="1"/>
      <c r="V58" s="1"/>
      <c r="W58" s="1"/>
      <c r="X58" s="1"/>
      <c r="Y58" s="1"/>
      <c r="Z58" s="1"/>
    </row>
    <row r="59" spans="1:26">
      <c r="A59" s="20"/>
      <c r="B59" s="20"/>
      <c r="C59" s="21"/>
      <c r="D59" s="20"/>
      <c r="E59" s="9" t="str">
        <f>IFERROR(VLOOKUP(D59,'04_Master Karyawan'!$A$5:$F$50,2,FALSE),"")</f>
        <v/>
      </c>
      <c r="F59" s="20"/>
      <c r="G59" s="9" t="str">
        <f>IFERROR(VLOOKUP(F59,'05_Master KPI'!$B$5:$G$100,2,FALSE)&amp;" ("&amp;VLOOKUP(F59,'05_Master KPI'!$B$5:$G$100,3,FALSE)&amp;")","")</f>
        <v/>
      </c>
      <c r="H59" s="9">
        <f>IFERROR(IF(B59&lt;&gt;'06_Target KPI'!$B$3,0,IF(VLOOKUP(F59,'05_Master KPI'!$B$5:$G$100,6,FALSE)="Kumulatif",INDEX('06_Target KPI'!$E$5:$P$100,MATCH(F59,'06_Target KPI'!$B$5:$B$100,0),MATCH(A59,'06_Target KPI'!$E$4:$P$4,0))*DAY(C59)/DAY(EOMONTH(C59,0)),INDEX('06_Target KPI'!$E$5:$P$100,MATCH(F59,'06_Target KPI'!$B$5:$B$100,0),MATCH(A59,'06_Target KPI'!$E$4:$P$4,0)))),0)</f>
        <v>0</v>
      </c>
      <c r="I59" s="20"/>
      <c r="J59" s="22">
        <f>IFERROR(MIN(IF(VLOOKUP(F59,'05_Master KPI'!$B$5:$G$100,5,FALSE)="Lower",H59/I59,I59/H59),1),0)</f>
        <v>0</v>
      </c>
      <c r="K59" s="9">
        <f>IFERROR(VLOOKUP(F59,'05_Master KPI'!$B$5:$G$100,4,FALSE),0)</f>
        <v>0</v>
      </c>
      <c r="L59" s="23">
        <f t="shared" si="0"/>
        <v>0</v>
      </c>
      <c r="M59" s="9" t="str">
        <f>IF(D59="","",IF(J59&gt;='13_Setting'!$H$7,"Tercapai",IF(J59&gt;='13_Setting'!$H$6,"On Track","Tertinggal")))</f>
        <v/>
      </c>
      <c r="N59" s="20"/>
      <c r="O59" s="1"/>
      <c r="P59" s="1"/>
      <c r="Q59" s="1"/>
      <c r="R59" s="1"/>
      <c r="S59" s="1"/>
      <c r="T59" s="1"/>
      <c r="U59" s="1"/>
      <c r="V59" s="1"/>
      <c r="W59" s="1"/>
      <c r="X59" s="1"/>
      <c r="Y59" s="1"/>
      <c r="Z59" s="1"/>
    </row>
    <row r="60" spans="1:26">
      <c r="A60" s="20"/>
      <c r="B60" s="20"/>
      <c r="C60" s="21"/>
      <c r="D60" s="20"/>
      <c r="E60" s="9" t="str">
        <f>IFERROR(VLOOKUP(D60,'04_Master Karyawan'!$A$5:$F$50,2,FALSE),"")</f>
        <v/>
      </c>
      <c r="F60" s="20"/>
      <c r="G60" s="9" t="str">
        <f>IFERROR(VLOOKUP(F60,'05_Master KPI'!$B$5:$G$100,2,FALSE)&amp;" ("&amp;VLOOKUP(F60,'05_Master KPI'!$B$5:$G$100,3,FALSE)&amp;")","")</f>
        <v/>
      </c>
      <c r="H60" s="9">
        <f>IFERROR(IF(B60&lt;&gt;'06_Target KPI'!$B$3,0,IF(VLOOKUP(F60,'05_Master KPI'!$B$5:$G$100,6,FALSE)="Kumulatif",INDEX('06_Target KPI'!$E$5:$P$100,MATCH(F60,'06_Target KPI'!$B$5:$B$100,0),MATCH(A60,'06_Target KPI'!$E$4:$P$4,0))*DAY(C60)/DAY(EOMONTH(C60,0)),INDEX('06_Target KPI'!$E$5:$P$100,MATCH(F60,'06_Target KPI'!$B$5:$B$100,0),MATCH(A60,'06_Target KPI'!$E$4:$P$4,0)))),0)</f>
        <v>0</v>
      </c>
      <c r="I60" s="20"/>
      <c r="J60" s="22">
        <f>IFERROR(MIN(IF(VLOOKUP(F60,'05_Master KPI'!$B$5:$G$100,5,FALSE)="Lower",H60/I60,I60/H60),1),0)</f>
        <v>0</v>
      </c>
      <c r="K60" s="9">
        <f>IFERROR(VLOOKUP(F60,'05_Master KPI'!$B$5:$G$100,4,FALSE),0)</f>
        <v>0</v>
      </c>
      <c r="L60" s="23">
        <f t="shared" si="0"/>
        <v>0</v>
      </c>
      <c r="M60" s="9" t="str">
        <f>IF(D60="","",IF(J60&gt;='13_Setting'!$H$7,"Tercapai",IF(J60&gt;='13_Setting'!$H$6,"On Track","Tertinggal")))</f>
        <v/>
      </c>
      <c r="N60" s="20"/>
      <c r="O60" s="1"/>
      <c r="P60" s="1"/>
      <c r="Q60" s="1"/>
      <c r="R60" s="1"/>
      <c r="S60" s="1"/>
      <c r="T60" s="1"/>
      <c r="U60" s="1"/>
      <c r="V60" s="1"/>
      <c r="W60" s="1"/>
      <c r="X60" s="1"/>
      <c r="Y60" s="1"/>
      <c r="Z60" s="1"/>
    </row>
    <row r="61" spans="1:26">
      <c r="A61" s="20"/>
      <c r="B61" s="20"/>
      <c r="C61" s="21"/>
      <c r="D61" s="20"/>
      <c r="E61" s="9" t="str">
        <f>IFERROR(VLOOKUP(D61,'04_Master Karyawan'!$A$5:$F$50,2,FALSE),"")</f>
        <v/>
      </c>
      <c r="F61" s="20"/>
      <c r="G61" s="9" t="str">
        <f>IFERROR(VLOOKUP(F61,'05_Master KPI'!$B$5:$G$100,2,FALSE)&amp;" ("&amp;VLOOKUP(F61,'05_Master KPI'!$B$5:$G$100,3,FALSE)&amp;")","")</f>
        <v/>
      </c>
      <c r="H61" s="9">
        <f>IFERROR(IF(B61&lt;&gt;'06_Target KPI'!$B$3,0,IF(VLOOKUP(F61,'05_Master KPI'!$B$5:$G$100,6,FALSE)="Kumulatif",INDEX('06_Target KPI'!$E$5:$P$100,MATCH(F61,'06_Target KPI'!$B$5:$B$100,0),MATCH(A61,'06_Target KPI'!$E$4:$P$4,0))*DAY(C61)/DAY(EOMONTH(C61,0)),INDEX('06_Target KPI'!$E$5:$P$100,MATCH(F61,'06_Target KPI'!$B$5:$B$100,0),MATCH(A61,'06_Target KPI'!$E$4:$P$4,0)))),0)</f>
        <v>0</v>
      </c>
      <c r="I61" s="20"/>
      <c r="J61" s="22">
        <f>IFERROR(MIN(IF(VLOOKUP(F61,'05_Master KPI'!$B$5:$G$100,5,FALSE)="Lower",H61/I61,I61/H61),1),0)</f>
        <v>0</v>
      </c>
      <c r="K61" s="9">
        <f>IFERROR(VLOOKUP(F61,'05_Master KPI'!$B$5:$G$100,4,FALSE),0)</f>
        <v>0</v>
      </c>
      <c r="L61" s="23">
        <f t="shared" si="0"/>
        <v>0</v>
      </c>
      <c r="M61" s="9" t="str">
        <f>IF(D61="","",IF(J61&gt;='13_Setting'!$H$7,"Tercapai",IF(J61&gt;='13_Setting'!$H$6,"On Track","Tertinggal")))</f>
        <v/>
      </c>
      <c r="N61" s="20"/>
      <c r="O61" s="1"/>
      <c r="P61" s="1"/>
      <c r="Q61" s="1"/>
      <c r="R61" s="1"/>
      <c r="S61" s="1"/>
      <c r="T61" s="1"/>
      <c r="U61" s="1"/>
      <c r="V61" s="1"/>
      <c r="W61" s="1"/>
      <c r="X61" s="1"/>
      <c r="Y61" s="1"/>
      <c r="Z61" s="1"/>
    </row>
    <row r="62" spans="1:26">
      <c r="A62" s="20"/>
      <c r="B62" s="20"/>
      <c r="C62" s="21"/>
      <c r="D62" s="20"/>
      <c r="E62" s="9" t="str">
        <f>IFERROR(VLOOKUP(D62,'04_Master Karyawan'!$A$5:$F$50,2,FALSE),"")</f>
        <v/>
      </c>
      <c r="F62" s="20"/>
      <c r="G62" s="9" t="str">
        <f>IFERROR(VLOOKUP(F62,'05_Master KPI'!$B$5:$G$100,2,FALSE)&amp;" ("&amp;VLOOKUP(F62,'05_Master KPI'!$B$5:$G$100,3,FALSE)&amp;")","")</f>
        <v/>
      </c>
      <c r="H62" s="9">
        <f>IFERROR(IF(B62&lt;&gt;'06_Target KPI'!$B$3,0,IF(VLOOKUP(F62,'05_Master KPI'!$B$5:$G$100,6,FALSE)="Kumulatif",INDEX('06_Target KPI'!$E$5:$P$100,MATCH(F62,'06_Target KPI'!$B$5:$B$100,0),MATCH(A62,'06_Target KPI'!$E$4:$P$4,0))*DAY(C62)/DAY(EOMONTH(C62,0)),INDEX('06_Target KPI'!$E$5:$P$100,MATCH(F62,'06_Target KPI'!$B$5:$B$100,0),MATCH(A62,'06_Target KPI'!$E$4:$P$4,0)))),0)</f>
        <v>0</v>
      </c>
      <c r="I62" s="20"/>
      <c r="J62" s="22">
        <f>IFERROR(MIN(IF(VLOOKUP(F62,'05_Master KPI'!$B$5:$G$100,5,FALSE)="Lower",H62/I62,I62/H62),1),0)</f>
        <v>0</v>
      </c>
      <c r="K62" s="9">
        <f>IFERROR(VLOOKUP(F62,'05_Master KPI'!$B$5:$G$100,4,FALSE),0)</f>
        <v>0</v>
      </c>
      <c r="L62" s="23">
        <f t="shared" si="0"/>
        <v>0</v>
      </c>
      <c r="M62" s="9" t="str">
        <f>IF(D62="","",IF(J62&gt;='13_Setting'!$H$7,"Tercapai",IF(J62&gt;='13_Setting'!$H$6,"On Track","Tertinggal")))</f>
        <v/>
      </c>
      <c r="N62" s="20"/>
      <c r="O62" s="1"/>
      <c r="P62" s="1"/>
      <c r="Q62" s="1"/>
      <c r="R62" s="1"/>
      <c r="S62" s="1"/>
      <c r="T62" s="1"/>
      <c r="U62" s="1"/>
      <c r="V62" s="1"/>
      <c r="W62" s="1"/>
      <c r="X62" s="1"/>
      <c r="Y62" s="1"/>
      <c r="Z62" s="1"/>
    </row>
    <row r="63" spans="1:26">
      <c r="A63" s="20"/>
      <c r="B63" s="20"/>
      <c r="C63" s="21"/>
      <c r="D63" s="20"/>
      <c r="E63" s="9" t="str">
        <f>IFERROR(VLOOKUP(D63,'04_Master Karyawan'!$A$5:$F$50,2,FALSE),"")</f>
        <v/>
      </c>
      <c r="F63" s="20"/>
      <c r="G63" s="9" t="str">
        <f>IFERROR(VLOOKUP(F63,'05_Master KPI'!$B$5:$G$100,2,FALSE)&amp;" ("&amp;VLOOKUP(F63,'05_Master KPI'!$B$5:$G$100,3,FALSE)&amp;")","")</f>
        <v/>
      </c>
      <c r="H63" s="9">
        <f>IFERROR(IF(B63&lt;&gt;'06_Target KPI'!$B$3,0,IF(VLOOKUP(F63,'05_Master KPI'!$B$5:$G$100,6,FALSE)="Kumulatif",INDEX('06_Target KPI'!$E$5:$P$100,MATCH(F63,'06_Target KPI'!$B$5:$B$100,0),MATCH(A63,'06_Target KPI'!$E$4:$P$4,0))*DAY(C63)/DAY(EOMONTH(C63,0)),INDEX('06_Target KPI'!$E$5:$P$100,MATCH(F63,'06_Target KPI'!$B$5:$B$100,0),MATCH(A63,'06_Target KPI'!$E$4:$P$4,0)))),0)</f>
        <v>0</v>
      </c>
      <c r="I63" s="20"/>
      <c r="J63" s="22">
        <f>IFERROR(MIN(IF(VLOOKUP(F63,'05_Master KPI'!$B$5:$G$100,5,FALSE)="Lower",H63/I63,I63/H63),1),0)</f>
        <v>0</v>
      </c>
      <c r="K63" s="9">
        <f>IFERROR(VLOOKUP(F63,'05_Master KPI'!$B$5:$G$100,4,FALSE),0)</f>
        <v>0</v>
      </c>
      <c r="L63" s="23">
        <f t="shared" si="0"/>
        <v>0</v>
      </c>
      <c r="M63" s="9" t="str">
        <f>IF(D63="","",IF(J63&gt;='13_Setting'!$H$7,"Tercapai",IF(J63&gt;='13_Setting'!$H$6,"On Track","Tertinggal")))</f>
        <v/>
      </c>
      <c r="N63" s="20"/>
      <c r="O63" s="1"/>
      <c r="P63" s="1"/>
      <c r="Q63" s="1"/>
      <c r="R63" s="1"/>
      <c r="S63" s="1"/>
      <c r="T63" s="1"/>
      <c r="U63" s="1"/>
      <c r="V63" s="1"/>
      <c r="W63" s="1"/>
      <c r="X63" s="1"/>
      <c r="Y63" s="1"/>
      <c r="Z63" s="1"/>
    </row>
    <row r="64" spans="1:26">
      <c r="A64" s="20"/>
      <c r="B64" s="20"/>
      <c r="C64" s="21"/>
      <c r="D64" s="20"/>
      <c r="E64" s="9" t="str">
        <f>IFERROR(VLOOKUP(D64,'04_Master Karyawan'!$A$5:$F$50,2,FALSE),"")</f>
        <v/>
      </c>
      <c r="F64" s="20"/>
      <c r="G64" s="9" t="str">
        <f>IFERROR(VLOOKUP(F64,'05_Master KPI'!$B$5:$G$100,2,FALSE)&amp;" ("&amp;VLOOKUP(F64,'05_Master KPI'!$B$5:$G$100,3,FALSE)&amp;")","")</f>
        <v/>
      </c>
      <c r="H64" s="9">
        <f>IFERROR(IF(B64&lt;&gt;'06_Target KPI'!$B$3,0,IF(VLOOKUP(F64,'05_Master KPI'!$B$5:$G$100,6,FALSE)="Kumulatif",INDEX('06_Target KPI'!$E$5:$P$100,MATCH(F64,'06_Target KPI'!$B$5:$B$100,0),MATCH(A64,'06_Target KPI'!$E$4:$P$4,0))*DAY(C64)/DAY(EOMONTH(C64,0)),INDEX('06_Target KPI'!$E$5:$P$100,MATCH(F64,'06_Target KPI'!$B$5:$B$100,0),MATCH(A64,'06_Target KPI'!$E$4:$P$4,0)))),0)</f>
        <v>0</v>
      </c>
      <c r="I64" s="20"/>
      <c r="J64" s="22">
        <f>IFERROR(MIN(IF(VLOOKUP(F64,'05_Master KPI'!$B$5:$G$100,5,FALSE)="Lower",H64/I64,I64/H64),1),0)</f>
        <v>0</v>
      </c>
      <c r="K64" s="9">
        <f>IFERROR(VLOOKUP(F64,'05_Master KPI'!$B$5:$G$100,4,FALSE),0)</f>
        <v>0</v>
      </c>
      <c r="L64" s="23">
        <f t="shared" si="0"/>
        <v>0</v>
      </c>
      <c r="M64" s="9" t="str">
        <f>IF(D64="","",IF(J64&gt;='13_Setting'!$H$7,"Tercapai",IF(J64&gt;='13_Setting'!$H$6,"On Track","Tertinggal")))</f>
        <v/>
      </c>
      <c r="N64" s="20"/>
      <c r="O64" s="1"/>
      <c r="P64" s="1"/>
      <c r="Q64" s="1"/>
      <c r="R64" s="1"/>
      <c r="S64" s="1"/>
      <c r="T64" s="1"/>
      <c r="U64" s="1"/>
      <c r="V64" s="1"/>
      <c r="W64" s="1"/>
      <c r="X64" s="1"/>
      <c r="Y64" s="1"/>
      <c r="Z64" s="1"/>
    </row>
    <row r="65" spans="1:26">
      <c r="A65" s="20"/>
      <c r="B65" s="20"/>
      <c r="C65" s="21"/>
      <c r="D65" s="20"/>
      <c r="E65" s="9" t="str">
        <f>IFERROR(VLOOKUP(D65,'04_Master Karyawan'!$A$5:$F$50,2,FALSE),"")</f>
        <v/>
      </c>
      <c r="F65" s="20"/>
      <c r="G65" s="9" t="str">
        <f>IFERROR(VLOOKUP(F65,'05_Master KPI'!$B$5:$G$100,2,FALSE)&amp;" ("&amp;VLOOKUP(F65,'05_Master KPI'!$B$5:$G$100,3,FALSE)&amp;")","")</f>
        <v/>
      </c>
      <c r="H65" s="9">
        <f>IFERROR(IF(B65&lt;&gt;'06_Target KPI'!$B$3,0,IF(VLOOKUP(F65,'05_Master KPI'!$B$5:$G$100,6,FALSE)="Kumulatif",INDEX('06_Target KPI'!$E$5:$P$100,MATCH(F65,'06_Target KPI'!$B$5:$B$100,0),MATCH(A65,'06_Target KPI'!$E$4:$P$4,0))*DAY(C65)/DAY(EOMONTH(C65,0)),INDEX('06_Target KPI'!$E$5:$P$100,MATCH(F65,'06_Target KPI'!$B$5:$B$100,0),MATCH(A65,'06_Target KPI'!$E$4:$P$4,0)))),0)</f>
        <v>0</v>
      </c>
      <c r="I65" s="20"/>
      <c r="J65" s="22">
        <f>IFERROR(MIN(IF(VLOOKUP(F65,'05_Master KPI'!$B$5:$G$100,5,FALSE)="Lower",H65/I65,I65/H65),1),0)</f>
        <v>0</v>
      </c>
      <c r="K65" s="9">
        <f>IFERROR(VLOOKUP(F65,'05_Master KPI'!$B$5:$G$100,4,FALSE),0)</f>
        <v>0</v>
      </c>
      <c r="L65" s="23">
        <f t="shared" si="0"/>
        <v>0</v>
      </c>
      <c r="M65" s="9" t="str">
        <f>IF(D65="","",IF(J65&gt;='13_Setting'!$H$7,"Tercapai",IF(J65&gt;='13_Setting'!$H$6,"On Track","Tertinggal")))</f>
        <v/>
      </c>
      <c r="N65" s="20"/>
      <c r="O65" s="1"/>
      <c r="P65" s="1"/>
      <c r="Q65" s="1"/>
      <c r="R65" s="1"/>
      <c r="S65" s="1"/>
      <c r="T65" s="1"/>
      <c r="U65" s="1"/>
      <c r="V65" s="1"/>
      <c r="W65" s="1"/>
      <c r="X65" s="1"/>
      <c r="Y65" s="1"/>
      <c r="Z65" s="1"/>
    </row>
    <row r="66" spans="1:26">
      <c r="A66" s="20"/>
      <c r="B66" s="20"/>
      <c r="C66" s="21"/>
      <c r="D66" s="20"/>
      <c r="E66" s="9" t="str">
        <f>IFERROR(VLOOKUP(D66,'04_Master Karyawan'!$A$5:$F$50,2,FALSE),"")</f>
        <v/>
      </c>
      <c r="F66" s="20"/>
      <c r="G66" s="9" t="str">
        <f>IFERROR(VLOOKUP(F66,'05_Master KPI'!$B$5:$G$100,2,FALSE)&amp;" ("&amp;VLOOKUP(F66,'05_Master KPI'!$B$5:$G$100,3,FALSE)&amp;")","")</f>
        <v/>
      </c>
      <c r="H66" s="9">
        <f>IFERROR(IF(B66&lt;&gt;'06_Target KPI'!$B$3,0,IF(VLOOKUP(F66,'05_Master KPI'!$B$5:$G$100,6,FALSE)="Kumulatif",INDEX('06_Target KPI'!$E$5:$P$100,MATCH(F66,'06_Target KPI'!$B$5:$B$100,0),MATCH(A66,'06_Target KPI'!$E$4:$P$4,0))*DAY(C66)/DAY(EOMONTH(C66,0)),INDEX('06_Target KPI'!$E$5:$P$100,MATCH(F66,'06_Target KPI'!$B$5:$B$100,0),MATCH(A66,'06_Target KPI'!$E$4:$P$4,0)))),0)</f>
        <v>0</v>
      </c>
      <c r="I66" s="20"/>
      <c r="J66" s="22">
        <f>IFERROR(MIN(IF(VLOOKUP(F66,'05_Master KPI'!$B$5:$G$100,5,FALSE)="Lower",H66/I66,I66/H66),1),0)</f>
        <v>0</v>
      </c>
      <c r="K66" s="9">
        <f>IFERROR(VLOOKUP(F66,'05_Master KPI'!$B$5:$G$100,4,FALSE),0)</f>
        <v>0</v>
      </c>
      <c r="L66" s="23">
        <f t="shared" si="0"/>
        <v>0</v>
      </c>
      <c r="M66" s="9" t="str">
        <f>IF(D66="","",IF(J66&gt;='13_Setting'!$H$7,"Tercapai",IF(J66&gt;='13_Setting'!$H$6,"On Track","Tertinggal")))</f>
        <v/>
      </c>
      <c r="N66" s="20"/>
      <c r="O66" s="1"/>
      <c r="P66" s="1"/>
      <c r="Q66" s="1"/>
      <c r="R66" s="1"/>
      <c r="S66" s="1"/>
      <c r="T66" s="1"/>
      <c r="U66" s="1"/>
      <c r="V66" s="1"/>
      <c r="W66" s="1"/>
      <c r="X66" s="1"/>
      <c r="Y66" s="1"/>
      <c r="Z66" s="1"/>
    </row>
    <row r="67" spans="1:26">
      <c r="A67" s="20"/>
      <c r="B67" s="20"/>
      <c r="C67" s="21"/>
      <c r="D67" s="20"/>
      <c r="E67" s="9" t="str">
        <f>IFERROR(VLOOKUP(D67,'04_Master Karyawan'!$A$5:$F$50,2,FALSE),"")</f>
        <v/>
      </c>
      <c r="F67" s="20"/>
      <c r="G67" s="9" t="str">
        <f>IFERROR(VLOOKUP(F67,'05_Master KPI'!$B$5:$G$100,2,FALSE)&amp;" ("&amp;VLOOKUP(F67,'05_Master KPI'!$B$5:$G$100,3,FALSE)&amp;")","")</f>
        <v/>
      </c>
      <c r="H67" s="9">
        <f>IFERROR(IF(B67&lt;&gt;'06_Target KPI'!$B$3,0,IF(VLOOKUP(F67,'05_Master KPI'!$B$5:$G$100,6,FALSE)="Kumulatif",INDEX('06_Target KPI'!$E$5:$P$100,MATCH(F67,'06_Target KPI'!$B$5:$B$100,0),MATCH(A67,'06_Target KPI'!$E$4:$P$4,0))*DAY(C67)/DAY(EOMONTH(C67,0)),INDEX('06_Target KPI'!$E$5:$P$100,MATCH(F67,'06_Target KPI'!$B$5:$B$100,0),MATCH(A67,'06_Target KPI'!$E$4:$P$4,0)))),0)</f>
        <v>0</v>
      </c>
      <c r="I67" s="20"/>
      <c r="J67" s="22">
        <f>IFERROR(MIN(IF(VLOOKUP(F67,'05_Master KPI'!$B$5:$G$100,5,FALSE)="Lower",H67/I67,I67/H67),1),0)</f>
        <v>0</v>
      </c>
      <c r="K67" s="9">
        <f>IFERROR(VLOOKUP(F67,'05_Master KPI'!$B$5:$G$100,4,FALSE),0)</f>
        <v>0</v>
      </c>
      <c r="L67" s="23">
        <f t="shared" si="0"/>
        <v>0</v>
      </c>
      <c r="M67" s="9" t="str">
        <f>IF(D67="","",IF(J67&gt;='13_Setting'!$H$7,"Tercapai",IF(J67&gt;='13_Setting'!$H$6,"On Track","Tertinggal")))</f>
        <v/>
      </c>
      <c r="N67" s="20"/>
      <c r="O67" s="1"/>
      <c r="P67" s="1"/>
      <c r="Q67" s="1"/>
      <c r="R67" s="1"/>
      <c r="S67" s="1"/>
      <c r="T67" s="1"/>
      <c r="U67" s="1"/>
      <c r="V67" s="1"/>
      <c r="W67" s="1"/>
      <c r="X67" s="1"/>
      <c r="Y67" s="1"/>
      <c r="Z67" s="1"/>
    </row>
    <row r="68" spans="1:26">
      <c r="A68" s="20"/>
      <c r="B68" s="20"/>
      <c r="C68" s="21"/>
      <c r="D68" s="20"/>
      <c r="E68" s="9" t="str">
        <f>IFERROR(VLOOKUP(D68,'04_Master Karyawan'!$A$5:$F$50,2,FALSE),"")</f>
        <v/>
      </c>
      <c r="F68" s="20"/>
      <c r="G68" s="9" t="str">
        <f>IFERROR(VLOOKUP(F68,'05_Master KPI'!$B$5:$G$100,2,FALSE)&amp;" ("&amp;VLOOKUP(F68,'05_Master KPI'!$B$5:$G$100,3,FALSE)&amp;")","")</f>
        <v/>
      </c>
      <c r="H68" s="9">
        <f>IFERROR(IF(B68&lt;&gt;'06_Target KPI'!$B$3,0,IF(VLOOKUP(F68,'05_Master KPI'!$B$5:$G$100,6,FALSE)="Kumulatif",INDEX('06_Target KPI'!$E$5:$P$100,MATCH(F68,'06_Target KPI'!$B$5:$B$100,0),MATCH(A68,'06_Target KPI'!$E$4:$P$4,0))*DAY(C68)/DAY(EOMONTH(C68,0)),INDEX('06_Target KPI'!$E$5:$P$100,MATCH(F68,'06_Target KPI'!$B$5:$B$100,0),MATCH(A68,'06_Target KPI'!$E$4:$P$4,0)))),0)</f>
        <v>0</v>
      </c>
      <c r="I68" s="20"/>
      <c r="J68" s="22">
        <f>IFERROR(MIN(IF(VLOOKUP(F68,'05_Master KPI'!$B$5:$G$100,5,FALSE)="Lower",H68/I68,I68/H68),1),0)</f>
        <v>0</v>
      </c>
      <c r="K68" s="9">
        <f>IFERROR(VLOOKUP(F68,'05_Master KPI'!$B$5:$G$100,4,FALSE),0)</f>
        <v>0</v>
      </c>
      <c r="L68" s="23">
        <f t="shared" si="0"/>
        <v>0</v>
      </c>
      <c r="M68" s="9" t="str">
        <f>IF(D68="","",IF(J68&gt;='13_Setting'!$H$7,"Tercapai",IF(J68&gt;='13_Setting'!$H$6,"On Track","Tertinggal")))</f>
        <v/>
      </c>
      <c r="N68" s="20"/>
      <c r="O68" s="1"/>
      <c r="P68" s="1"/>
      <c r="Q68" s="1"/>
      <c r="R68" s="1"/>
      <c r="S68" s="1"/>
      <c r="T68" s="1"/>
      <c r="U68" s="1"/>
      <c r="V68" s="1"/>
      <c r="W68" s="1"/>
      <c r="X68" s="1"/>
      <c r="Y68" s="1"/>
      <c r="Z68" s="1"/>
    </row>
    <row r="69" spans="1:26">
      <c r="A69" s="20"/>
      <c r="B69" s="20"/>
      <c r="C69" s="21"/>
      <c r="D69" s="20"/>
      <c r="E69" s="9" t="str">
        <f>IFERROR(VLOOKUP(D69,'04_Master Karyawan'!$A$5:$F$50,2,FALSE),"")</f>
        <v/>
      </c>
      <c r="F69" s="20"/>
      <c r="G69" s="9" t="str">
        <f>IFERROR(VLOOKUP(F69,'05_Master KPI'!$B$5:$G$100,2,FALSE)&amp;" ("&amp;VLOOKUP(F69,'05_Master KPI'!$B$5:$G$100,3,FALSE)&amp;")","")</f>
        <v/>
      </c>
      <c r="H69" s="9">
        <f>IFERROR(IF(B69&lt;&gt;'06_Target KPI'!$B$3,0,IF(VLOOKUP(F69,'05_Master KPI'!$B$5:$G$100,6,FALSE)="Kumulatif",INDEX('06_Target KPI'!$E$5:$P$100,MATCH(F69,'06_Target KPI'!$B$5:$B$100,0),MATCH(A69,'06_Target KPI'!$E$4:$P$4,0))*DAY(C69)/DAY(EOMONTH(C69,0)),INDEX('06_Target KPI'!$E$5:$P$100,MATCH(F69,'06_Target KPI'!$B$5:$B$100,0),MATCH(A69,'06_Target KPI'!$E$4:$P$4,0)))),0)</f>
        <v>0</v>
      </c>
      <c r="I69" s="20"/>
      <c r="J69" s="22">
        <f>IFERROR(MIN(IF(VLOOKUP(F69,'05_Master KPI'!$B$5:$G$100,5,FALSE)="Lower",H69/I69,I69/H69),1),0)</f>
        <v>0</v>
      </c>
      <c r="K69" s="9">
        <f>IFERROR(VLOOKUP(F69,'05_Master KPI'!$B$5:$G$100,4,FALSE),0)</f>
        <v>0</v>
      </c>
      <c r="L69" s="23">
        <f t="shared" ref="L69:L132" si="1">J69*K69</f>
        <v>0</v>
      </c>
      <c r="M69" s="9" t="str">
        <f>IF(D69="","",IF(J69&gt;='13_Setting'!$H$7,"Tercapai",IF(J69&gt;='13_Setting'!$H$6,"On Track","Tertinggal")))</f>
        <v/>
      </c>
      <c r="N69" s="20"/>
      <c r="O69" s="1"/>
      <c r="P69" s="1"/>
      <c r="Q69" s="1"/>
      <c r="R69" s="1"/>
      <c r="S69" s="1"/>
      <c r="T69" s="1"/>
      <c r="U69" s="1"/>
      <c r="V69" s="1"/>
      <c r="W69" s="1"/>
      <c r="X69" s="1"/>
      <c r="Y69" s="1"/>
      <c r="Z69" s="1"/>
    </row>
    <row r="70" spans="1:26">
      <c r="A70" s="20"/>
      <c r="B70" s="20"/>
      <c r="C70" s="21"/>
      <c r="D70" s="20"/>
      <c r="E70" s="9" t="str">
        <f>IFERROR(VLOOKUP(D70,'04_Master Karyawan'!$A$5:$F$50,2,FALSE),"")</f>
        <v/>
      </c>
      <c r="F70" s="20"/>
      <c r="G70" s="9" t="str">
        <f>IFERROR(VLOOKUP(F70,'05_Master KPI'!$B$5:$G$100,2,FALSE)&amp;" ("&amp;VLOOKUP(F70,'05_Master KPI'!$B$5:$G$100,3,FALSE)&amp;")","")</f>
        <v/>
      </c>
      <c r="H70" s="9">
        <f>IFERROR(IF(B70&lt;&gt;'06_Target KPI'!$B$3,0,IF(VLOOKUP(F70,'05_Master KPI'!$B$5:$G$100,6,FALSE)="Kumulatif",INDEX('06_Target KPI'!$E$5:$P$100,MATCH(F70,'06_Target KPI'!$B$5:$B$100,0),MATCH(A70,'06_Target KPI'!$E$4:$P$4,0))*DAY(C70)/DAY(EOMONTH(C70,0)),INDEX('06_Target KPI'!$E$5:$P$100,MATCH(F70,'06_Target KPI'!$B$5:$B$100,0),MATCH(A70,'06_Target KPI'!$E$4:$P$4,0)))),0)</f>
        <v>0</v>
      </c>
      <c r="I70" s="20"/>
      <c r="J70" s="22">
        <f>IFERROR(MIN(IF(VLOOKUP(F70,'05_Master KPI'!$B$5:$G$100,5,FALSE)="Lower",H70/I70,I70/H70),1),0)</f>
        <v>0</v>
      </c>
      <c r="K70" s="9">
        <f>IFERROR(VLOOKUP(F70,'05_Master KPI'!$B$5:$G$100,4,FALSE),0)</f>
        <v>0</v>
      </c>
      <c r="L70" s="23">
        <f t="shared" si="1"/>
        <v>0</v>
      </c>
      <c r="M70" s="9" t="str">
        <f>IF(D70="","",IF(J70&gt;='13_Setting'!$H$7,"Tercapai",IF(J70&gt;='13_Setting'!$H$6,"On Track","Tertinggal")))</f>
        <v/>
      </c>
      <c r="N70" s="20"/>
      <c r="O70" s="1"/>
      <c r="P70" s="1"/>
      <c r="Q70" s="1"/>
      <c r="R70" s="1"/>
      <c r="S70" s="1"/>
      <c r="T70" s="1"/>
      <c r="U70" s="1"/>
      <c r="V70" s="1"/>
      <c r="W70" s="1"/>
      <c r="X70" s="1"/>
      <c r="Y70" s="1"/>
      <c r="Z70" s="1"/>
    </row>
    <row r="71" spans="1:26">
      <c r="A71" s="20"/>
      <c r="B71" s="20"/>
      <c r="C71" s="21"/>
      <c r="D71" s="20"/>
      <c r="E71" s="9" t="str">
        <f>IFERROR(VLOOKUP(D71,'04_Master Karyawan'!$A$5:$F$50,2,FALSE),"")</f>
        <v/>
      </c>
      <c r="F71" s="20"/>
      <c r="G71" s="9" t="str">
        <f>IFERROR(VLOOKUP(F71,'05_Master KPI'!$B$5:$G$100,2,FALSE)&amp;" ("&amp;VLOOKUP(F71,'05_Master KPI'!$B$5:$G$100,3,FALSE)&amp;")","")</f>
        <v/>
      </c>
      <c r="H71" s="9">
        <f>IFERROR(IF(B71&lt;&gt;'06_Target KPI'!$B$3,0,IF(VLOOKUP(F71,'05_Master KPI'!$B$5:$G$100,6,FALSE)="Kumulatif",INDEX('06_Target KPI'!$E$5:$P$100,MATCH(F71,'06_Target KPI'!$B$5:$B$100,0),MATCH(A71,'06_Target KPI'!$E$4:$P$4,0))*DAY(C71)/DAY(EOMONTH(C71,0)),INDEX('06_Target KPI'!$E$5:$P$100,MATCH(F71,'06_Target KPI'!$B$5:$B$100,0),MATCH(A71,'06_Target KPI'!$E$4:$P$4,0)))),0)</f>
        <v>0</v>
      </c>
      <c r="I71" s="20"/>
      <c r="J71" s="22">
        <f>IFERROR(MIN(IF(VLOOKUP(F71,'05_Master KPI'!$B$5:$G$100,5,FALSE)="Lower",H71/I71,I71/H71),1),0)</f>
        <v>0</v>
      </c>
      <c r="K71" s="9">
        <f>IFERROR(VLOOKUP(F71,'05_Master KPI'!$B$5:$G$100,4,FALSE),0)</f>
        <v>0</v>
      </c>
      <c r="L71" s="23">
        <f t="shared" si="1"/>
        <v>0</v>
      </c>
      <c r="M71" s="9" t="str">
        <f>IF(D71="","",IF(J71&gt;='13_Setting'!$H$7,"Tercapai",IF(J71&gt;='13_Setting'!$H$6,"On Track","Tertinggal")))</f>
        <v/>
      </c>
      <c r="N71" s="20"/>
      <c r="O71" s="1"/>
      <c r="P71" s="1"/>
      <c r="Q71" s="1"/>
      <c r="R71" s="1"/>
      <c r="S71" s="1"/>
      <c r="T71" s="1"/>
      <c r="U71" s="1"/>
      <c r="V71" s="1"/>
      <c r="W71" s="1"/>
      <c r="X71" s="1"/>
      <c r="Y71" s="1"/>
      <c r="Z71" s="1"/>
    </row>
    <row r="72" spans="1:26">
      <c r="A72" s="20"/>
      <c r="B72" s="20"/>
      <c r="C72" s="21"/>
      <c r="D72" s="20"/>
      <c r="E72" s="9" t="str">
        <f>IFERROR(VLOOKUP(D72,'04_Master Karyawan'!$A$5:$F$50,2,FALSE),"")</f>
        <v/>
      </c>
      <c r="F72" s="20"/>
      <c r="G72" s="9" t="str">
        <f>IFERROR(VLOOKUP(F72,'05_Master KPI'!$B$5:$G$100,2,FALSE)&amp;" ("&amp;VLOOKUP(F72,'05_Master KPI'!$B$5:$G$100,3,FALSE)&amp;")","")</f>
        <v/>
      </c>
      <c r="H72" s="9">
        <f>IFERROR(IF(B72&lt;&gt;'06_Target KPI'!$B$3,0,IF(VLOOKUP(F72,'05_Master KPI'!$B$5:$G$100,6,FALSE)="Kumulatif",INDEX('06_Target KPI'!$E$5:$P$100,MATCH(F72,'06_Target KPI'!$B$5:$B$100,0),MATCH(A72,'06_Target KPI'!$E$4:$P$4,0))*DAY(C72)/DAY(EOMONTH(C72,0)),INDEX('06_Target KPI'!$E$5:$P$100,MATCH(F72,'06_Target KPI'!$B$5:$B$100,0),MATCH(A72,'06_Target KPI'!$E$4:$P$4,0)))),0)</f>
        <v>0</v>
      </c>
      <c r="I72" s="20"/>
      <c r="J72" s="22">
        <f>IFERROR(MIN(IF(VLOOKUP(F72,'05_Master KPI'!$B$5:$G$100,5,FALSE)="Lower",H72/I72,I72/H72),1),0)</f>
        <v>0</v>
      </c>
      <c r="K72" s="9">
        <f>IFERROR(VLOOKUP(F72,'05_Master KPI'!$B$5:$G$100,4,FALSE),0)</f>
        <v>0</v>
      </c>
      <c r="L72" s="23">
        <f t="shared" si="1"/>
        <v>0</v>
      </c>
      <c r="M72" s="9" t="str">
        <f>IF(D72="","",IF(J72&gt;='13_Setting'!$H$7,"Tercapai",IF(J72&gt;='13_Setting'!$H$6,"On Track","Tertinggal")))</f>
        <v/>
      </c>
      <c r="N72" s="20"/>
      <c r="O72" s="1"/>
      <c r="P72" s="1"/>
      <c r="Q72" s="1"/>
      <c r="R72" s="1"/>
      <c r="S72" s="1"/>
      <c r="T72" s="1"/>
      <c r="U72" s="1"/>
      <c r="V72" s="1"/>
      <c r="W72" s="1"/>
      <c r="X72" s="1"/>
      <c r="Y72" s="1"/>
      <c r="Z72" s="1"/>
    </row>
    <row r="73" spans="1:26">
      <c r="A73" s="20"/>
      <c r="B73" s="20"/>
      <c r="C73" s="21"/>
      <c r="D73" s="20"/>
      <c r="E73" s="9" t="str">
        <f>IFERROR(VLOOKUP(D73,'04_Master Karyawan'!$A$5:$F$50,2,FALSE),"")</f>
        <v/>
      </c>
      <c r="F73" s="20"/>
      <c r="G73" s="9" t="str">
        <f>IFERROR(VLOOKUP(F73,'05_Master KPI'!$B$5:$G$100,2,FALSE)&amp;" ("&amp;VLOOKUP(F73,'05_Master KPI'!$B$5:$G$100,3,FALSE)&amp;")","")</f>
        <v/>
      </c>
      <c r="H73" s="9">
        <f>IFERROR(IF(B73&lt;&gt;'06_Target KPI'!$B$3,0,IF(VLOOKUP(F73,'05_Master KPI'!$B$5:$G$100,6,FALSE)="Kumulatif",INDEX('06_Target KPI'!$E$5:$P$100,MATCH(F73,'06_Target KPI'!$B$5:$B$100,0),MATCH(A73,'06_Target KPI'!$E$4:$P$4,0))*DAY(C73)/DAY(EOMONTH(C73,0)),INDEX('06_Target KPI'!$E$5:$P$100,MATCH(F73,'06_Target KPI'!$B$5:$B$100,0),MATCH(A73,'06_Target KPI'!$E$4:$P$4,0)))),0)</f>
        <v>0</v>
      </c>
      <c r="I73" s="20"/>
      <c r="J73" s="22">
        <f>IFERROR(MIN(IF(VLOOKUP(F73,'05_Master KPI'!$B$5:$G$100,5,FALSE)="Lower",H73/I73,I73/H73),1),0)</f>
        <v>0</v>
      </c>
      <c r="K73" s="9">
        <f>IFERROR(VLOOKUP(F73,'05_Master KPI'!$B$5:$G$100,4,FALSE),0)</f>
        <v>0</v>
      </c>
      <c r="L73" s="23">
        <f t="shared" si="1"/>
        <v>0</v>
      </c>
      <c r="M73" s="9" t="str">
        <f>IF(D73="","",IF(J73&gt;='13_Setting'!$H$7,"Tercapai",IF(J73&gt;='13_Setting'!$H$6,"On Track","Tertinggal")))</f>
        <v/>
      </c>
      <c r="N73" s="20"/>
      <c r="O73" s="1"/>
      <c r="P73" s="1"/>
      <c r="Q73" s="1"/>
      <c r="R73" s="1"/>
      <c r="S73" s="1"/>
      <c r="T73" s="1"/>
      <c r="U73" s="1"/>
      <c r="V73" s="1"/>
      <c r="W73" s="1"/>
      <c r="X73" s="1"/>
      <c r="Y73" s="1"/>
      <c r="Z73" s="1"/>
    </row>
    <row r="74" spans="1:26">
      <c r="A74" s="20"/>
      <c r="B74" s="20"/>
      <c r="C74" s="21"/>
      <c r="D74" s="20"/>
      <c r="E74" s="9" t="str">
        <f>IFERROR(VLOOKUP(D74,'04_Master Karyawan'!$A$5:$F$50,2,FALSE),"")</f>
        <v/>
      </c>
      <c r="F74" s="20"/>
      <c r="G74" s="9" t="str">
        <f>IFERROR(VLOOKUP(F74,'05_Master KPI'!$B$5:$G$100,2,FALSE)&amp;" ("&amp;VLOOKUP(F74,'05_Master KPI'!$B$5:$G$100,3,FALSE)&amp;")","")</f>
        <v/>
      </c>
      <c r="H74" s="9">
        <f>IFERROR(IF(B74&lt;&gt;'06_Target KPI'!$B$3,0,IF(VLOOKUP(F74,'05_Master KPI'!$B$5:$G$100,6,FALSE)="Kumulatif",INDEX('06_Target KPI'!$E$5:$P$100,MATCH(F74,'06_Target KPI'!$B$5:$B$100,0),MATCH(A74,'06_Target KPI'!$E$4:$P$4,0))*DAY(C74)/DAY(EOMONTH(C74,0)),INDEX('06_Target KPI'!$E$5:$P$100,MATCH(F74,'06_Target KPI'!$B$5:$B$100,0),MATCH(A74,'06_Target KPI'!$E$4:$P$4,0)))),0)</f>
        <v>0</v>
      </c>
      <c r="I74" s="20"/>
      <c r="J74" s="22">
        <f>IFERROR(MIN(IF(VLOOKUP(F74,'05_Master KPI'!$B$5:$G$100,5,FALSE)="Lower",H74/I74,I74/H74),1),0)</f>
        <v>0</v>
      </c>
      <c r="K74" s="9">
        <f>IFERROR(VLOOKUP(F74,'05_Master KPI'!$B$5:$G$100,4,FALSE),0)</f>
        <v>0</v>
      </c>
      <c r="L74" s="23">
        <f t="shared" si="1"/>
        <v>0</v>
      </c>
      <c r="M74" s="9" t="str">
        <f>IF(D74="","",IF(J74&gt;='13_Setting'!$H$7,"Tercapai",IF(J74&gt;='13_Setting'!$H$6,"On Track","Tertinggal")))</f>
        <v/>
      </c>
      <c r="N74" s="20"/>
      <c r="O74" s="1"/>
      <c r="P74" s="1"/>
      <c r="Q74" s="1"/>
      <c r="R74" s="1"/>
      <c r="S74" s="1"/>
      <c r="T74" s="1"/>
      <c r="U74" s="1"/>
      <c r="V74" s="1"/>
      <c r="W74" s="1"/>
      <c r="X74" s="1"/>
      <c r="Y74" s="1"/>
      <c r="Z74" s="1"/>
    </row>
    <row r="75" spans="1:26">
      <c r="A75" s="20"/>
      <c r="B75" s="20"/>
      <c r="C75" s="21"/>
      <c r="D75" s="20"/>
      <c r="E75" s="9" t="str">
        <f>IFERROR(VLOOKUP(D75,'04_Master Karyawan'!$A$5:$F$50,2,FALSE),"")</f>
        <v/>
      </c>
      <c r="F75" s="20"/>
      <c r="G75" s="9" t="str">
        <f>IFERROR(VLOOKUP(F75,'05_Master KPI'!$B$5:$G$100,2,FALSE)&amp;" ("&amp;VLOOKUP(F75,'05_Master KPI'!$B$5:$G$100,3,FALSE)&amp;")","")</f>
        <v/>
      </c>
      <c r="H75" s="9">
        <f>IFERROR(IF(B75&lt;&gt;'06_Target KPI'!$B$3,0,IF(VLOOKUP(F75,'05_Master KPI'!$B$5:$G$100,6,FALSE)="Kumulatif",INDEX('06_Target KPI'!$E$5:$P$100,MATCH(F75,'06_Target KPI'!$B$5:$B$100,0),MATCH(A75,'06_Target KPI'!$E$4:$P$4,0))*DAY(C75)/DAY(EOMONTH(C75,0)),INDEX('06_Target KPI'!$E$5:$P$100,MATCH(F75,'06_Target KPI'!$B$5:$B$100,0),MATCH(A75,'06_Target KPI'!$E$4:$P$4,0)))),0)</f>
        <v>0</v>
      </c>
      <c r="I75" s="20"/>
      <c r="J75" s="22">
        <f>IFERROR(MIN(IF(VLOOKUP(F75,'05_Master KPI'!$B$5:$G$100,5,FALSE)="Lower",H75/I75,I75/H75),1),0)</f>
        <v>0</v>
      </c>
      <c r="K75" s="9">
        <f>IFERROR(VLOOKUP(F75,'05_Master KPI'!$B$5:$G$100,4,FALSE),0)</f>
        <v>0</v>
      </c>
      <c r="L75" s="23">
        <f t="shared" si="1"/>
        <v>0</v>
      </c>
      <c r="M75" s="9" t="str">
        <f>IF(D75="","",IF(J75&gt;='13_Setting'!$H$7,"Tercapai",IF(J75&gt;='13_Setting'!$H$6,"On Track","Tertinggal")))</f>
        <v/>
      </c>
      <c r="N75" s="20"/>
      <c r="O75" s="1"/>
      <c r="P75" s="1"/>
      <c r="Q75" s="1"/>
      <c r="R75" s="1"/>
      <c r="S75" s="1"/>
      <c r="T75" s="1"/>
      <c r="U75" s="1"/>
      <c r="V75" s="1"/>
      <c r="W75" s="1"/>
      <c r="X75" s="1"/>
      <c r="Y75" s="1"/>
      <c r="Z75" s="1"/>
    </row>
    <row r="76" spans="1:26">
      <c r="A76" s="20"/>
      <c r="B76" s="20"/>
      <c r="C76" s="21"/>
      <c r="D76" s="20"/>
      <c r="E76" s="9" t="str">
        <f>IFERROR(VLOOKUP(D76,'04_Master Karyawan'!$A$5:$F$50,2,FALSE),"")</f>
        <v/>
      </c>
      <c r="F76" s="20"/>
      <c r="G76" s="9" t="str">
        <f>IFERROR(VLOOKUP(F76,'05_Master KPI'!$B$5:$G$100,2,FALSE)&amp;" ("&amp;VLOOKUP(F76,'05_Master KPI'!$B$5:$G$100,3,FALSE)&amp;")","")</f>
        <v/>
      </c>
      <c r="H76" s="9">
        <f>IFERROR(IF(B76&lt;&gt;'06_Target KPI'!$B$3,0,IF(VLOOKUP(F76,'05_Master KPI'!$B$5:$G$100,6,FALSE)="Kumulatif",INDEX('06_Target KPI'!$E$5:$P$100,MATCH(F76,'06_Target KPI'!$B$5:$B$100,0),MATCH(A76,'06_Target KPI'!$E$4:$P$4,0))*DAY(C76)/DAY(EOMONTH(C76,0)),INDEX('06_Target KPI'!$E$5:$P$100,MATCH(F76,'06_Target KPI'!$B$5:$B$100,0),MATCH(A76,'06_Target KPI'!$E$4:$P$4,0)))),0)</f>
        <v>0</v>
      </c>
      <c r="I76" s="20"/>
      <c r="J76" s="22">
        <f>IFERROR(MIN(IF(VLOOKUP(F76,'05_Master KPI'!$B$5:$G$100,5,FALSE)="Lower",H76/I76,I76/H76),1),0)</f>
        <v>0</v>
      </c>
      <c r="K76" s="9">
        <f>IFERROR(VLOOKUP(F76,'05_Master KPI'!$B$5:$G$100,4,FALSE),0)</f>
        <v>0</v>
      </c>
      <c r="L76" s="23">
        <f t="shared" si="1"/>
        <v>0</v>
      </c>
      <c r="M76" s="9" t="str">
        <f>IF(D76="","",IF(J76&gt;='13_Setting'!$H$7,"Tercapai",IF(J76&gt;='13_Setting'!$H$6,"On Track","Tertinggal")))</f>
        <v/>
      </c>
      <c r="N76" s="20"/>
      <c r="O76" s="1"/>
      <c r="P76" s="1"/>
      <c r="Q76" s="1"/>
      <c r="R76" s="1"/>
      <c r="S76" s="1"/>
      <c r="T76" s="1"/>
      <c r="U76" s="1"/>
      <c r="V76" s="1"/>
      <c r="W76" s="1"/>
      <c r="X76" s="1"/>
      <c r="Y76" s="1"/>
      <c r="Z76" s="1"/>
    </row>
    <row r="77" spans="1:26">
      <c r="A77" s="20"/>
      <c r="B77" s="20"/>
      <c r="C77" s="21"/>
      <c r="D77" s="20"/>
      <c r="E77" s="9" t="str">
        <f>IFERROR(VLOOKUP(D77,'04_Master Karyawan'!$A$5:$F$50,2,FALSE),"")</f>
        <v/>
      </c>
      <c r="F77" s="20"/>
      <c r="G77" s="9" t="str">
        <f>IFERROR(VLOOKUP(F77,'05_Master KPI'!$B$5:$G$100,2,FALSE)&amp;" ("&amp;VLOOKUP(F77,'05_Master KPI'!$B$5:$G$100,3,FALSE)&amp;")","")</f>
        <v/>
      </c>
      <c r="H77" s="9">
        <f>IFERROR(IF(B77&lt;&gt;'06_Target KPI'!$B$3,0,IF(VLOOKUP(F77,'05_Master KPI'!$B$5:$G$100,6,FALSE)="Kumulatif",INDEX('06_Target KPI'!$E$5:$P$100,MATCH(F77,'06_Target KPI'!$B$5:$B$100,0),MATCH(A77,'06_Target KPI'!$E$4:$P$4,0))*DAY(C77)/DAY(EOMONTH(C77,0)),INDEX('06_Target KPI'!$E$5:$P$100,MATCH(F77,'06_Target KPI'!$B$5:$B$100,0),MATCH(A77,'06_Target KPI'!$E$4:$P$4,0)))),0)</f>
        <v>0</v>
      </c>
      <c r="I77" s="20"/>
      <c r="J77" s="22">
        <f>IFERROR(MIN(IF(VLOOKUP(F77,'05_Master KPI'!$B$5:$G$100,5,FALSE)="Lower",H77/I77,I77/H77),1),0)</f>
        <v>0</v>
      </c>
      <c r="K77" s="9">
        <f>IFERROR(VLOOKUP(F77,'05_Master KPI'!$B$5:$G$100,4,FALSE),0)</f>
        <v>0</v>
      </c>
      <c r="L77" s="23">
        <f t="shared" si="1"/>
        <v>0</v>
      </c>
      <c r="M77" s="9" t="str">
        <f>IF(D77="","",IF(J77&gt;='13_Setting'!$H$7,"Tercapai",IF(J77&gt;='13_Setting'!$H$6,"On Track","Tertinggal")))</f>
        <v/>
      </c>
      <c r="N77" s="20"/>
      <c r="O77" s="1"/>
      <c r="P77" s="1"/>
      <c r="Q77" s="1"/>
      <c r="R77" s="1"/>
      <c r="S77" s="1"/>
      <c r="T77" s="1"/>
      <c r="U77" s="1"/>
      <c r="V77" s="1"/>
      <c r="W77" s="1"/>
      <c r="X77" s="1"/>
      <c r="Y77" s="1"/>
      <c r="Z77" s="1"/>
    </row>
    <row r="78" spans="1:26">
      <c r="A78" s="20"/>
      <c r="B78" s="20"/>
      <c r="C78" s="21"/>
      <c r="D78" s="20"/>
      <c r="E78" s="9" t="str">
        <f>IFERROR(VLOOKUP(D78,'04_Master Karyawan'!$A$5:$F$50,2,FALSE),"")</f>
        <v/>
      </c>
      <c r="F78" s="20"/>
      <c r="G78" s="9" t="str">
        <f>IFERROR(VLOOKUP(F78,'05_Master KPI'!$B$5:$G$100,2,FALSE)&amp;" ("&amp;VLOOKUP(F78,'05_Master KPI'!$B$5:$G$100,3,FALSE)&amp;")","")</f>
        <v/>
      </c>
      <c r="H78" s="9">
        <f>IFERROR(IF(B78&lt;&gt;'06_Target KPI'!$B$3,0,IF(VLOOKUP(F78,'05_Master KPI'!$B$5:$G$100,6,FALSE)="Kumulatif",INDEX('06_Target KPI'!$E$5:$P$100,MATCH(F78,'06_Target KPI'!$B$5:$B$100,0),MATCH(A78,'06_Target KPI'!$E$4:$P$4,0))*DAY(C78)/DAY(EOMONTH(C78,0)),INDEX('06_Target KPI'!$E$5:$P$100,MATCH(F78,'06_Target KPI'!$B$5:$B$100,0),MATCH(A78,'06_Target KPI'!$E$4:$P$4,0)))),0)</f>
        <v>0</v>
      </c>
      <c r="I78" s="20"/>
      <c r="J78" s="22">
        <f>IFERROR(MIN(IF(VLOOKUP(F78,'05_Master KPI'!$B$5:$G$100,5,FALSE)="Lower",H78/I78,I78/H78),1),0)</f>
        <v>0</v>
      </c>
      <c r="K78" s="9">
        <f>IFERROR(VLOOKUP(F78,'05_Master KPI'!$B$5:$G$100,4,FALSE),0)</f>
        <v>0</v>
      </c>
      <c r="L78" s="23">
        <f t="shared" si="1"/>
        <v>0</v>
      </c>
      <c r="M78" s="9" t="str">
        <f>IF(D78="","",IF(J78&gt;='13_Setting'!$H$7,"Tercapai",IF(J78&gt;='13_Setting'!$H$6,"On Track","Tertinggal")))</f>
        <v/>
      </c>
      <c r="N78" s="20"/>
      <c r="O78" s="1"/>
      <c r="P78" s="1"/>
      <c r="Q78" s="1"/>
      <c r="R78" s="1"/>
      <c r="S78" s="1"/>
      <c r="T78" s="1"/>
      <c r="U78" s="1"/>
      <c r="V78" s="1"/>
      <c r="W78" s="1"/>
      <c r="X78" s="1"/>
      <c r="Y78" s="1"/>
      <c r="Z78" s="1"/>
    </row>
    <row r="79" spans="1:26">
      <c r="A79" s="20"/>
      <c r="B79" s="20"/>
      <c r="C79" s="21"/>
      <c r="D79" s="20"/>
      <c r="E79" s="9" t="str">
        <f>IFERROR(VLOOKUP(D79,'04_Master Karyawan'!$A$5:$F$50,2,FALSE),"")</f>
        <v/>
      </c>
      <c r="F79" s="20"/>
      <c r="G79" s="9" t="str">
        <f>IFERROR(VLOOKUP(F79,'05_Master KPI'!$B$5:$G$100,2,FALSE)&amp;" ("&amp;VLOOKUP(F79,'05_Master KPI'!$B$5:$G$100,3,FALSE)&amp;")","")</f>
        <v/>
      </c>
      <c r="H79" s="9">
        <f>IFERROR(IF(B79&lt;&gt;'06_Target KPI'!$B$3,0,IF(VLOOKUP(F79,'05_Master KPI'!$B$5:$G$100,6,FALSE)="Kumulatif",INDEX('06_Target KPI'!$E$5:$P$100,MATCH(F79,'06_Target KPI'!$B$5:$B$100,0),MATCH(A79,'06_Target KPI'!$E$4:$P$4,0))*DAY(C79)/DAY(EOMONTH(C79,0)),INDEX('06_Target KPI'!$E$5:$P$100,MATCH(F79,'06_Target KPI'!$B$5:$B$100,0),MATCH(A79,'06_Target KPI'!$E$4:$P$4,0)))),0)</f>
        <v>0</v>
      </c>
      <c r="I79" s="20"/>
      <c r="J79" s="22">
        <f>IFERROR(MIN(IF(VLOOKUP(F79,'05_Master KPI'!$B$5:$G$100,5,FALSE)="Lower",H79/I79,I79/H79),1),0)</f>
        <v>0</v>
      </c>
      <c r="K79" s="9">
        <f>IFERROR(VLOOKUP(F79,'05_Master KPI'!$B$5:$G$100,4,FALSE),0)</f>
        <v>0</v>
      </c>
      <c r="L79" s="23">
        <f t="shared" si="1"/>
        <v>0</v>
      </c>
      <c r="M79" s="9" t="str">
        <f>IF(D79="","",IF(J79&gt;='13_Setting'!$H$7,"Tercapai",IF(J79&gt;='13_Setting'!$H$6,"On Track","Tertinggal")))</f>
        <v/>
      </c>
      <c r="N79" s="20"/>
      <c r="O79" s="1"/>
      <c r="P79" s="1"/>
      <c r="Q79" s="1"/>
      <c r="R79" s="1"/>
      <c r="S79" s="1"/>
      <c r="T79" s="1"/>
      <c r="U79" s="1"/>
      <c r="V79" s="1"/>
      <c r="W79" s="1"/>
      <c r="X79" s="1"/>
      <c r="Y79" s="1"/>
      <c r="Z79" s="1"/>
    </row>
    <row r="80" spans="1:26">
      <c r="A80" s="20"/>
      <c r="B80" s="20"/>
      <c r="C80" s="21"/>
      <c r="D80" s="20"/>
      <c r="E80" s="9" t="str">
        <f>IFERROR(VLOOKUP(D80,'04_Master Karyawan'!$A$5:$F$50,2,FALSE),"")</f>
        <v/>
      </c>
      <c r="F80" s="20"/>
      <c r="G80" s="9" t="str">
        <f>IFERROR(VLOOKUP(F80,'05_Master KPI'!$B$5:$G$100,2,FALSE)&amp;" ("&amp;VLOOKUP(F80,'05_Master KPI'!$B$5:$G$100,3,FALSE)&amp;")","")</f>
        <v/>
      </c>
      <c r="H80" s="9">
        <f>IFERROR(IF(B80&lt;&gt;'06_Target KPI'!$B$3,0,IF(VLOOKUP(F80,'05_Master KPI'!$B$5:$G$100,6,FALSE)="Kumulatif",INDEX('06_Target KPI'!$E$5:$P$100,MATCH(F80,'06_Target KPI'!$B$5:$B$100,0),MATCH(A80,'06_Target KPI'!$E$4:$P$4,0))*DAY(C80)/DAY(EOMONTH(C80,0)),INDEX('06_Target KPI'!$E$5:$P$100,MATCH(F80,'06_Target KPI'!$B$5:$B$100,0),MATCH(A80,'06_Target KPI'!$E$4:$P$4,0)))),0)</f>
        <v>0</v>
      </c>
      <c r="I80" s="20"/>
      <c r="J80" s="22">
        <f>IFERROR(MIN(IF(VLOOKUP(F80,'05_Master KPI'!$B$5:$G$100,5,FALSE)="Lower",H80/I80,I80/H80),1),0)</f>
        <v>0</v>
      </c>
      <c r="K80" s="9">
        <f>IFERROR(VLOOKUP(F80,'05_Master KPI'!$B$5:$G$100,4,FALSE),0)</f>
        <v>0</v>
      </c>
      <c r="L80" s="23">
        <f t="shared" si="1"/>
        <v>0</v>
      </c>
      <c r="M80" s="9" t="str">
        <f>IF(D80="","",IF(J80&gt;='13_Setting'!$H$7,"Tercapai",IF(J80&gt;='13_Setting'!$H$6,"On Track","Tertinggal")))</f>
        <v/>
      </c>
      <c r="N80" s="20"/>
      <c r="O80" s="1"/>
      <c r="P80" s="1"/>
      <c r="Q80" s="1"/>
      <c r="R80" s="1"/>
      <c r="S80" s="1"/>
      <c r="T80" s="1"/>
      <c r="U80" s="1"/>
      <c r="V80" s="1"/>
      <c r="W80" s="1"/>
      <c r="X80" s="1"/>
      <c r="Y80" s="1"/>
      <c r="Z80" s="1"/>
    </row>
    <row r="81" spans="1:14">
      <c r="A81" s="24"/>
      <c r="B81" s="24"/>
      <c r="C81" s="25"/>
      <c r="D81" s="24"/>
      <c r="E81" s="26" t="str">
        <f>IFERROR(VLOOKUP(D81,'04_Master Karyawan'!$A$5:$F$50,2,FALSE),"")</f>
        <v/>
      </c>
      <c r="F81" s="24"/>
      <c r="G81" s="26" t="str">
        <f>IFERROR(VLOOKUP(F81,'05_Master KPI'!$B$5:$G$100,2,FALSE)&amp;" ("&amp;VLOOKUP(F81,'05_Master KPI'!$B$5:$G$100,3,FALSE)&amp;")","")</f>
        <v/>
      </c>
      <c r="H81" s="26">
        <f>IFERROR(IF(B81&lt;&gt;'06_Target KPI'!$B$3,0,IF(VLOOKUP(F81,'05_Master KPI'!$B$5:$G$100,6,FALSE)="Kumulatif",INDEX('06_Target KPI'!$E$5:$P$100,MATCH(F81,'06_Target KPI'!$B$5:$B$100,0),MATCH(A81,'06_Target KPI'!$E$4:$P$4,0))*DAY(C81)/DAY(EOMONTH(C81,0)),INDEX('06_Target KPI'!$E$5:$P$100,MATCH(F81,'06_Target KPI'!$B$5:$B$100,0),MATCH(A81,'06_Target KPI'!$E$4:$P$4,0)))),0)</f>
        <v>0</v>
      </c>
      <c r="I81" s="24"/>
      <c r="J81" s="27">
        <f>IFERROR(MIN(IF(VLOOKUP(F81,'05_Master KPI'!$B$5:$G$100,5,FALSE)="Lower",H81/I81,I81/H81),1),0)</f>
        <v>0</v>
      </c>
      <c r="K81" s="26">
        <f>IFERROR(VLOOKUP(F81,'05_Master KPI'!$B$5:$G$100,4,FALSE),0)</f>
        <v>0</v>
      </c>
      <c r="L81" s="28">
        <f t="shared" si="1"/>
        <v>0</v>
      </c>
      <c r="M81" s="26" t="str">
        <f>IF(D81="","",IF(J81&gt;='13_Setting'!$H$7,"Tercapai",IF(J81&gt;='13_Setting'!$H$6,"On Track","Tertinggal")))</f>
        <v/>
      </c>
      <c r="N81" s="24"/>
    </row>
    <row r="82" spans="1:14">
      <c r="A82" s="24"/>
      <c r="B82" s="24"/>
      <c r="C82" s="25"/>
      <c r="D82" s="24"/>
      <c r="E82" s="26" t="str">
        <f>IFERROR(VLOOKUP(D82,'04_Master Karyawan'!$A$5:$F$50,2,FALSE),"")</f>
        <v/>
      </c>
      <c r="F82" s="24"/>
      <c r="G82" s="26" t="str">
        <f>IFERROR(VLOOKUP(F82,'05_Master KPI'!$B$5:$G$100,2,FALSE)&amp;" ("&amp;VLOOKUP(F82,'05_Master KPI'!$B$5:$G$100,3,FALSE)&amp;")","")</f>
        <v/>
      </c>
      <c r="H82" s="26">
        <f>IFERROR(IF(B82&lt;&gt;'06_Target KPI'!$B$3,0,IF(VLOOKUP(F82,'05_Master KPI'!$B$5:$G$100,6,FALSE)="Kumulatif",INDEX('06_Target KPI'!$E$5:$P$100,MATCH(F82,'06_Target KPI'!$B$5:$B$100,0),MATCH(A82,'06_Target KPI'!$E$4:$P$4,0))*DAY(C82)/DAY(EOMONTH(C82,0)),INDEX('06_Target KPI'!$E$5:$P$100,MATCH(F82,'06_Target KPI'!$B$5:$B$100,0),MATCH(A82,'06_Target KPI'!$E$4:$P$4,0)))),0)</f>
        <v>0</v>
      </c>
      <c r="I82" s="24"/>
      <c r="J82" s="27">
        <f>IFERROR(MIN(IF(VLOOKUP(F82,'05_Master KPI'!$B$5:$G$100,5,FALSE)="Lower",H82/I82,I82/H82),1),0)</f>
        <v>0</v>
      </c>
      <c r="K82" s="26">
        <f>IFERROR(VLOOKUP(F82,'05_Master KPI'!$B$5:$G$100,4,FALSE),0)</f>
        <v>0</v>
      </c>
      <c r="L82" s="28">
        <f t="shared" si="1"/>
        <v>0</v>
      </c>
      <c r="M82" s="26" t="str">
        <f>IF(D82="","",IF(J82&gt;='13_Setting'!$H$7,"Tercapai",IF(J82&gt;='13_Setting'!$H$6,"On Track","Tertinggal")))</f>
        <v/>
      </c>
      <c r="N82" s="24"/>
    </row>
    <row r="83" spans="1:14">
      <c r="A83" s="24"/>
      <c r="B83" s="24"/>
      <c r="C83" s="25"/>
      <c r="D83" s="24"/>
      <c r="E83" s="26" t="str">
        <f>IFERROR(VLOOKUP(D83,'04_Master Karyawan'!$A$5:$F$50,2,FALSE),"")</f>
        <v/>
      </c>
      <c r="F83" s="24"/>
      <c r="G83" s="26" t="str">
        <f>IFERROR(VLOOKUP(F83,'05_Master KPI'!$B$5:$G$100,2,FALSE)&amp;" ("&amp;VLOOKUP(F83,'05_Master KPI'!$B$5:$G$100,3,FALSE)&amp;")","")</f>
        <v/>
      </c>
      <c r="H83" s="26">
        <f>IFERROR(IF(B83&lt;&gt;'06_Target KPI'!$B$3,0,IF(VLOOKUP(F83,'05_Master KPI'!$B$5:$G$100,6,FALSE)="Kumulatif",INDEX('06_Target KPI'!$E$5:$P$100,MATCH(F83,'06_Target KPI'!$B$5:$B$100,0),MATCH(A83,'06_Target KPI'!$E$4:$P$4,0))*DAY(C83)/DAY(EOMONTH(C83,0)),INDEX('06_Target KPI'!$E$5:$P$100,MATCH(F83,'06_Target KPI'!$B$5:$B$100,0),MATCH(A83,'06_Target KPI'!$E$4:$P$4,0)))),0)</f>
        <v>0</v>
      </c>
      <c r="I83" s="24"/>
      <c r="J83" s="27">
        <f>IFERROR(MIN(IF(VLOOKUP(F83,'05_Master KPI'!$B$5:$G$100,5,FALSE)="Lower",H83/I83,I83/H83),1),0)</f>
        <v>0</v>
      </c>
      <c r="K83" s="26">
        <f>IFERROR(VLOOKUP(F83,'05_Master KPI'!$B$5:$G$100,4,FALSE),0)</f>
        <v>0</v>
      </c>
      <c r="L83" s="28">
        <f t="shared" si="1"/>
        <v>0</v>
      </c>
      <c r="M83" s="26" t="str">
        <f>IF(D83="","",IF(J83&gt;='13_Setting'!$H$7,"Tercapai",IF(J83&gt;='13_Setting'!$H$6,"On Track","Tertinggal")))</f>
        <v/>
      </c>
      <c r="N83" s="24"/>
    </row>
    <row r="84" spans="1:14">
      <c r="A84" s="24"/>
      <c r="B84" s="24"/>
      <c r="C84" s="25"/>
      <c r="D84" s="24"/>
      <c r="E84" s="26" t="str">
        <f>IFERROR(VLOOKUP(D84,'04_Master Karyawan'!$A$5:$F$50,2,FALSE),"")</f>
        <v/>
      </c>
      <c r="F84" s="24"/>
      <c r="G84" s="26" t="str">
        <f>IFERROR(VLOOKUP(F84,'05_Master KPI'!$B$5:$G$100,2,FALSE)&amp;" ("&amp;VLOOKUP(F84,'05_Master KPI'!$B$5:$G$100,3,FALSE)&amp;")","")</f>
        <v/>
      </c>
      <c r="H84" s="26">
        <f>IFERROR(IF(B84&lt;&gt;'06_Target KPI'!$B$3,0,IF(VLOOKUP(F84,'05_Master KPI'!$B$5:$G$100,6,FALSE)="Kumulatif",INDEX('06_Target KPI'!$E$5:$P$100,MATCH(F84,'06_Target KPI'!$B$5:$B$100,0),MATCH(A84,'06_Target KPI'!$E$4:$P$4,0))*DAY(C84)/DAY(EOMONTH(C84,0)),INDEX('06_Target KPI'!$E$5:$P$100,MATCH(F84,'06_Target KPI'!$B$5:$B$100,0),MATCH(A84,'06_Target KPI'!$E$4:$P$4,0)))),0)</f>
        <v>0</v>
      </c>
      <c r="I84" s="24"/>
      <c r="J84" s="27">
        <f>IFERROR(MIN(IF(VLOOKUP(F84,'05_Master KPI'!$B$5:$G$100,5,FALSE)="Lower",H84/I84,I84/H84),1),0)</f>
        <v>0</v>
      </c>
      <c r="K84" s="26">
        <f>IFERROR(VLOOKUP(F84,'05_Master KPI'!$B$5:$G$100,4,FALSE),0)</f>
        <v>0</v>
      </c>
      <c r="L84" s="28">
        <f t="shared" si="1"/>
        <v>0</v>
      </c>
      <c r="M84" s="26" t="str">
        <f>IF(D84="","",IF(J84&gt;='13_Setting'!$H$7,"Tercapai",IF(J84&gt;='13_Setting'!$H$6,"On Track","Tertinggal")))</f>
        <v/>
      </c>
      <c r="N84" s="24"/>
    </row>
    <row r="85" spans="1:14">
      <c r="A85" s="24"/>
      <c r="B85" s="24"/>
      <c r="C85" s="25"/>
      <c r="D85" s="24"/>
      <c r="E85" s="26" t="str">
        <f>IFERROR(VLOOKUP(D85,'04_Master Karyawan'!$A$5:$F$50,2,FALSE),"")</f>
        <v/>
      </c>
      <c r="F85" s="24"/>
      <c r="G85" s="26" t="str">
        <f>IFERROR(VLOOKUP(F85,'05_Master KPI'!$B$5:$G$100,2,FALSE)&amp;" ("&amp;VLOOKUP(F85,'05_Master KPI'!$B$5:$G$100,3,FALSE)&amp;")","")</f>
        <v/>
      </c>
      <c r="H85" s="26">
        <f>IFERROR(IF(B85&lt;&gt;'06_Target KPI'!$B$3,0,IF(VLOOKUP(F85,'05_Master KPI'!$B$5:$G$100,6,FALSE)="Kumulatif",INDEX('06_Target KPI'!$E$5:$P$100,MATCH(F85,'06_Target KPI'!$B$5:$B$100,0),MATCH(A85,'06_Target KPI'!$E$4:$P$4,0))*DAY(C85)/DAY(EOMONTH(C85,0)),INDEX('06_Target KPI'!$E$5:$P$100,MATCH(F85,'06_Target KPI'!$B$5:$B$100,0),MATCH(A85,'06_Target KPI'!$E$4:$P$4,0)))),0)</f>
        <v>0</v>
      </c>
      <c r="I85" s="24"/>
      <c r="J85" s="27">
        <f>IFERROR(MIN(IF(VLOOKUP(F85,'05_Master KPI'!$B$5:$G$100,5,FALSE)="Lower",H85/I85,I85/H85),1),0)</f>
        <v>0</v>
      </c>
      <c r="K85" s="26">
        <f>IFERROR(VLOOKUP(F85,'05_Master KPI'!$B$5:$G$100,4,FALSE),0)</f>
        <v>0</v>
      </c>
      <c r="L85" s="28">
        <f t="shared" si="1"/>
        <v>0</v>
      </c>
      <c r="M85" s="26" t="str">
        <f>IF(D85="","",IF(J85&gt;='13_Setting'!$H$7,"Tercapai",IF(J85&gt;='13_Setting'!$H$6,"On Track","Tertinggal")))</f>
        <v/>
      </c>
      <c r="N85" s="24"/>
    </row>
    <row r="86" spans="1:14">
      <c r="A86" s="24"/>
      <c r="B86" s="24"/>
      <c r="C86" s="25"/>
      <c r="D86" s="24"/>
      <c r="E86" s="26" t="str">
        <f>IFERROR(VLOOKUP(D86,'04_Master Karyawan'!$A$5:$F$50,2,FALSE),"")</f>
        <v/>
      </c>
      <c r="F86" s="24"/>
      <c r="G86" s="26" t="str">
        <f>IFERROR(VLOOKUP(F86,'05_Master KPI'!$B$5:$G$100,2,FALSE)&amp;" ("&amp;VLOOKUP(F86,'05_Master KPI'!$B$5:$G$100,3,FALSE)&amp;")","")</f>
        <v/>
      </c>
      <c r="H86" s="26">
        <f>IFERROR(IF(B86&lt;&gt;'06_Target KPI'!$B$3,0,IF(VLOOKUP(F86,'05_Master KPI'!$B$5:$G$100,6,FALSE)="Kumulatif",INDEX('06_Target KPI'!$E$5:$P$100,MATCH(F86,'06_Target KPI'!$B$5:$B$100,0),MATCH(A86,'06_Target KPI'!$E$4:$P$4,0))*DAY(C86)/DAY(EOMONTH(C86,0)),INDEX('06_Target KPI'!$E$5:$P$100,MATCH(F86,'06_Target KPI'!$B$5:$B$100,0),MATCH(A86,'06_Target KPI'!$E$4:$P$4,0)))),0)</f>
        <v>0</v>
      </c>
      <c r="I86" s="24"/>
      <c r="J86" s="27">
        <f>IFERROR(MIN(IF(VLOOKUP(F86,'05_Master KPI'!$B$5:$G$100,5,FALSE)="Lower",H86/I86,I86/H86),1),0)</f>
        <v>0</v>
      </c>
      <c r="K86" s="26">
        <f>IFERROR(VLOOKUP(F86,'05_Master KPI'!$B$5:$G$100,4,FALSE),0)</f>
        <v>0</v>
      </c>
      <c r="L86" s="28">
        <f t="shared" si="1"/>
        <v>0</v>
      </c>
      <c r="M86" s="26" t="str">
        <f>IF(D86="","",IF(J86&gt;='13_Setting'!$H$7,"Tercapai",IF(J86&gt;='13_Setting'!$H$6,"On Track","Tertinggal")))</f>
        <v/>
      </c>
      <c r="N86" s="24"/>
    </row>
    <row r="87" spans="1:14">
      <c r="A87" s="24"/>
      <c r="B87" s="24"/>
      <c r="C87" s="25"/>
      <c r="D87" s="24"/>
      <c r="E87" s="26" t="str">
        <f>IFERROR(VLOOKUP(D87,'04_Master Karyawan'!$A$5:$F$50,2,FALSE),"")</f>
        <v/>
      </c>
      <c r="F87" s="24"/>
      <c r="G87" s="26" t="str">
        <f>IFERROR(VLOOKUP(F87,'05_Master KPI'!$B$5:$G$100,2,FALSE)&amp;" ("&amp;VLOOKUP(F87,'05_Master KPI'!$B$5:$G$100,3,FALSE)&amp;")","")</f>
        <v/>
      </c>
      <c r="H87" s="26">
        <f>IFERROR(IF(B87&lt;&gt;'06_Target KPI'!$B$3,0,IF(VLOOKUP(F87,'05_Master KPI'!$B$5:$G$100,6,FALSE)="Kumulatif",INDEX('06_Target KPI'!$E$5:$P$100,MATCH(F87,'06_Target KPI'!$B$5:$B$100,0),MATCH(A87,'06_Target KPI'!$E$4:$P$4,0))*DAY(C87)/DAY(EOMONTH(C87,0)),INDEX('06_Target KPI'!$E$5:$P$100,MATCH(F87,'06_Target KPI'!$B$5:$B$100,0),MATCH(A87,'06_Target KPI'!$E$4:$P$4,0)))),0)</f>
        <v>0</v>
      </c>
      <c r="I87" s="24"/>
      <c r="J87" s="27">
        <f>IFERROR(MIN(IF(VLOOKUP(F87,'05_Master KPI'!$B$5:$G$100,5,FALSE)="Lower",H87/I87,I87/H87),1),0)</f>
        <v>0</v>
      </c>
      <c r="K87" s="26">
        <f>IFERROR(VLOOKUP(F87,'05_Master KPI'!$B$5:$G$100,4,FALSE),0)</f>
        <v>0</v>
      </c>
      <c r="L87" s="28">
        <f t="shared" si="1"/>
        <v>0</v>
      </c>
      <c r="M87" s="26" t="str">
        <f>IF(D87="","",IF(J87&gt;='13_Setting'!$H$7,"Tercapai",IF(J87&gt;='13_Setting'!$H$6,"On Track","Tertinggal")))</f>
        <v/>
      </c>
      <c r="N87" s="24"/>
    </row>
    <row r="88" spans="1:14">
      <c r="A88" s="24"/>
      <c r="B88" s="24"/>
      <c r="C88" s="25"/>
      <c r="D88" s="24"/>
      <c r="E88" s="26" t="str">
        <f>IFERROR(VLOOKUP(D88,'04_Master Karyawan'!$A$5:$F$50,2,FALSE),"")</f>
        <v/>
      </c>
      <c r="F88" s="24"/>
      <c r="G88" s="26" t="str">
        <f>IFERROR(VLOOKUP(F88,'05_Master KPI'!$B$5:$G$100,2,FALSE)&amp;" ("&amp;VLOOKUP(F88,'05_Master KPI'!$B$5:$G$100,3,FALSE)&amp;")","")</f>
        <v/>
      </c>
      <c r="H88" s="26">
        <f>IFERROR(IF(B88&lt;&gt;'06_Target KPI'!$B$3,0,IF(VLOOKUP(F88,'05_Master KPI'!$B$5:$G$100,6,FALSE)="Kumulatif",INDEX('06_Target KPI'!$E$5:$P$100,MATCH(F88,'06_Target KPI'!$B$5:$B$100,0),MATCH(A88,'06_Target KPI'!$E$4:$P$4,0))*DAY(C88)/DAY(EOMONTH(C88,0)),INDEX('06_Target KPI'!$E$5:$P$100,MATCH(F88,'06_Target KPI'!$B$5:$B$100,0),MATCH(A88,'06_Target KPI'!$E$4:$P$4,0)))),0)</f>
        <v>0</v>
      </c>
      <c r="I88" s="24"/>
      <c r="J88" s="27">
        <f>IFERROR(MIN(IF(VLOOKUP(F88,'05_Master KPI'!$B$5:$G$100,5,FALSE)="Lower",H88/I88,I88/H88),1),0)</f>
        <v>0</v>
      </c>
      <c r="K88" s="26">
        <f>IFERROR(VLOOKUP(F88,'05_Master KPI'!$B$5:$G$100,4,FALSE),0)</f>
        <v>0</v>
      </c>
      <c r="L88" s="28">
        <f t="shared" si="1"/>
        <v>0</v>
      </c>
      <c r="M88" s="26" t="str">
        <f>IF(D88="","",IF(J88&gt;='13_Setting'!$H$7,"Tercapai",IF(J88&gt;='13_Setting'!$H$6,"On Track","Tertinggal")))</f>
        <v/>
      </c>
      <c r="N88" s="24"/>
    </row>
    <row r="89" spans="1:14">
      <c r="A89" s="24"/>
      <c r="B89" s="24"/>
      <c r="C89" s="25"/>
      <c r="D89" s="24"/>
      <c r="E89" s="26" t="str">
        <f>IFERROR(VLOOKUP(D89,'04_Master Karyawan'!$A$5:$F$50,2,FALSE),"")</f>
        <v/>
      </c>
      <c r="F89" s="24"/>
      <c r="G89" s="26" t="str">
        <f>IFERROR(VLOOKUP(F89,'05_Master KPI'!$B$5:$G$100,2,FALSE)&amp;" ("&amp;VLOOKUP(F89,'05_Master KPI'!$B$5:$G$100,3,FALSE)&amp;")","")</f>
        <v/>
      </c>
      <c r="H89" s="26">
        <f>IFERROR(IF(B89&lt;&gt;'06_Target KPI'!$B$3,0,IF(VLOOKUP(F89,'05_Master KPI'!$B$5:$G$100,6,FALSE)="Kumulatif",INDEX('06_Target KPI'!$E$5:$P$100,MATCH(F89,'06_Target KPI'!$B$5:$B$100,0),MATCH(A89,'06_Target KPI'!$E$4:$P$4,0))*DAY(C89)/DAY(EOMONTH(C89,0)),INDEX('06_Target KPI'!$E$5:$P$100,MATCH(F89,'06_Target KPI'!$B$5:$B$100,0),MATCH(A89,'06_Target KPI'!$E$4:$P$4,0)))),0)</f>
        <v>0</v>
      </c>
      <c r="I89" s="24"/>
      <c r="J89" s="27">
        <f>IFERROR(MIN(IF(VLOOKUP(F89,'05_Master KPI'!$B$5:$G$100,5,FALSE)="Lower",H89/I89,I89/H89),1),0)</f>
        <v>0</v>
      </c>
      <c r="K89" s="26">
        <f>IFERROR(VLOOKUP(F89,'05_Master KPI'!$B$5:$G$100,4,FALSE),0)</f>
        <v>0</v>
      </c>
      <c r="L89" s="28">
        <f t="shared" si="1"/>
        <v>0</v>
      </c>
      <c r="M89" s="26" t="str">
        <f>IF(D89="","",IF(J89&gt;='13_Setting'!$H$7,"Tercapai",IF(J89&gt;='13_Setting'!$H$6,"On Track","Tertinggal")))</f>
        <v/>
      </c>
      <c r="N89" s="24"/>
    </row>
    <row r="90" spans="1:14">
      <c r="A90" s="24"/>
      <c r="B90" s="24"/>
      <c r="C90" s="25"/>
      <c r="D90" s="24"/>
      <c r="E90" s="26" t="str">
        <f>IFERROR(VLOOKUP(D90,'04_Master Karyawan'!$A$5:$F$50,2,FALSE),"")</f>
        <v/>
      </c>
      <c r="F90" s="24"/>
      <c r="G90" s="26" t="str">
        <f>IFERROR(VLOOKUP(F90,'05_Master KPI'!$B$5:$G$100,2,FALSE)&amp;" ("&amp;VLOOKUP(F90,'05_Master KPI'!$B$5:$G$100,3,FALSE)&amp;")","")</f>
        <v/>
      </c>
      <c r="H90" s="26">
        <f>IFERROR(IF(B90&lt;&gt;'06_Target KPI'!$B$3,0,IF(VLOOKUP(F90,'05_Master KPI'!$B$5:$G$100,6,FALSE)="Kumulatif",INDEX('06_Target KPI'!$E$5:$P$100,MATCH(F90,'06_Target KPI'!$B$5:$B$100,0),MATCH(A90,'06_Target KPI'!$E$4:$P$4,0))*DAY(C90)/DAY(EOMONTH(C90,0)),INDEX('06_Target KPI'!$E$5:$P$100,MATCH(F90,'06_Target KPI'!$B$5:$B$100,0),MATCH(A90,'06_Target KPI'!$E$4:$P$4,0)))),0)</f>
        <v>0</v>
      </c>
      <c r="I90" s="24"/>
      <c r="J90" s="27">
        <f>IFERROR(MIN(IF(VLOOKUP(F90,'05_Master KPI'!$B$5:$G$100,5,FALSE)="Lower",H90/I90,I90/H90),1),0)</f>
        <v>0</v>
      </c>
      <c r="K90" s="26">
        <f>IFERROR(VLOOKUP(F90,'05_Master KPI'!$B$5:$G$100,4,FALSE),0)</f>
        <v>0</v>
      </c>
      <c r="L90" s="28">
        <f t="shared" si="1"/>
        <v>0</v>
      </c>
      <c r="M90" s="26" t="str">
        <f>IF(D90="","",IF(J90&gt;='13_Setting'!$H$7,"Tercapai",IF(J90&gt;='13_Setting'!$H$6,"On Track","Tertinggal")))</f>
        <v/>
      </c>
      <c r="N90" s="24"/>
    </row>
    <row r="91" spans="1:14">
      <c r="A91" s="24"/>
      <c r="B91" s="24"/>
      <c r="C91" s="25"/>
      <c r="D91" s="24"/>
      <c r="E91" s="26" t="str">
        <f>IFERROR(VLOOKUP(D91,'04_Master Karyawan'!$A$5:$F$50,2,FALSE),"")</f>
        <v/>
      </c>
      <c r="F91" s="24"/>
      <c r="G91" s="26" t="str">
        <f>IFERROR(VLOOKUP(F91,'05_Master KPI'!$B$5:$G$100,2,FALSE)&amp;" ("&amp;VLOOKUP(F91,'05_Master KPI'!$B$5:$G$100,3,FALSE)&amp;")","")</f>
        <v/>
      </c>
      <c r="H91" s="26">
        <f>IFERROR(IF(B91&lt;&gt;'06_Target KPI'!$B$3,0,IF(VLOOKUP(F91,'05_Master KPI'!$B$5:$G$100,6,FALSE)="Kumulatif",INDEX('06_Target KPI'!$E$5:$P$100,MATCH(F91,'06_Target KPI'!$B$5:$B$100,0),MATCH(A91,'06_Target KPI'!$E$4:$P$4,0))*DAY(C91)/DAY(EOMONTH(C91,0)),INDEX('06_Target KPI'!$E$5:$P$100,MATCH(F91,'06_Target KPI'!$B$5:$B$100,0),MATCH(A91,'06_Target KPI'!$E$4:$P$4,0)))),0)</f>
        <v>0</v>
      </c>
      <c r="I91" s="24"/>
      <c r="J91" s="27">
        <f>IFERROR(MIN(IF(VLOOKUP(F91,'05_Master KPI'!$B$5:$G$100,5,FALSE)="Lower",H91/I91,I91/H91),1),0)</f>
        <v>0</v>
      </c>
      <c r="K91" s="26">
        <f>IFERROR(VLOOKUP(F91,'05_Master KPI'!$B$5:$G$100,4,FALSE),0)</f>
        <v>0</v>
      </c>
      <c r="L91" s="28">
        <f t="shared" si="1"/>
        <v>0</v>
      </c>
      <c r="M91" s="26" t="str">
        <f>IF(D91="","",IF(J91&gt;='13_Setting'!$H$7,"Tercapai",IF(J91&gt;='13_Setting'!$H$6,"On Track","Tertinggal")))</f>
        <v/>
      </c>
      <c r="N91" s="24"/>
    </row>
    <row r="92" spans="1:14">
      <c r="A92" s="24"/>
      <c r="B92" s="24"/>
      <c r="C92" s="25"/>
      <c r="D92" s="24"/>
      <c r="E92" s="26" t="str">
        <f>IFERROR(VLOOKUP(D92,'04_Master Karyawan'!$A$5:$F$50,2,FALSE),"")</f>
        <v/>
      </c>
      <c r="F92" s="24"/>
      <c r="G92" s="26" t="str">
        <f>IFERROR(VLOOKUP(F92,'05_Master KPI'!$B$5:$G$100,2,FALSE)&amp;" ("&amp;VLOOKUP(F92,'05_Master KPI'!$B$5:$G$100,3,FALSE)&amp;")","")</f>
        <v/>
      </c>
      <c r="H92" s="26">
        <f>IFERROR(IF(B92&lt;&gt;'06_Target KPI'!$B$3,0,IF(VLOOKUP(F92,'05_Master KPI'!$B$5:$G$100,6,FALSE)="Kumulatif",INDEX('06_Target KPI'!$E$5:$P$100,MATCH(F92,'06_Target KPI'!$B$5:$B$100,0),MATCH(A92,'06_Target KPI'!$E$4:$P$4,0))*DAY(C92)/DAY(EOMONTH(C92,0)),INDEX('06_Target KPI'!$E$5:$P$100,MATCH(F92,'06_Target KPI'!$B$5:$B$100,0),MATCH(A92,'06_Target KPI'!$E$4:$P$4,0)))),0)</f>
        <v>0</v>
      </c>
      <c r="I92" s="24"/>
      <c r="J92" s="27">
        <f>IFERROR(MIN(IF(VLOOKUP(F92,'05_Master KPI'!$B$5:$G$100,5,FALSE)="Lower",H92/I92,I92/H92),1),0)</f>
        <v>0</v>
      </c>
      <c r="K92" s="26">
        <f>IFERROR(VLOOKUP(F92,'05_Master KPI'!$B$5:$G$100,4,FALSE),0)</f>
        <v>0</v>
      </c>
      <c r="L92" s="28">
        <f t="shared" si="1"/>
        <v>0</v>
      </c>
      <c r="M92" s="26" t="str">
        <f>IF(D92="","",IF(J92&gt;='13_Setting'!$H$7,"Tercapai",IF(J92&gt;='13_Setting'!$H$6,"On Track","Tertinggal")))</f>
        <v/>
      </c>
      <c r="N92" s="24"/>
    </row>
    <row r="93" spans="1:14">
      <c r="A93" s="24"/>
      <c r="B93" s="24"/>
      <c r="C93" s="25"/>
      <c r="D93" s="24"/>
      <c r="E93" s="26" t="str">
        <f>IFERROR(VLOOKUP(D93,'04_Master Karyawan'!$A$5:$F$50,2,FALSE),"")</f>
        <v/>
      </c>
      <c r="F93" s="24"/>
      <c r="G93" s="26" t="str">
        <f>IFERROR(VLOOKUP(F93,'05_Master KPI'!$B$5:$G$100,2,FALSE)&amp;" ("&amp;VLOOKUP(F93,'05_Master KPI'!$B$5:$G$100,3,FALSE)&amp;")","")</f>
        <v/>
      </c>
      <c r="H93" s="26">
        <f>IFERROR(IF(B93&lt;&gt;'06_Target KPI'!$B$3,0,IF(VLOOKUP(F93,'05_Master KPI'!$B$5:$G$100,6,FALSE)="Kumulatif",INDEX('06_Target KPI'!$E$5:$P$100,MATCH(F93,'06_Target KPI'!$B$5:$B$100,0),MATCH(A93,'06_Target KPI'!$E$4:$P$4,0))*DAY(C93)/DAY(EOMONTH(C93,0)),INDEX('06_Target KPI'!$E$5:$P$100,MATCH(F93,'06_Target KPI'!$B$5:$B$100,0),MATCH(A93,'06_Target KPI'!$E$4:$P$4,0)))),0)</f>
        <v>0</v>
      </c>
      <c r="I93" s="24"/>
      <c r="J93" s="27">
        <f>IFERROR(MIN(IF(VLOOKUP(F93,'05_Master KPI'!$B$5:$G$100,5,FALSE)="Lower",H93/I93,I93/H93),1),0)</f>
        <v>0</v>
      </c>
      <c r="K93" s="26">
        <f>IFERROR(VLOOKUP(F93,'05_Master KPI'!$B$5:$G$100,4,FALSE),0)</f>
        <v>0</v>
      </c>
      <c r="L93" s="28">
        <f t="shared" si="1"/>
        <v>0</v>
      </c>
      <c r="M93" s="26" t="str">
        <f>IF(D93="","",IF(J93&gt;='13_Setting'!$H$7,"Tercapai",IF(J93&gt;='13_Setting'!$H$6,"On Track","Tertinggal")))</f>
        <v/>
      </c>
      <c r="N93" s="24"/>
    </row>
    <row r="94" spans="1:14">
      <c r="A94" s="24"/>
      <c r="B94" s="24"/>
      <c r="C94" s="25"/>
      <c r="D94" s="24"/>
      <c r="E94" s="26" t="str">
        <f>IFERROR(VLOOKUP(D94,'04_Master Karyawan'!$A$5:$F$50,2,FALSE),"")</f>
        <v/>
      </c>
      <c r="F94" s="24"/>
      <c r="G94" s="26" t="str">
        <f>IFERROR(VLOOKUP(F94,'05_Master KPI'!$B$5:$G$100,2,FALSE)&amp;" ("&amp;VLOOKUP(F94,'05_Master KPI'!$B$5:$G$100,3,FALSE)&amp;")","")</f>
        <v/>
      </c>
      <c r="H94" s="26">
        <f>IFERROR(IF(B94&lt;&gt;'06_Target KPI'!$B$3,0,IF(VLOOKUP(F94,'05_Master KPI'!$B$5:$G$100,6,FALSE)="Kumulatif",INDEX('06_Target KPI'!$E$5:$P$100,MATCH(F94,'06_Target KPI'!$B$5:$B$100,0),MATCH(A94,'06_Target KPI'!$E$4:$P$4,0))*DAY(C94)/DAY(EOMONTH(C94,0)),INDEX('06_Target KPI'!$E$5:$P$100,MATCH(F94,'06_Target KPI'!$B$5:$B$100,0),MATCH(A94,'06_Target KPI'!$E$4:$P$4,0)))),0)</f>
        <v>0</v>
      </c>
      <c r="I94" s="24"/>
      <c r="J94" s="27">
        <f>IFERROR(MIN(IF(VLOOKUP(F94,'05_Master KPI'!$B$5:$G$100,5,FALSE)="Lower",H94/I94,I94/H94),1),0)</f>
        <v>0</v>
      </c>
      <c r="K94" s="26">
        <f>IFERROR(VLOOKUP(F94,'05_Master KPI'!$B$5:$G$100,4,FALSE),0)</f>
        <v>0</v>
      </c>
      <c r="L94" s="28">
        <f t="shared" si="1"/>
        <v>0</v>
      </c>
      <c r="M94" s="26" t="str">
        <f>IF(D94="","",IF(J94&gt;='13_Setting'!$H$7,"Tercapai",IF(J94&gt;='13_Setting'!$H$6,"On Track","Tertinggal")))</f>
        <v/>
      </c>
      <c r="N94" s="24"/>
    </row>
    <row r="95" spans="1:14">
      <c r="A95" s="24"/>
      <c r="B95" s="24"/>
      <c r="C95" s="25"/>
      <c r="D95" s="24"/>
      <c r="E95" s="26" t="str">
        <f>IFERROR(VLOOKUP(D95,'04_Master Karyawan'!$A$5:$F$50,2,FALSE),"")</f>
        <v/>
      </c>
      <c r="F95" s="24"/>
      <c r="G95" s="26" t="str">
        <f>IFERROR(VLOOKUP(F95,'05_Master KPI'!$B$5:$G$100,2,FALSE)&amp;" ("&amp;VLOOKUP(F95,'05_Master KPI'!$B$5:$G$100,3,FALSE)&amp;")","")</f>
        <v/>
      </c>
      <c r="H95" s="26">
        <f>IFERROR(IF(B95&lt;&gt;'06_Target KPI'!$B$3,0,IF(VLOOKUP(F95,'05_Master KPI'!$B$5:$G$100,6,FALSE)="Kumulatif",INDEX('06_Target KPI'!$E$5:$P$100,MATCH(F95,'06_Target KPI'!$B$5:$B$100,0),MATCH(A95,'06_Target KPI'!$E$4:$P$4,0))*DAY(C95)/DAY(EOMONTH(C95,0)),INDEX('06_Target KPI'!$E$5:$P$100,MATCH(F95,'06_Target KPI'!$B$5:$B$100,0),MATCH(A95,'06_Target KPI'!$E$4:$P$4,0)))),0)</f>
        <v>0</v>
      </c>
      <c r="I95" s="24"/>
      <c r="J95" s="27">
        <f>IFERROR(MIN(IF(VLOOKUP(F95,'05_Master KPI'!$B$5:$G$100,5,FALSE)="Lower",H95/I95,I95/H95),1),0)</f>
        <v>0</v>
      </c>
      <c r="K95" s="26">
        <f>IFERROR(VLOOKUP(F95,'05_Master KPI'!$B$5:$G$100,4,FALSE),0)</f>
        <v>0</v>
      </c>
      <c r="L95" s="28">
        <f t="shared" si="1"/>
        <v>0</v>
      </c>
      <c r="M95" s="26" t="str">
        <f>IF(D95="","",IF(J95&gt;='13_Setting'!$H$7,"Tercapai",IF(J95&gt;='13_Setting'!$H$6,"On Track","Tertinggal")))</f>
        <v/>
      </c>
      <c r="N95" s="24"/>
    </row>
    <row r="96" spans="1:14">
      <c r="A96" s="24"/>
      <c r="B96" s="24"/>
      <c r="C96" s="25"/>
      <c r="D96" s="24"/>
      <c r="E96" s="26" t="str">
        <f>IFERROR(VLOOKUP(D96,'04_Master Karyawan'!$A$5:$F$50,2,FALSE),"")</f>
        <v/>
      </c>
      <c r="F96" s="24"/>
      <c r="G96" s="26" t="str">
        <f>IFERROR(VLOOKUP(F96,'05_Master KPI'!$B$5:$G$100,2,FALSE)&amp;" ("&amp;VLOOKUP(F96,'05_Master KPI'!$B$5:$G$100,3,FALSE)&amp;")","")</f>
        <v/>
      </c>
      <c r="H96" s="26">
        <f>IFERROR(IF(B96&lt;&gt;'06_Target KPI'!$B$3,0,IF(VLOOKUP(F96,'05_Master KPI'!$B$5:$G$100,6,FALSE)="Kumulatif",INDEX('06_Target KPI'!$E$5:$P$100,MATCH(F96,'06_Target KPI'!$B$5:$B$100,0),MATCH(A96,'06_Target KPI'!$E$4:$P$4,0))*DAY(C96)/DAY(EOMONTH(C96,0)),INDEX('06_Target KPI'!$E$5:$P$100,MATCH(F96,'06_Target KPI'!$B$5:$B$100,0),MATCH(A96,'06_Target KPI'!$E$4:$P$4,0)))),0)</f>
        <v>0</v>
      </c>
      <c r="I96" s="24"/>
      <c r="J96" s="27">
        <f>IFERROR(MIN(IF(VLOOKUP(F96,'05_Master KPI'!$B$5:$G$100,5,FALSE)="Lower",H96/I96,I96/H96),1),0)</f>
        <v>0</v>
      </c>
      <c r="K96" s="26">
        <f>IFERROR(VLOOKUP(F96,'05_Master KPI'!$B$5:$G$100,4,FALSE),0)</f>
        <v>0</v>
      </c>
      <c r="L96" s="28">
        <f t="shared" si="1"/>
        <v>0</v>
      </c>
      <c r="M96" s="26" t="str">
        <f>IF(D96="","",IF(J96&gt;='13_Setting'!$H$7,"Tercapai",IF(J96&gt;='13_Setting'!$H$6,"On Track","Tertinggal")))</f>
        <v/>
      </c>
      <c r="N96" s="24"/>
    </row>
    <row r="97" spans="1:14">
      <c r="A97" s="24"/>
      <c r="B97" s="24"/>
      <c r="C97" s="25"/>
      <c r="D97" s="24"/>
      <c r="E97" s="26" t="str">
        <f>IFERROR(VLOOKUP(D97,'04_Master Karyawan'!$A$5:$F$50,2,FALSE),"")</f>
        <v/>
      </c>
      <c r="F97" s="24"/>
      <c r="G97" s="26" t="str">
        <f>IFERROR(VLOOKUP(F97,'05_Master KPI'!$B$5:$G$100,2,FALSE)&amp;" ("&amp;VLOOKUP(F97,'05_Master KPI'!$B$5:$G$100,3,FALSE)&amp;")","")</f>
        <v/>
      </c>
      <c r="H97" s="26">
        <f>IFERROR(IF(B97&lt;&gt;'06_Target KPI'!$B$3,0,IF(VLOOKUP(F97,'05_Master KPI'!$B$5:$G$100,6,FALSE)="Kumulatif",INDEX('06_Target KPI'!$E$5:$P$100,MATCH(F97,'06_Target KPI'!$B$5:$B$100,0),MATCH(A97,'06_Target KPI'!$E$4:$P$4,0))*DAY(C97)/DAY(EOMONTH(C97,0)),INDEX('06_Target KPI'!$E$5:$P$100,MATCH(F97,'06_Target KPI'!$B$5:$B$100,0),MATCH(A97,'06_Target KPI'!$E$4:$P$4,0)))),0)</f>
        <v>0</v>
      </c>
      <c r="I97" s="24"/>
      <c r="J97" s="27">
        <f>IFERROR(MIN(IF(VLOOKUP(F97,'05_Master KPI'!$B$5:$G$100,5,FALSE)="Lower",H97/I97,I97/H97),1),0)</f>
        <v>0</v>
      </c>
      <c r="K97" s="26">
        <f>IFERROR(VLOOKUP(F97,'05_Master KPI'!$B$5:$G$100,4,FALSE),0)</f>
        <v>0</v>
      </c>
      <c r="L97" s="28">
        <f t="shared" si="1"/>
        <v>0</v>
      </c>
      <c r="M97" s="26" t="str">
        <f>IF(D97="","",IF(J97&gt;='13_Setting'!$H$7,"Tercapai",IF(J97&gt;='13_Setting'!$H$6,"On Track","Tertinggal")))</f>
        <v/>
      </c>
      <c r="N97" s="24"/>
    </row>
    <row r="98" spans="1:14">
      <c r="A98" s="24"/>
      <c r="B98" s="24"/>
      <c r="C98" s="25"/>
      <c r="D98" s="24"/>
      <c r="E98" s="26" t="str">
        <f>IFERROR(VLOOKUP(D98,'04_Master Karyawan'!$A$5:$F$50,2,FALSE),"")</f>
        <v/>
      </c>
      <c r="F98" s="24"/>
      <c r="G98" s="26" t="str">
        <f>IFERROR(VLOOKUP(F98,'05_Master KPI'!$B$5:$G$100,2,FALSE)&amp;" ("&amp;VLOOKUP(F98,'05_Master KPI'!$B$5:$G$100,3,FALSE)&amp;")","")</f>
        <v/>
      </c>
      <c r="H98" s="26">
        <f>IFERROR(IF(B98&lt;&gt;'06_Target KPI'!$B$3,0,IF(VLOOKUP(F98,'05_Master KPI'!$B$5:$G$100,6,FALSE)="Kumulatif",INDEX('06_Target KPI'!$E$5:$P$100,MATCH(F98,'06_Target KPI'!$B$5:$B$100,0),MATCH(A98,'06_Target KPI'!$E$4:$P$4,0))*DAY(C98)/DAY(EOMONTH(C98,0)),INDEX('06_Target KPI'!$E$5:$P$100,MATCH(F98,'06_Target KPI'!$B$5:$B$100,0),MATCH(A98,'06_Target KPI'!$E$4:$P$4,0)))),0)</f>
        <v>0</v>
      </c>
      <c r="I98" s="24"/>
      <c r="J98" s="27">
        <f>IFERROR(MIN(IF(VLOOKUP(F98,'05_Master KPI'!$B$5:$G$100,5,FALSE)="Lower",H98/I98,I98/H98),1),0)</f>
        <v>0</v>
      </c>
      <c r="K98" s="26">
        <f>IFERROR(VLOOKUP(F98,'05_Master KPI'!$B$5:$G$100,4,FALSE),0)</f>
        <v>0</v>
      </c>
      <c r="L98" s="28">
        <f t="shared" si="1"/>
        <v>0</v>
      </c>
      <c r="M98" s="26" t="str">
        <f>IF(D98="","",IF(J98&gt;='13_Setting'!$H$7,"Tercapai",IF(J98&gt;='13_Setting'!$H$6,"On Track","Tertinggal")))</f>
        <v/>
      </c>
      <c r="N98" s="24"/>
    </row>
    <row r="99" spans="1:14">
      <c r="A99" s="24"/>
      <c r="B99" s="24"/>
      <c r="C99" s="25"/>
      <c r="D99" s="24"/>
      <c r="E99" s="26" t="str">
        <f>IFERROR(VLOOKUP(D99,'04_Master Karyawan'!$A$5:$F$50,2,FALSE),"")</f>
        <v/>
      </c>
      <c r="F99" s="24"/>
      <c r="G99" s="26" t="str">
        <f>IFERROR(VLOOKUP(F99,'05_Master KPI'!$B$5:$G$100,2,FALSE)&amp;" ("&amp;VLOOKUP(F99,'05_Master KPI'!$B$5:$G$100,3,FALSE)&amp;")","")</f>
        <v/>
      </c>
      <c r="H99" s="26">
        <f>IFERROR(IF(B99&lt;&gt;'06_Target KPI'!$B$3,0,IF(VLOOKUP(F99,'05_Master KPI'!$B$5:$G$100,6,FALSE)="Kumulatif",INDEX('06_Target KPI'!$E$5:$P$100,MATCH(F99,'06_Target KPI'!$B$5:$B$100,0),MATCH(A99,'06_Target KPI'!$E$4:$P$4,0))*DAY(C99)/DAY(EOMONTH(C99,0)),INDEX('06_Target KPI'!$E$5:$P$100,MATCH(F99,'06_Target KPI'!$B$5:$B$100,0),MATCH(A99,'06_Target KPI'!$E$4:$P$4,0)))),0)</f>
        <v>0</v>
      </c>
      <c r="I99" s="24"/>
      <c r="J99" s="27">
        <f>IFERROR(MIN(IF(VLOOKUP(F99,'05_Master KPI'!$B$5:$G$100,5,FALSE)="Lower",H99/I99,I99/H99),1),0)</f>
        <v>0</v>
      </c>
      <c r="K99" s="26">
        <f>IFERROR(VLOOKUP(F99,'05_Master KPI'!$B$5:$G$100,4,FALSE),0)</f>
        <v>0</v>
      </c>
      <c r="L99" s="28">
        <f t="shared" si="1"/>
        <v>0</v>
      </c>
      <c r="M99" s="26" t="str">
        <f>IF(D99="","",IF(J99&gt;='13_Setting'!$H$7,"Tercapai",IF(J99&gt;='13_Setting'!$H$6,"On Track","Tertinggal")))</f>
        <v/>
      </c>
      <c r="N99" s="24"/>
    </row>
    <row r="100" spans="1:14">
      <c r="A100" s="24"/>
      <c r="B100" s="24"/>
      <c r="C100" s="25"/>
      <c r="D100" s="24"/>
      <c r="E100" s="26" t="str">
        <f>IFERROR(VLOOKUP(D100,'04_Master Karyawan'!$A$5:$F$50,2,FALSE),"")</f>
        <v/>
      </c>
      <c r="F100" s="24"/>
      <c r="G100" s="26" t="str">
        <f>IFERROR(VLOOKUP(F100,'05_Master KPI'!$B$5:$G$100,2,FALSE)&amp;" ("&amp;VLOOKUP(F100,'05_Master KPI'!$B$5:$G$100,3,FALSE)&amp;")","")</f>
        <v/>
      </c>
      <c r="H100" s="26">
        <f>IFERROR(IF(B100&lt;&gt;'06_Target KPI'!$B$3,0,IF(VLOOKUP(F100,'05_Master KPI'!$B$5:$G$100,6,FALSE)="Kumulatif",INDEX('06_Target KPI'!$E$5:$P$100,MATCH(F100,'06_Target KPI'!$B$5:$B$100,0),MATCH(A100,'06_Target KPI'!$E$4:$P$4,0))*DAY(C100)/DAY(EOMONTH(C100,0)),INDEX('06_Target KPI'!$E$5:$P$100,MATCH(F100,'06_Target KPI'!$B$5:$B$100,0),MATCH(A100,'06_Target KPI'!$E$4:$P$4,0)))),0)</f>
        <v>0</v>
      </c>
      <c r="I100" s="24"/>
      <c r="J100" s="27">
        <f>IFERROR(MIN(IF(VLOOKUP(F100,'05_Master KPI'!$B$5:$G$100,5,FALSE)="Lower",H100/I100,I100/H100),1),0)</f>
        <v>0</v>
      </c>
      <c r="K100" s="26">
        <f>IFERROR(VLOOKUP(F100,'05_Master KPI'!$B$5:$G$100,4,FALSE),0)</f>
        <v>0</v>
      </c>
      <c r="L100" s="28">
        <f t="shared" si="1"/>
        <v>0</v>
      </c>
      <c r="M100" s="26" t="str">
        <f>IF(D100="","",IF(J100&gt;='13_Setting'!$H$7,"Tercapai",IF(J100&gt;='13_Setting'!$H$6,"On Track","Tertinggal")))</f>
        <v/>
      </c>
      <c r="N100" s="24"/>
    </row>
    <row r="101" spans="1:14">
      <c r="A101" s="24"/>
      <c r="B101" s="24"/>
      <c r="C101" s="25"/>
      <c r="D101" s="24"/>
      <c r="E101" s="26" t="str">
        <f>IFERROR(VLOOKUP(D101,'04_Master Karyawan'!$A$5:$F$50,2,FALSE),"")</f>
        <v/>
      </c>
      <c r="F101" s="24"/>
      <c r="G101" s="26" t="str">
        <f>IFERROR(VLOOKUP(F101,'05_Master KPI'!$B$5:$G$100,2,FALSE)&amp;" ("&amp;VLOOKUP(F101,'05_Master KPI'!$B$5:$G$100,3,FALSE)&amp;")","")</f>
        <v/>
      </c>
      <c r="H101" s="26">
        <f>IFERROR(IF(B101&lt;&gt;'06_Target KPI'!$B$3,0,IF(VLOOKUP(F101,'05_Master KPI'!$B$5:$G$100,6,FALSE)="Kumulatif",INDEX('06_Target KPI'!$E$5:$P$100,MATCH(F101,'06_Target KPI'!$B$5:$B$100,0),MATCH(A101,'06_Target KPI'!$E$4:$P$4,0))*DAY(C101)/DAY(EOMONTH(C101,0)),INDEX('06_Target KPI'!$E$5:$P$100,MATCH(F101,'06_Target KPI'!$B$5:$B$100,0),MATCH(A101,'06_Target KPI'!$E$4:$P$4,0)))),0)</f>
        <v>0</v>
      </c>
      <c r="I101" s="24"/>
      <c r="J101" s="27">
        <f>IFERROR(MIN(IF(VLOOKUP(F101,'05_Master KPI'!$B$5:$G$100,5,FALSE)="Lower",H101/I101,I101/H101),1),0)</f>
        <v>0</v>
      </c>
      <c r="K101" s="26">
        <f>IFERROR(VLOOKUP(F101,'05_Master KPI'!$B$5:$G$100,4,FALSE),0)</f>
        <v>0</v>
      </c>
      <c r="L101" s="28">
        <f t="shared" si="1"/>
        <v>0</v>
      </c>
      <c r="M101" s="26" t="str">
        <f>IF(D101="","",IF(J101&gt;='13_Setting'!$H$7,"Tercapai",IF(J101&gt;='13_Setting'!$H$6,"On Track","Tertinggal")))</f>
        <v/>
      </c>
      <c r="N101" s="24"/>
    </row>
    <row r="102" spans="1:14">
      <c r="A102" s="24"/>
      <c r="B102" s="24"/>
      <c r="C102" s="25"/>
      <c r="D102" s="24"/>
      <c r="E102" s="26" t="str">
        <f>IFERROR(VLOOKUP(D102,'04_Master Karyawan'!$A$5:$F$50,2,FALSE),"")</f>
        <v/>
      </c>
      <c r="F102" s="24"/>
      <c r="G102" s="26" t="str">
        <f>IFERROR(VLOOKUP(F102,'05_Master KPI'!$B$5:$G$100,2,FALSE)&amp;" ("&amp;VLOOKUP(F102,'05_Master KPI'!$B$5:$G$100,3,FALSE)&amp;")","")</f>
        <v/>
      </c>
      <c r="H102" s="26">
        <f>IFERROR(IF(B102&lt;&gt;'06_Target KPI'!$B$3,0,IF(VLOOKUP(F102,'05_Master KPI'!$B$5:$G$100,6,FALSE)="Kumulatif",INDEX('06_Target KPI'!$E$5:$P$100,MATCH(F102,'06_Target KPI'!$B$5:$B$100,0),MATCH(A102,'06_Target KPI'!$E$4:$P$4,0))*DAY(C102)/DAY(EOMONTH(C102,0)),INDEX('06_Target KPI'!$E$5:$P$100,MATCH(F102,'06_Target KPI'!$B$5:$B$100,0),MATCH(A102,'06_Target KPI'!$E$4:$P$4,0)))),0)</f>
        <v>0</v>
      </c>
      <c r="I102" s="24"/>
      <c r="J102" s="27">
        <f>IFERROR(MIN(IF(VLOOKUP(F102,'05_Master KPI'!$B$5:$G$100,5,FALSE)="Lower",H102/I102,I102/H102),1),0)</f>
        <v>0</v>
      </c>
      <c r="K102" s="26">
        <f>IFERROR(VLOOKUP(F102,'05_Master KPI'!$B$5:$G$100,4,FALSE),0)</f>
        <v>0</v>
      </c>
      <c r="L102" s="28">
        <f t="shared" si="1"/>
        <v>0</v>
      </c>
      <c r="M102" s="26" t="str">
        <f>IF(D102="","",IF(J102&gt;='13_Setting'!$H$7,"Tercapai",IF(J102&gt;='13_Setting'!$H$6,"On Track","Tertinggal")))</f>
        <v/>
      </c>
      <c r="N102" s="24"/>
    </row>
    <row r="103" spans="1:14">
      <c r="A103" s="24"/>
      <c r="B103" s="24"/>
      <c r="C103" s="25"/>
      <c r="D103" s="24"/>
      <c r="E103" s="26" t="str">
        <f>IFERROR(VLOOKUP(D103,'04_Master Karyawan'!$A$5:$F$50,2,FALSE),"")</f>
        <v/>
      </c>
      <c r="F103" s="24"/>
      <c r="G103" s="26" t="str">
        <f>IFERROR(VLOOKUP(F103,'05_Master KPI'!$B$5:$G$100,2,FALSE)&amp;" ("&amp;VLOOKUP(F103,'05_Master KPI'!$B$5:$G$100,3,FALSE)&amp;")","")</f>
        <v/>
      </c>
      <c r="H103" s="26">
        <f>IFERROR(IF(B103&lt;&gt;'06_Target KPI'!$B$3,0,IF(VLOOKUP(F103,'05_Master KPI'!$B$5:$G$100,6,FALSE)="Kumulatif",INDEX('06_Target KPI'!$E$5:$P$100,MATCH(F103,'06_Target KPI'!$B$5:$B$100,0),MATCH(A103,'06_Target KPI'!$E$4:$P$4,0))*DAY(C103)/DAY(EOMONTH(C103,0)),INDEX('06_Target KPI'!$E$5:$P$100,MATCH(F103,'06_Target KPI'!$B$5:$B$100,0),MATCH(A103,'06_Target KPI'!$E$4:$P$4,0)))),0)</f>
        <v>0</v>
      </c>
      <c r="I103" s="24"/>
      <c r="J103" s="27">
        <f>IFERROR(MIN(IF(VLOOKUP(F103,'05_Master KPI'!$B$5:$G$100,5,FALSE)="Lower",H103/I103,I103/H103),1),0)</f>
        <v>0</v>
      </c>
      <c r="K103" s="26">
        <f>IFERROR(VLOOKUP(F103,'05_Master KPI'!$B$5:$G$100,4,FALSE),0)</f>
        <v>0</v>
      </c>
      <c r="L103" s="28">
        <f t="shared" si="1"/>
        <v>0</v>
      </c>
      <c r="M103" s="26" t="str">
        <f>IF(D103="","",IF(J103&gt;='13_Setting'!$H$7,"Tercapai",IF(J103&gt;='13_Setting'!$H$6,"On Track","Tertinggal")))</f>
        <v/>
      </c>
      <c r="N103" s="24"/>
    </row>
    <row r="104" spans="1:14">
      <c r="A104" s="24"/>
      <c r="B104" s="24"/>
      <c r="C104" s="25"/>
      <c r="D104" s="24"/>
      <c r="E104" s="26" t="str">
        <f>IFERROR(VLOOKUP(D104,'04_Master Karyawan'!$A$5:$F$50,2,FALSE),"")</f>
        <v/>
      </c>
      <c r="F104" s="24"/>
      <c r="G104" s="26" t="str">
        <f>IFERROR(VLOOKUP(F104,'05_Master KPI'!$B$5:$G$100,2,FALSE)&amp;" ("&amp;VLOOKUP(F104,'05_Master KPI'!$B$5:$G$100,3,FALSE)&amp;")","")</f>
        <v/>
      </c>
      <c r="H104" s="26">
        <f>IFERROR(IF(B104&lt;&gt;'06_Target KPI'!$B$3,0,IF(VLOOKUP(F104,'05_Master KPI'!$B$5:$G$100,6,FALSE)="Kumulatif",INDEX('06_Target KPI'!$E$5:$P$100,MATCH(F104,'06_Target KPI'!$B$5:$B$100,0),MATCH(A104,'06_Target KPI'!$E$4:$P$4,0))*DAY(C104)/DAY(EOMONTH(C104,0)),INDEX('06_Target KPI'!$E$5:$P$100,MATCH(F104,'06_Target KPI'!$B$5:$B$100,0),MATCH(A104,'06_Target KPI'!$E$4:$P$4,0)))),0)</f>
        <v>0</v>
      </c>
      <c r="I104" s="24"/>
      <c r="J104" s="27">
        <f>IFERROR(MIN(IF(VLOOKUP(F104,'05_Master KPI'!$B$5:$G$100,5,FALSE)="Lower",H104/I104,I104/H104),1),0)</f>
        <v>0</v>
      </c>
      <c r="K104" s="26">
        <f>IFERROR(VLOOKUP(F104,'05_Master KPI'!$B$5:$G$100,4,FALSE),0)</f>
        <v>0</v>
      </c>
      <c r="L104" s="28">
        <f t="shared" si="1"/>
        <v>0</v>
      </c>
      <c r="M104" s="26" t="str">
        <f>IF(D104="","",IF(J104&gt;='13_Setting'!$H$7,"Tercapai",IF(J104&gt;='13_Setting'!$H$6,"On Track","Tertinggal")))</f>
        <v/>
      </c>
      <c r="N104" s="24"/>
    </row>
    <row r="105" spans="1:14">
      <c r="A105" s="24"/>
      <c r="B105" s="24"/>
      <c r="C105" s="25"/>
      <c r="D105" s="24"/>
      <c r="E105" s="26" t="str">
        <f>IFERROR(VLOOKUP(D105,'04_Master Karyawan'!$A$5:$F$50,2,FALSE),"")</f>
        <v/>
      </c>
      <c r="F105" s="24"/>
      <c r="G105" s="26" t="str">
        <f>IFERROR(VLOOKUP(F105,'05_Master KPI'!$B$5:$G$100,2,FALSE)&amp;" ("&amp;VLOOKUP(F105,'05_Master KPI'!$B$5:$G$100,3,FALSE)&amp;")","")</f>
        <v/>
      </c>
      <c r="H105" s="26">
        <f>IFERROR(IF(B105&lt;&gt;'06_Target KPI'!$B$3,0,IF(VLOOKUP(F105,'05_Master KPI'!$B$5:$G$100,6,FALSE)="Kumulatif",INDEX('06_Target KPI'!$E$5:$P$100,MATCH(F105,'06_Target KPI'!$B$5:$B$100,0),MATCH(A105,'06_Target KPI'!$E$4:$P$4,0))*DAY(C105)/DAY(EOMONTH(C105,0)),INDEX('06_Target KPI'!$E$5:$P$100,MATCH(F105,'06_Target KPI'!$B$5:$B$100,0),MATCH(A105,'06_Target KPI'!$E$4:$P$4,0)))),0)</f>
        <v>0</v>
      </c>
      <c r="I105" s="24"/>
      <c r="J105" s="27">
        <f>IFERROR(MIN(IF(VLOOKUP(F105,'05_Master KPI'!$B$5:$G$100,5,FALSE)="Lower",H105/I105,I105/H105),1),0)</f>
        <v>0</v>
      </c>
      <c r="K105" s="26">
        <f>IFERROR(VLOOKUP(F105,'05_Master KPI'!$B$5:$G$100,4,FALSE),0)</f>
        <v>0</v>
      </c>
      <c r="L105" s="28">
        <f t="shared" si="1"/>
        <v>0</v>
      </c>
      <c r="M105" s="26" t="str">
        <f>IF(D105="","",IF(J105&gt;='13_Setting'!$H$7,"Tercapai",IF(J105&gt;='13_Setting'!$H$6,"On Track","Tertinggal")))</f>
        <v/>
      </c>
      <c r="N105" s="24"/>
    </row>
    <row r="106" spans="1:14">
      <c r="A106" s="24"/>
      <c r="B106" s="24"/>
      <c r="C106" s="25"/>
      <c r="D106" s="24"/>
      <c r="E106" s="26" t="str">
        <f>IFERROR(VLOOKUP(D106,'04_Master Karyawan'!$A$5:$F$50,2,FALSE),"")</f>
        <v/>
      </c>
      <c r="F106" s="24"/>
      <c r="G106" s="26" t="str">
        <f>IFERROR(VLOOKUP(F106,'05_Master KPI'!$B$5:$G$100,2,FALSE)&amp;" ("&amp;VLOOKUP(F106,'05_Master KPI'!$B$5:$G$100,3,FALSE)&amp;")","")</f>
        <v/>
      </c>
      <c r="H106" s="26">
        <f>IFERROR(IF(B106&lt;&gt;'06_Target KPI'!$B$3,0,IF(VLOOKUP(F106,'05_Master KPI'!$B$5:$G$100,6,FALSE)="Kumulatif",INDEX('06_Target KPI'!$E$5:$P$100,MATCH(F106,'06_Target KPI'!$B$5:$B$100,0),MATCH(A106,'06_Target KPI'!$E$4:$P$4,0))*DAY(C106)/DAY(EOMONTH(C106,0)),INDEX('06_Target KPI'!$E$5:$P$100,MATCH(F106,'06_Target KPI'!$B$5:$B$100,0),MATCH(A106,'06_Target KPI'!$E$4:$P$4,0)))),0)</f>
        <v>0</v>
      </c>
      <c r="I106" s="24"/>
      <c r="J106" s="27">
        <f>IFERROR(MIN(IF(VLOOKUP(F106,'05_Master KPI'!$B$5:$G$100,5,FALSE)="Lower",H106/I106,I106/H106),1),0)</f>
        <v>0</v>
      </c>
      <c r="K106" s="26">
        <f>IFERROR(VLOOKUP(F106,'05_Master KPI'!$B$5:$G$100,4,FALSE),0)</f>
        <v>0</v>
      </c>
      <c r="L106" s="28">
        <f t="shared" si="1"/>
        <v>0</v>
      </c>
      <c r="M106" s="26" t="str">
        <f>IF(D106="","",IF(J106&gt;='13_Setting'!$H$7,"Tercapai",IF(J106&gt;='13_Setting'!$H$6,"On Track","Tertinggal")))</f>
        <v/>
      </c>
      <c r="N106" s="24"/>
    </row>
    <row r="107" spans="1:14">
      <c r="A107" s="24"/>
      <c r="B107" s="24"/>
      <c r="C107" s="25"/>
      <c r="D107" s="24"/>
      <c r="E107" s="26" t="str">
        <f>IFERROR(VLOOKUP(D107,'04_Master Karyawan'!$A$5:$F$50,2,FALSE),"")</f>
        <v/>
      </c>
      <c r="F107" s="24"/>
      <c r="G107" s="26" t="str">
        <f>IFERROR(VLOOKUP(F107,'05_Master KPI'!$B$5:$G$100,2,FALSE)&amp;" ("&amp;VLOOKUP(F107,'05_Master KPI'!$B$5:$G$100,3,FALSE)&amp;")","")</f>
        <v/>
      </c>
      <c r="H107" s="26">
        <f>IFERROR(IF(B107&lt;&gt;'06_Target KPI'!$B$3,0,IF(VLOOKUP(F107,'05_Master KPI'!$B$5:$G$100,6,FALSE)="Kumulatif",INDEX('06_Target KPI'!$E$5:$P$100,MATCH(F107,'06_Target KPI'!$B$5:$B$100,0),MATCH(A107,'06_Target KPI'!$E$4:$P$4,0))*DAY(C107)/DAY(EOMONTH(C107,0)),INDEX('06_Target KPI'!$E$5:$P$100,MATCH(F107,'06_Target KPI'!$B$5:$B$100,0),MATCH(A107,'06_Target KPI'!$E$4:$P$4,0)))),0)</f>
        <v>0</v>
      </c>
      <c r="I107" s="24"/>
      <c r="J107" s="27">
        <f>IFERROR(MIN(IF(VLOOKUP(F107,'05_Master KPI'!$B$5:$G$100,5,FALSE)="Lower",H107/I107,I107/H107),1),0)</f>
        <v>0</v>
      </c>
      <c r="K107" s="26">
        <f>IFERROR(VLOOKUP(F107,'05_Master KPI'!$B$5:$G$100,4,FALSE),0)</f>
        <v>0</v>
      </c>
      <c r="L107" s="28">
        <f t="shared" si="1"/>
        <v>0</v>
      </c>
      <c r="M107" s="26" t="str">
        <f>IF(D107="","",IF(J107&gt;='13_Setting'!$H$7,"Tercapai",IF(J107&gt;='13_Setting'!$H$6,"On Track","Tertinggal")))</f>
        <v/>
      </c>
      <c r="N107" s="24"/>
    </row>
    <row r="108" spans="1:14">
      <c r="A108" s="24"/>
      <c r="B108" s="24"/>
      <c r="C108" s="25"/>
      <c r="D108" s="24"/>
      <c r="E108" s="26" t="str">
        <f>IFERROR(VLOOKUP(D108,'04_Master Karyawan'!$A$5:$F$50,2,FALSE),"")</f>
        <v/>
      </c>
      <c r="F108" s="24"/>
      <c r="G108" s="26" t="str">
        <f>IFERROR(VLOOKUP(F108,'05_Master KPI'!$B$5:$G$100,2,FALSE)&amp;" ("&amp;VLOOKUP(F108,'05_Master KPI'!$B$5:$G$100,3,FALSE)&amp;")","")</f>
        <v/>
      </c>
      <c r="H108" s="26">
        <f>IFERROR(IF(B108&lt;&gt;'06_Target KPI'!$B$3,0,IF(VLOOKUP(F108,'05_Master KPI'!$B$5:$G$100,6,FALSE)="Kumulatif",INDEX('06_Target KPI'!$E$5:$P$100,MATCH(F108,'06_Target KPI'!$B$5:$B$100,0),MATCH(A108,'06_Target KPI'!$E$4:$P$4,0))*DAY(C108)/DAY(EOMONTH(C108,0)),INDEX('06_Target KPI'!$E$5:$P$100,MATCH(F108,'06_Target KPI'!$B$5:$B$100,0),MATCH(A108,'06_Target KPI'!$E$4:$P$4,0)))),0)</f>
        <v>0</v>
      </c>
      <c r="I108" s="24"/>
      <c r="J108" s="27">
        <f>IFERROR(MIN(IF(VLOOKUP(F108,'05_Master KPI'!$B$5:$G$100,5,FALSE)="Lower",H108/I108,I108/H108),1),0)</f>
        <v>0</v>
      </c>
      <c r="K108" s="26">
        <f>IFERROR(VLOOKUP(F108,'05_Master KPI'!$B$5:$G$100,4,FALSE),0)</f>
        <v>0</v>
      </c>
      <c r="L108" s="28">
        <f t="shared" si="1"/>
        <v>0</v>
      </c>
      <c r="M108" s="26" t="str">
        <f>IF(D108="","",IF(J108&gt;='13_Setting'!$H$7,"Tercapai",IF(J108&gt;='13_Setting'!$H$6,"On Track","Tertinggal")))</f>
        <v/>
      </c>
      <c r="N108" s="24"/>
    </row>
    <row r="109" spans="1:14">
      <c r="A109" s="24"/>
      <c r="B109" s="24"/>
      <c r="C109" s="25"/>
      <c r="D109" s="24"/>
      <c r="E109" s="26" t="str">
        <f>IFERROR(VLOOKUP(D109,'04_Master Karyawan'!$A$5:$F$50,2,FALSE),"")</f>
        <v/>
      </c>
      <c r="F109" s="24"/>
      <c r="G109" s="26" t="str">
        <f>IFERROR(VLOOKUP(F109,'05_Master KPI'!$B$5:$G$100,2,FALSE)&amp;" ("&amp;VLOOKUP(F109,'05_Master KPI'!$B$5:$G$100,3,FALSE)&amp;")","")</f>
        <v/>
      </c>
      <c r="H109" s="26">
        <f>IFERROR(IF(B109&lt;&gt;'06_Target KPI'!$B$3,0,IF(VLOOKUP(F109,'05_Master KPI'!$B$5:$G$100,6,FALSE)="Kumulatif",INDEX('06_Target KPI'!$E$5:$P$100,MATCH(F109,'06_Target KPI'!$B$5:$B$100,0),MATCH(A109,'06_Target KPI'!$E$4:$P$4,0))*DAY(C109)/DAY(EOMONTH(C109,0)),INDEX('06_Target KPI'!$E$5:$P$100,MATCH(F109,'06_Target KPI'!$B$5:$B$100,0),MATCH(A109,'06_Target KPI'!$E$4:$P$4,0)))),0)</f>
        <v>0</v>
      </c>
      <c r="I109" s="24"/>
      <c r="J109" s="27">
        <f>IFERROR(MIN(IF(VLOOKUP(F109,'05_Master KPI'!$B$5:$G$100,5,FALSE)="Lower",H109/I109,I109/H109),1),0)</f>
        <v>0</v>
      </c>
      <c r="K109" s="26">
        <f>IFERROR(VLOOKUP(F109,'05_Master KPI'!$B$5:$G$100,4,FALSE),0)</f>
        <v>0</v>
      </c>
      <c r="L109" s="28">
        <f t="shared" si="1"/>
        <v>0</v>
      </c>
      <c r="M109" s="26" t="str">
        <f>IF(D109="","",IF(J109&gt;='13_Setting'!$H$7,"Tercapai",IF(J109&gt;='13_Setting'!$H$6,"On Track","Tertinggal")))</f>
        <v/>
      </c>
      <c r="N109" s="24"/>
    </row>
    <row r="110" spans="1:14">
      <c r="A110" s="24"/>
      <c r="B110" s="24"/>
      <c r="C110" s="25"/>
      <c r="D110" s="24"/>
      <c r="E110" s="26" t="str">
        <f>IFERROR(VLOOKUP(D110,'04_Master Karyawan'!$A$5:$F$50,2,FALSE),"")</f>
        <v/>
      </c>
      <c r="F110" s="24"/>
      <c r="G110" s="26" t="str">
        <f>IFERROR(VLOOKUP(F110,'05_Master KPI'!$B$5:$G$100,2,FALSE)&amp;" ("&amp;VLOOKUP(F110,'05_Master KPI'!$B$5:$G$100,3,FALSE)&amp;")","")</f>
        <v/>
      </c>
      <c r="H110" s="26">
        <f>IFERROR(IF(B110&lt;&gt;'06_Target KPI'!$B$3,0,IF(VLOOKUP(F110,'05_Master KPI'!$B$5:$G$100,6,FALSE)="Kumulatif",INDEX('06_Target KPI'!$E$5:$P$100,MATCH(F110,'06_Target KPI'!$B$5:$B$100,0),MATCH(A110,'06_Target KPI'!$E$4:$P$4,0))*DAY(C110)/DAY(EOMONTH(C110,0)),INDEX('06_Target KPI'!$E$5:$P$100,MATCH(F110,'06_Target KPI'!$B$5:$B$100,0),MATCH(A110,'06_Target KPI'!$E$4:$P$4,0)))),0)</f>
        <v>0</v>
      </c>
      <c r="I110" s="24"/>
      <c r="J110" s="27">
        <f>IFERROR(MIN(IF(VLOOKUP(F110,'05_Master KPI'!$B$5:$G$100,5,FALSE)="Lower",H110/I110,I110/H110),1),0)</f>
        <v>0</v>
      </c>
      <c r="K110" s="26">
        <f>IFERROR(VLOOKUP(F110,'05_Master KPI'!$B$5:$G$100,4,FALSE),0)</f>
        <v>0</v>
      </c>
      <c r="L110" s="28">
        <f t="shared" si="1"/>
        <v>0</v>
      </c>
      <c r="M110" s="26" t="str">
        <f>IF(D110="","",IF(J110&gt;='13_Setting'!$H$7,"Tercapai",IF(J110&gt;='13_Setting'!$H$6,"On Track","Tertinggal")))</f>
        <v/>
      </c>
      <c r="N110" s="24"/>
    </row>
    <row r="111" spans="1:14">
      <c r="A111" s="24"/>
      <c r="B111" s="24"/>
      <c r="C111" s="25"/>
      <c r="D111" s="24"/>
      <c r="E111" s="26" t="str">
        <f>IFERROR(VLOOKUP(D111,'04_Master Karyawan'!$A$5:$F$50,2,FALSE),"")</f>
        <v/>
      </c>
      <c r="F111" s="24"/>
      <c r="G111" s="26" t="str">
        <f>IFERROR(VLOOKUP(F111,'05_Master KPI'!$B$5:$G$100,2,FALSE)&amp;" ("&amp;VLOOKUP(F111,'05_Master KPI'!$B$5:$G$100,3,FALSE)&amp;")","")</f>
        <v/>
      </c>
      <c r="H111" s="26">
        <f>IFERROR(IF(B111&lt;&gt;'06_Target KPI'!$B$3,0,IF(VLOOKUP(F111,'05_Master KPI'!$B$5:$G$100,6,FALSE)="Kumulatif",INDEX('06_Target KPI'!$E$5:$P$100,MATCH(F111,'06_Target KPI'!$B$5:$B$100,0),MATCH(A111,'06_Target KPI'!$E$4:$P$4,0))*DAY(C111)/DAY(EOMONTH(C111,0)),INDEX('06_Target KPI'!$E$5:$P$100,MATCH(F111,'06_Target KPI'!$B$5:$B$100,0),MATCH(A111,'06_Target KPI'!$E$4:$P$4,0)))),0)</f>
        <v>0</v>
      </c>
      <c r="I111" s="24"/>
      <c r="J111" s="27">
        <f>IFERROR(MIN(IF(VLOOKUP(F111,'05_Master KPI'!$B$5:$G$100,5,FALSE)="Lower",H111/I111,I111/H111),1),0)</f>
        <v>0</v>
      </c>
      <c r="K111" s="26">
        <f>IFERROR(VLOOKUP(F111,'05_Master KPI'!$B$5:$G$100,4,FALSE),0)</f>
        <v>0</v>
      </c>
      <c r="L111" s="28">
        <f t="shared" si="1"/>
        <v>0</v>
      </c>
      <c r="M111" s="26" t="str">
        <f>IF(D111="","",IF(J111&gt;='13_Setting'!$H$7,"Tercapai",IF(J111&gt;='13_Setting'!$H$6,"On Track","Tertinggal")))</f>
        <v/>
      </c>
      <c r="N111" s="24"/>
    </row>
    <row r="112" spans="1:14">
      <c r="A112" s="24"/>
      <c r="B112" s="24"/>
      <c r="C112" s="25"/>
      <c r="D112" s="24"/>
      <c r="E112" s="26" t="str">
        <f>IFERROR(VLOOKUP(D112,'04_Master Karyawan'!$A$5:$F$50,2,FALSE),"")</f>
        <v/>
      </c>
      <c r="F112" s="24"/>
      <c r="G112" s="26" t="str">
        <f>IFERROR(VLOOKUP(F112,'05_Master KPI'!$B$5:$G$100,2,FALSE)&amp;" ("&amp;VLOOKUP(F112,'05_Master KPI'!$B$5:$G$100,3,FALSE)&amp;")","")</f>
        <v/>
      </c>
      <c r="H112" s="26">
        <f>IFERROR(IF(B112&lt;&gt;'06_Target KPI'!$B$3,0,IF(VLOOKUP(F112,'05_Master KPI'!$B$5:$G$100,6,FALSE)="Kumulatif",INDEX('06_Target KPI'!$E$5:$P$100,MATCH(F112,'06_Target KPI'!$B$5:$B$100,0),MATCH(A112,'06_Target KPI'!$E$4:$P$4,0))*DAY(C112)/DAY(EOMONTH(C112,0)),INDEX('06_Target KPI'!$E$5:$P$100,MATCH(F112,'06_Target KPI'!$B$5:$B$100,0),MATCH(A112,'06_Target KPI'!$E$4:$P$4,0)))),0)</f>
        <v>0</v>
      </c>
      <c r="I112" s="24"/>
      <c r="J112" s="27">
        <f>IFERROR(MIN(IF(VLOOKUP(F112,'05_Master KPI'!$B$5:$G$100,5,FALSE)="Lower",H112/I112,I112/H112),1),0)</f>
        <v>0</v>
      </c>
      <c r="K112" s="26">
        <f>IFERROR(VLOOKUP(F112,'05_Master KPI'!$B$5:$G$100,4,FALSE),0)</f>
        <v>0</v>
      </c>
      <c r="L112" s="28">
        <f t="shared" si="1"/>
        <v>0</v>
      </c>
      <c r="M112" s="26" t="str">
        <f>IF(D112="","",IF(J112&gt;='13_Setting'!$H$7,"Tercapai",IF(J112&gt;='13_Setting'!$H$6,"On Track","Tertinggal")))</f>
        <v/>
      </c>
      <c r="N112" s="24"/>
    </row>
    <row r="113" spans="1:14">
      <c r="A113" s="24"/>
      <c r="B113" s="24"/>
      <c r="C113" s="25"/>
      <c r="D113" s="24"/>
      <c r="E113" s="26" t="str">
        <f>IFERROR(VLOOKUP(D113,'04_Master Karyawan'!$A$5:$F$50,2,FALSE),"")</f>
        <v/>
      </c>
      <c r="F113" s="24"/>
      <c r="G113" s="26" t="str">
        <f>IFERROR(VLOOKUP(F113,'05_Master KPI'!$B$5:$G$100,2,FALSE)&amp;" ("&amp;VLOOKUP(F113,'05_Master KPI'!$B$5:$G$100,3,FALSE)&amp;")","")</f>
        <v/>
      </c>
      <c r="H113" s="26">
        <f>IFERROR(IF(B113&lt;&gt;'06_Target KPI'!$B$3,0,IF(VLOOKUP(F113,'05_Master KPI'!$B$5:$G$100,6,FALSE)="Kumulatif",INDEX('06_Target KPI'!$E$5:$P$100,MATCH(F113,'06_Target KPI'!$B$5:$B$100,0),MATCH(A113,'06_Target KPI'!$E$4:$P$4,0))*DAY(C113)/DAY(EOMONTH(C113,0)),INDEX('06_Target KPI'!$E$5:$P$100,MATCH(F113,'06_Target KPI'!$B$5:$B$100,0),MATCH(A113,'06_Target KPI'!$E$4:$P$4,0)))),0)</f>
        <v>0</v>
      </c>
      <c r="I113" s="24"/>
      <c r="J113" s="27">
        <f>IFERROR(MIN(IF(VLOOKUP(F113,'05_Master KPI'!$B$5:$G$100,5,FALSE)="Lower",H113/I113,I113/H113),1),0)</f>
        <v>0</v>
      </c>
      <c r="K113" s="26">
        <f>IFERROR(VLOOKUP(F113,'05_Master KPI'!$B$5:$G$100,4,FALSE),0)</f>
        <v>0</v>
      </c>
      <c r="L113" s="28">
        <f t="shared" si="1"/>
        <v>0</v>
      </c>
      <c r="M113" s="26" t="str">
        <f>IF(D113="","",IF(J113&gt;='13_Setting'!$H$7,"Tercapai",IF(J113&gt;='13_Setting'!$H$6,"On Track","Tertinggal")))</f>
        <v/>
      </c>
      <c r="N113" s="24"/>
    </row>
    <row r="114" spans="1:14">
      <c r="A114" s="24"/>
      <c r="B114" s="24"/>
      <c r="C114" s="25"/>
      <c r="D114" s="24"/>
      <c r="E114" s="26" t="str">
        <f>IFERROR(VLOOKUP(D114,'04_Master Karyawan'!$A$5:$F$50,2,FALSE),"")</f>
        <v/>
      </c>
      <c r="F114" s="24"/>
      <c r="G114" s="26" t="str">
        <f>IFERROR(VLOOKUP(F114,'05_Master KPI'!$B$5:$G$100,2,FALSE)&amp;" ("&amp;VLOOKUP(F114,'05_Master KPI'!$B$5:$G$100,3,FALSE)&amp;")","")</f>
        <v/>
      </c>
      <c r="H114" s="26">
        <f>IFERROR(IF(B114&lt;&gt;'06_Target KPI'!$B$3,0,IF(VLOOKUP(F114,'05_Master KPI'!$B$5:$G$100,6,FALSE)="Kumulatif",INDEX('06_Target KPI'!$E$5:$P$100,MATCH(F114,'06_Target KPI'!$B$5:$B$100,0),MATCH(A114,'06_Target KPI'!$E$4:$P$4,0))*DAY(C114)/DAY(EOMONTH(C114,0)),INDEX('06_Target KPI'!$E$5:$P$100,MATCH(F114,'06_Target KPI'!$B$5:$B$100,0),MATCH(A114,'06_Target KPI'!$E$4:$P$4,0)))),0)</f>
        <v>0</v>
      </c>
      <c r="I114" s="24"/>
      <c r="J114" s="27">
        <f>IFERROR(MIN(IF(VLOOKUP(F114,'05_Master KPI'!$B$5:$G$100,5,FALSE)="Lower",H114/I114,I114/H114),1),0)</f>
        <v>0</v>
      </c>
      <c r="K114" s="26">
        <f>IFERROR(VLOOKUP(F114,'05_Master KPI'!$B$5:$G$100,4,FALSE),0)</f>
        <v>0</v>
      </c>
      <c r="L114" s="28">
        <f t="shared" si="1"/>
        <v>0</v>
      </c>
      <c r="M114" s="26" t="str">
        <f>IF(D114="","",IF(J114&gt;='13_Setting'!$H$7,"Tercapai",IF(J114&gt;='13_Setting'!$H$6,"On Track","Tertinggal")))</f>
        <v/>
      </c>
      <c r="N114" s="24"/>
    </row>
    <row r="115" spans="1:14">
      <c r="A115" s="24"/>
      <c r="B115" s="24"/>
      <c r="C115" s="25"/>
      <c r="D115" s="24"/>
      <c r="E115" s="26" t="str">
        <f>IFERROR(VLOOKUP(D115,'04_Master Karyawan'!$A$5:$F$50,2,FALSE),"")</f>
        <v/>
      </c>
      <c r="F115" s="24"/>
      <c r="G115" s="26" t="str">
        <f>IFERROR(VLOOKUP(F115,'05_Master KPI'!$B$5:$G$100,2,FALSE)&amp;" ("&amp;VLOOKUP(F115,'05_Master KPI'!$B$5:$G$100,3,FALSE)&amp;")","")</f>
        <v/>
      </c>
      <c r="H115" s="26">
        <f>IFERROR(IF(B115&lt;&gt;'06_Target KPI'!$B$3,0,IF(VLOOKUP(F115,'05_Master KPI'!$B$5:$G$100,6,FALSE)="Kumulatif",INDEX('06_Target KPI'!$E$5:$P$100,MATCH(F115,'06_Target KPI'!$B$5:$B$100,0),MATCH(A115,'06_Target KPI'!$E$4:$P$4,0))*DAY(C115)/DAY(EOMONTH(C115,0)),INDEX('06_Target KPI'!$E$5:$P$100,MATCH(F115,'06_Target KPI'!$B$5:$B$100,0),MATCH(A115,'06_Target KPI'!$E$4:$P$4,0)))),0)</f>
        <v>0</v>
      </c>
      <c r="I115" s="24"/>
      <c r="J115" s="27">
        <f>IFERROR(MIN(IF(VLOOKUP(F115,'05_Master KPI'!$B$5:$G$100,5,FALSE)="Lower",H115/I115,I115/H115),1),0)</f>
        <v>0</v>
      </c>
      <c r="K115" s="26">
        <f>IFERROR(VLOOKUP(F115,'05_Master KPI'!$B$5:$G$100,4,FALSE),0)</f>
        <v>0</v>
      </c>
      <c r="L115" s="28">
        <f t="shared" si="1"/>
        <v>0</v>
      </c>
      <c r="M115" s="26" t="str">
        <f>IF(D115="","",IF(J115&gt;='13_Setting'!$H$7,"Tercapai",IF(J115&gt;='13_Setting'!$H$6,"On Track","Tertinggal")))</f>
        <v/>
      </c>
      <c r="N115" s="24"/>
    </row>
    <row r="116" spans="1:14">
      <c r="A116" s="24"/>
      <c r="B116" s="24"/>
      <c r="C116" s="25"/>
      <c r="D116" s="24"/>
      <c r="E116" s="26" t="str">
        <f>IFERROR(VLOOKUP(D116,'04_Master Karyawan'!$A$5:$F$50,2,FALSE),"")</f>
        <v/>
      </c>
      <c r="F116" s="24"/>
      <c r="G116" s="26" t="str">
        <f>IFERROR(VLOOKUP(F116,'05_Master KPI'!$B$5:$G$100,2,FALSE)&amp;" ("&amp;VLOOKUP(F116,'05_Master KPI'!$B$5:$G$100,3,FALSE)&amp;")","")</f>
        <v/>
      </c>
      <c r="H116" s="26">
        <f>IFERROR(IF(B116&lt;&gt;'06_Target KPI'!$B$3,0,IF(VLOOKUP(F116,'05_Master KPI'!$B$5:$G$100,6,FALSE)="Kumulatif",INDEX('06_Target KPI'!$E$5:$P$100,MATCH(F116,'06_Target KPI'!$B$5:$B$100,0),MATCH(A116,'06_Target KPI'!$E$4:$P$4,0))*DAY(C116)/DAY(EOMONTH(C116,0)),INDEX('06_Target KPI'!$E$5:$P$100,MATCH(F116,'06_Target KPI'!$B$5:$B$100,0),MATCH(A116,'06_Target KPI'!$E$4:$P$4,0)))),0)</f>
        <v>0</v>
      </c>
      <c r="I116" s="24"/>
      <c r="J116" s="27">
        <f>IFERROR(MIN(IF(VLOOKUP(F116,'05_Master KPI'!$B$5:$G$100,5,FALSE)="Lower",H116/I116,I116/H116),1),0)</f>
        <v>0</v>
      </c>
      <c r="K116" s="26">
        <f>IFERROR(VLOOKUP(F116,'05_Master KPI'!$B$5:$G$100,4,FALSE),0)</f>
        <v>0</v>
      </c>
      <c r="L116" s="28">
        <f t="shared" si="1"/>
        <v>0</v>
      </c>
      <c r="M116" s="26" t="str">
        <f>IF(D116="","",IF(J116&gt;='13_Setting'!$H$7,"Tercapai",IF(J116&gt;='13_Setting'!$H$6,"On Track","Tertinggal")))</f>
        <v/>
      </c>
      <c r="N116" s="24"/>
    </row>
    <row r="117" spans="1:14">
      <c r="A117" s="24"/>
      <c r="B117" s="24"/>
      <c r="C117" s="25"/>
      <c r="D117" s="24"/>
      <c r="E117" s="26" t="str">
        <f>IFERROR(VLOOKUP(D117,'04_Master Karyawan'!$A$5:$F$50,2,FALSE),"")</f>
        <v/>
      </c>
      <c r="F117" s="24"/>
      <c r="G117" s="26" t="str">
        <f>IFERROR(VLOOKUP(F117,'05_Master KPI'!$B$5:$G$100,2,FALSE)&amp;" ("&amp;VLOOKUP(F117,'05_Master KPI'!$B$5:$G$100,3,FALSE)&amp;")","")</f>
        <v/>
      </c>
      <c r="H117" s="26">
        <f>IFERROR(IF(B117&lt;&gt;'06_Target KPI'!$B$3,0,IF(VLOOKUP(F117,'05_Master KPI'!$B$5:$G$100,6,FALSE)="Kumulatif",INDEX('06_Target KPI'!$E$5:$P$100,MATCH(F117,'06_Target KPI'!$B$5:$B$100,0),MATCH(A117,'06_Target KPI'!$E$4:$P$4,0))*DAY(C117)/DAY(EOMONTH(C117,0)),INDEX('06_Target KPI'!$E$5:$P$100,MATCH(F117,'06_Target KPI'!$B$5:$B$100,0),MATCH(A117,'06_Target KPI'!$E$4:$P$4,0)))),0)</f>
        <v>0</v>
      </c>
      <c r="I117" s="24"/>
      <c r="J117" s="27">
        <f>IFERROR(MIN(IF(VLOOKUP(F117,'05_Master KPI'!$B$5:$G$100,5,FALSE)="Lower",H117/I117,I117/H117),1),0)</f>
        <v>0</v>
      </c>
      <c r="K117" s="26">
        <f>IFERROR(VLOOKUP(F117,'05_Master KPI'!$B$5:$G$100,4,FALSE),0)</f>
        <v>0</v>
      </c>
      <c r="L117" s="28">
        <f t="shared" si="1"/>
        <v>0</v>
      </c>
      <c r="M117" s="26" t="str">
        <f>IF(D117="","",IF(J117&gt;='13_Setting'!$H$7,"Tercapai",IF(J117&gt;='13_Setting'!$H$6,"On Track","Tertinggal")))</f>
        <v/>
      </c>
      <c r="N117" s="24"/>
    </row>
    <row r="118" spans="1:14">
      <c r="A118" s="24"/>
      <c r="B118" s="24"/>
      <c r="C118" s="25"/>
      <c r="D118" s="24"/>
      <c r="E118" s="26" t="str">
        <f>IFERROR(VLOOKUP(D118,'04_Master Karyawan'!$A$5:$F$50,2,FALSE),"")</f>
        <v/>
      </c>
      <c r="F118" s="24"/>
      <c r="G118" s="26" t="str">
        <f>IFERROR(VLOOKUP(F118,'05_Master KPI'!$B$5:$G$100,2,FALSE)&amp;" ("&amp;VLOOKUP(F118,'05_Master KPI'!$B$5:$G$100,3,FALSE)&amp;")","")</f>
        <v/>
      </c>
      <c r="H118" s="26">
        <f>IFERROR(IF(B118&lt;&gt;'06_Target KPI'!$B$3,0,IF(VLOOKUP(F118,'05_Master KPI'!$B$5:$G$100,6,FALSE)="Kumulatif",INDEX('06_Target KPI'!$E$5:$P$100,MATCH(F118,'06_Target KPI'!$B$5:$B$100,0),MATCH(A118,'06_Target KPI'!$E$4:$P$4,0))*DAY(C118)/DAY(EOMONTH(C118,0)),INDEX('06_Target KPI'!$E$5:$P$100,MATCH(F118,'06_Target KPI'!$B$5:$B$100,0),MATCH(A118,'06_Target KPI'!$E$4:$P$4,0)))),0)</f>
        <v>0</v>
      </c>
      <c r="I118" s="24"/>
      <c r="J118" s="27">
        <f>IFERROR(MIN(IF(VLOOKUP(F118,'05_Master KPI'!$B$5:$G$100,5,FALSE)="Lower",H118/I118,I118/H118),1),0)</f>
        <v>0</v>
      </c>
      <c r="K118" s="26">
        <f>IFERROR(VLOOKUP(F118,'05_Master KPI'!$B$5:$G$100,4,FALSE),0)</f>
        <v>0</v>
      </c>
      <c r="L118" s="28">
        <f t="shared" si="1"/>
        <v>0</v>
      </c>
      <c r="M118" s="26" t="str">
        <f>IF(D118="","",IF(J118&gt;='13_Setting'!$H$7,"Tercapai",IF(J118&gt;='13_Setting'!$H$6,"On Track","Tertinggal")))</f>
        <v/>
      </c>
      <c r="N118" s="24"/>
    </row>
    <row r="119" spans="1:14">
      <c r="A119" s="24"/>
      <c r="B119" s="24"/>
      <c r="C119" s="25"/>
      <c r="D119" s="24"/>
      <c r="E119" s="26" t="str">
        <f>IFERROR(VLOOKUP(D119,'04_Master Karyawan'!$A$5:$F$50,2,FALSE),"")</f>
        <v/>
      </c>
      <c r="F119" s="24"/>
      <c r="G119" s="26" t="str">
        <f>IFERROR(VLOOKUP(F119,'05_Master KPI'!$B$5:$G$100,2,FALSE)&amp;" ("&amp;VLOOKUP(F119,'05_Master KPI'!$B$5:$G$100,3,FALSE)&amp;")","")</f>
        <v/>
      </c>
      <c r="H119" s="26">
        <f>IFERROR(IF(B119&lt;&gt;'06_Target KPI'!$B$3,0,IF(VLOOKUP(F119,'05_Master KPI'!$B$5:$G$100,6,FALSE)="Kumulatif",INDEX('06_Target KPI'!$E$5:$P$100,MATCH(F119,'06_Target KPI'!$B$5:$B$100,0),MATCH(A119,'06_Target KPI'!$E$4:$P$4,0))*DAY(C119)/DAY(EOMONTH(C119,0)),INDEX('06_Target KPI'!$E$5:$P$100,MATCH(F119,'06_Target KPI'!$B$5:$B$100,0),MATCH(A119,'06_Target KPI'!$E$4:$P$4,0)))),0)</f>
        <v>0</v>
      </c>
      <c r="I119" s="24"/>
      <c r="J119" s="27">
        <f>IFERROR(MIN(IF(VLOOKUP(F119,'05_Master KPI'!$B$5:$G$100,5,FALSE)="Lower",H119/I119,I119/H119),1),0)</f>
        <v>0</v>
      </c>
      <c r="K119" s="26">
        <f>IFERROR(VLOOKUP(F119,'05_Master KPI'!$B$5:$G$100,4,FALSE),0)</f>
        <v>0</v>
      </c>
      <c r="L119" s="28">
        <f t="shared" si="1"/>
        <v>0</v>
      </c>
      <c r="M119" s="26" t="str">
        <f>IF(D119="","",IF(J119&gt;='13_Setting'!$H$7,"Tercapai",IF(J119&gt;='13_Setting'!$H$6,"On Track","Tertinggal")))</f>
        <v/>
      </c>
      <c r="N119" s="24"/>
    </row>
    <row r="120" spans="1:14">
      <c r="A120" s="24"/>
      <c r="B120" s="24"/>
      <c r="C120" s="25"/>
      <c r="D120" s="24"/>
      <c r="E120" s="26" t="str">
        <f>IFERROR(VLOOKUP(D120,'04_Master Karyawan'!$A$5:$F$50,2,FALSE),"")</f>
        <v/>
      </c>
      <c r="F120" s="24"/>
      <c r="G120" s="26" t="str">
        <f>IFERROR(VLOOKUP(F120,'05_Master KPI'!$B$5:$G$100,2,FALSE)&amp;" ("&amp;VLOOKUP(F120,'05_Master KPI'!$B$5:$G$100,3,FALSE)&amp;")","")</f>
        <v/>
      </c>
      <c r="H120" s="26">
        <f>IFERROR(IF(B120&lt;&gt;'06_Target KPI'!$B$3,0,IF(VLOOKUP(F120,'05_Master KPI'!$B$5:$G$100,6,FALSE)="Kumulatif",INDEX('06_Target KPI'!$E$5:$P$100,MATCH(F120,'06_Target KPI'!$B$5:$B$100,0),MATCH(A120,'06_Target KPI'!$E$4:$P$4,0))*DAY(C120)/DAY(EOMONTH(C120,0)),INDEX('06_Target KPI'!$E$5:$P$100,MATCH(F120,'06_Target KPI'!$B$5:$B$100,0),MATCH(A120,'06_Target KPI'!$E$4:$P$4,0)))),0)</f>
        <v>0</v>
      </c>
      <c r="I120" s="24"/>
      <c r="J120" s="27">
        <f>IFERROR(MIN(IF(VLOOKUP(F120,'05_Master KPI'!$B$5:$G$100,5,FALSE)="Lower",H120/I120,I120/H120),1),0)</f>
        <v>0</v>
      </c>
      <c r="K120" s="26">
        <f>IFERROR(VLOOKUP(F120,'05_Master KPI'!$B$5:$G$100,4,FALSE),0)</f>
        <v>0</v>
      </c>
      <c r="L120" s="28">
        <f t="shared" si="1"/>
        <v>0</v>
      </c>
      <c r="M120" s="26" t="str">
        <f>IF(D120="","",IF(J120&gt;='13_Setting'!$H$7,"Tercapai",IF(J120&gt;='13_Setting'!$H$6,"On Track","Tertinggal")))</f>
        <v/>
      </c>
      <c r="N120" s="24"/>
    </row>
    <row r="121" spans="1:14">
      <c r="A121" s="24"/>
      <c r="B121" s="24"/>
      <c r="C121" s="25"/>
      <c r="D121" s="24"/>
      <c r="E121" s="26" t="str">
        <f>IFERROR(VLOOKUP(D121,'04_Master Karyawan'!$A$5:$F$50,2,FALSE),"")</f>
        <v/>
      </c>
      <c r="F121" s="24"/>
      <c r="G121" s="26" t="str">
        <f>IFERROR(VLOOKUP(F121,'05_Master KPI'!$B$5:$G$100,2,FALSE)&amp;" ("&amp;VLOOKUP(F121,'05_Master KPI'!$B$5:$G$100,3,FALSE)&amp;")","")</f>
        <v/>
      </c>
      <c r="H121" s="26">
        <f>IFERROR(IF(B121&lt;&gt;'06_Target KPI'!$B$3,0,IF(VLOOKUP(F121,'05_Master KPI'!$B$5:$G$100,6,FALSE)="Kumulatif",INDEX('06_Target KPI'!$E$5:$P$100,MATCH(F121,'06_Target KPI'!$B$5:$B$100,0),MATCH(A121,'06_Target KPI'!$E$4:$P$4,0))*DAY(C121)/DAY(EOMONTH(C121,0)),INDEX('06_Target KPI'!$E$5:$P$100,MATCH(F121,'06_Target KPI'!$B$5:$B$100,0),MATCH(A121,'06_Target KPI'!$E$4:$P$4,0)))),0)</f>
        <v>0</v>
      </c>
      <c r="I121" s="24"/>
      <c r="J121" s="27">
        <f>IFERROR(MIN(IF(VLOOKUP(F121,'05_Master KPI'!$B$5:$G$100,5,FALSE)="Lower",H121/I121,I121/H121),1),0)</f>
        <v>0</v>
      </c>
      <c r="K121" s="26">
        <f>IFERROR(VLOOKUP(F121,'05_Master KPI'!$B$5:$G$100,4,FALSE),0)</f>
        <v>0</v>
      </c>
      <c r="L121" s="28">
        <f t="shared" si="1"/>
        <v>0</v>
      </c>
      <c r="M121" s="26" t="str">
        <f>IF(D121="","",IF(J121&gt;='13_Setting'!$H$7,"Tercapai",IF(J121&gt;='13_Setting'!$H$6,"On Track","Tertinggal")))</f>
        <v/>
      </c>
      <c r="N121" s="24"/>
    </row>
    <row r="122" spans="1:14">
      <c r="A122" s="24"/>
      <c r="B122" s="24"/>
      <c r="C122" s="25"/>
      <c r="D122" s="24"/>
      <c r="E122" s="26" t="str">
        <f>IFERROR(VLOOKUP(D122,'04_Master Karyawan'!$A$5:$F$50,2,FALSE),"")</f>
        <v/>
      </c>
      <c r="F122" s="24"/>
      <c r="G122" s="26" t="str">
        <f>IFERROR(VLOOKUP(F122,'05_Master KPI'!$B$5:$G$100,2,FALSE)&amp;" ("&amp;VLOOKUP(F122,'05_Master KPI'!$B$5:$G$100,3,FALSE)&amp;")","")</f>
        <v/>
      </c>
      <c r="H122" s="26">
        <f>IFERROR(IF(B122&lt;&gt;'06_Target KPI'!$B$3,0,IF(VLOOKUP(F122,'05_Master KPI'!$B$5:$G$100,6,FALSE)="Kumulatif",INDEX('06_Target KPI'!$E$5:$P$100,MATCH(F122,'06_Target KPI'!$B$5:$B$100,0),MATCH(A122,'06_Target KPI'!$E$4:$P$4,0))*DAY(C122)/DAY(EOMONTH(C122,0)),INDEX('06_Target KPI'!$E$5:$P$100,MATCH(F122,'06_Target KPI'!$B$5:$B$100,0),MATCH(A122,'06_Target KPI'!$E$4:$P$4,0)))),0)</f>
        <v>0</v>
      </c>
      <c r="I122" s="24"/>
      <c r="J122" s="27">
        <f>IFERROR(MIN(IF(VLOOKUP(F122,'05_Master KPI'!$B$5:$G$100,5,FALSE)="Lower",H122/I122,I122/H122),1),0)</f>
        <v>0</v>
      </c>
      <c r="K122" s="26">
        <f>IFERROR(VLOOKUP(F122,'05_Master KPI'!$B$5:$G$100,4,FALSE),0)</f>
        <v>0</v>
      </c>
      <c r="L122" s="28">
        <f t="shared" si="1"/>
        <v>0</v>
      </c>
      <c r="M122" s="26" t="str">
        <f>IF(D122="","",IF(J122&gt;='13_Setting'!$H$7,"Tercapai",IF(J122&gt;='13_Setting'!$H$6,"On Track","Tertinggal")))</f>
        <v/>
      </c>
      <c r="N122" s="24"/>
    </row>
    <row r="123" spans="1:14">
      <c r="A123" s="24"/>
      <c r="B123" s="24"/>
      <c r="C123" s="25"/>
      <c r="D123" s="24"/>
      <c r="E123" s="26" t="str">
        <f>IFERROR(VLOOKUP(D123,'04_Master Karyawan'!$A$5:$F$50,2,FALSE),"")</f>
        <v/>
      </c>
      <c r="F123" s="24"/>
      <c r="G123" s="26" t="str">
        <f>IFERROR(VLOOKUP(F123,'05_Master KPI'!$B$5:$G$100,2,FALSE)&amp;" ("&amp;VLOOKUP(F123,'05_Master KPI'!$B$5:$G$100,3,FALSE)&amp;")","")</f>
        <v/>
      </c>
      <c r="H123" s="26">
        <f>IFERROR(IF(B123&lt;&gt;'06_Target KPI'!$B$3,0,IF(VLOOKUP(F123,'05_Master KPI'!$B$5:$G$100,6,FALSE)="Kumulatif",INDEX('06_Target KPI'!$E$5:$P$100,MATCH(F123,'06_Target KPI'!$B$5:$B$100,0),MATCH(A123,'06_Target KPI'!$E$4:$P$4,0))*DAY(C123)/DAY(EOMONTH(C123,0)),INDEX('06_Target KPI'!$E$5:$P$100,MATCH(F123,'06_Target KPI'!$B$5:$B$100,0),MATCH(A123,'06_Target KPI'!$E$4:$P$4,0)))),0)</f>
        <v>0</v>
      </c>
      <c r="I123" s="24"/>
      <c r="J123" s="27">
        <f>IFERROR(MIN(IF(VLOOKUP(F123,'05_Master KPI'!$B$5:$G$100,5,FALSE)="Lower",H123/I123,I123/H123),1),0)</f>
        <v>0</v>
      </c>
      <c r="K123" s="26">
        <f>IFERROR(VLOOKUP(F123,'05_Master KPI'!$B$5:$G$100,4,FALSE),0)</f>
        <v>0</v>
      </c>
      <c r="L123" s="28">
        <f t="shared" si="1"/>
        <v>0</v>
      </c>
      <c r="M123" s="26" t="str">
        <f>IF(D123="","",IF(J123&gt;='13_Setting'!$H$7,"Tercapai",IF(J123&gt;='13_Setting'!$H$6,"On Track","Tertinggal")))</f>
        <v/>
      </c>
      <c r="N123" s="24"/>
    </row>
    <row r="124" spans="1:14">
      <c r="A124" s="24"/>
      <c r="B124" s="24"/>
      <c r="C124" s="25"/>
      <c r="D124" s="24"/>
      <c r="E124" s="26" t="str">
        <f>IFERROR(VLOOKUP(D124,'04_Master Karyawan'!$A$5:$F$50,2,FALSE),"")</f>
        <v/>
      </c>
      <c r="F124" s="24"/>
      <c r="G124" s="26" t="str">
        <f>IFERROR(VLOOKUP(F124,'05_Master KPI'!$B$5:$G$100,2,FALSE)&amp;" ("&amp;VLOOKUP(F124,'05_Master KPI'!$B$5:$G$100,3,FALSE)&amp;")","")</f>
        <v/>
      </c>
      <c r="H124" s="26">
        <f>IFERROR(IF(B124&lt;&gt;'06_Target KPI'!$B$3,0,IF(VLOOKUP(F124,'05_Master KPI'!$B$5:$G$100,6,FALSE)="Kumulatif",INDEX('06_Target KPI'!$E$5:$P$100,MATCH(F124,'06_Target KPI'!$B$5:$B$100,0),MATCH(A124,'06_Target KPI'!$E$4:$P$4,0))*DAY(C124)/DAY(EOMONTH(C124,0)),INDEX('06_Target KPI'!$E$5:$P$100,MATCH(F124,'06_Target KPI'!$B$5:$B$100,0),MATCH(A124,'06_Target KPI'!$E$4:$P$4,0)))),0)</f>
        <v>0</v>
      </c>
      <c r="I124" s="24"/>
      <c r="J124" s="27">
        <f>IFERROR(MIN(IF(VLOOKUP(F124,'05_Master KPI'!$B$5:$G$100,5,FALSE)="Lower",H124/I124,I124/H124),1),0)</f>
        <v>0</v>
      </c>
      <c r="K124" s="26">
        <f>IFERROR(VLOOKUP(F124,'05_Master KPI'!$B$5:$G$100,4,FALSE),0)</f>
        <v>0</v>
      </c>
      <c r="L124" s="28">
        <f t="shared" si="1"/>
        <v>0</v>
      </c>
      <c r="M124" s="26" t="str">
        <f>IF(D124="","",IF(J124&gt;='13_Setting'!$H$7,"Tercapai",IF(J124&gt;='13_Setting'!$H$6,"On Track","Tertinggal")))</f>
        <v/>
      </c>
      <c r="N124" s="24"/>
    </row>
    <row r="125" spans="1:14">
      <c r="A125" s="24"/>
      <c r="B125" s="24"/>
      <c r="C125" s="25"/>
      <c r="D125" s="24"/>
      <c r="E125" s="26" t="str">
        <f>IFERROR(VLOOKUP(D125,'04_Master Karyawan'!$A$5:$F$50,2,FALSE),"")</f>
        <v/>
      </c>
      <c r="F125" s="24"/>
      <c r="G125" s="26" t="str">
        <f>IFERROR(VLOOKUP(F125,'05_Master KPI'!$B$5:$G$100,2,FALSE)&amp;" ("&amp;VLOOKUP(F125,'05_Master KPI'!$B$5:$G$100,3,FALSE)&amp;")","")</f>
        <v/>
      </c>
      <c r="H125" s="26">
        <f>IFERROR(IF(B125&lt;&gt;'06_Target KPI'!$B$3,0,IF(VLOOKUP(F125,'05_Master KPI'!$B$5:$G$100,6,FALSE)="Kumulatif",INDEX('06_Target KPI'!$E$5:$P$100,MATCH(F125,'06_Target KPI'!$B$5:$B$100,0),MATCH(A125,'06_Target KPI'!$E$4:$P$4,0))*DAY(C125)/DAY(EOMONTH(C125,0)),INDEX('06_Target KPI'!$E$5:$P$100,MATCH(F125,'06_Target KPI'!$B$5:$B$100,0),MATCH(A125,'06_Target KPI'!$E$4:$P$4,0)))),0)</f>
        <v>0</v>
      </c>
      <c r="I125" s="24"/>
      <c r="J125" s="27">
        <f>IFERROR(MIN(IF(VLOOKUP(F125,'05_Master KPI'!$B$5:$G$100,5,FALSE)="Lower",H125/I125,I125/H125),1),0)</f>
        <v>0</v>
      </c>
      <c r="K125" s="26">
        <f>IFERROR(VLOOKUP(F125,'05_Master KPI'!$B$5:$G$100,4,FALSE),0)</f>
        <v>0</v>
      </c>
      <c r="L125" s="28">
        <f t="shared" si="1"/>
        <v>0</v>
      </c>
      <c r="M125" s="26" t="str">
        <f>IF(D125="","",IF(J125&gt;='13_Setting'!$H$7,"Tercapai",IF(J125&gt;='13_Setting'!$H$6,"On Track","Tertinggal")))</f>
        <v/>
      </c>
      <c r="N125" s="24"/>
    </row>
    <row r="126" spans="1:14">
      <c r="A126" s="24"/>
      <c r="B126" s="24"/>
      <c r="C126" s="25"/>
      <c r="D126" s="24"/>
      <c r="E126" s="26" t="str">
        <f>IFERROR(VLOOKUP(D126,'04_Master Karyawan'!$A$5:$F$50,2,FALSE),"")</f>
        <v/>
      </c>
      <c r="F126" s="24"/>
      <c r="G126" s="26" t="str">
        <f>IFERROR(VLOOKUP(F126,'05_Master KPI'!$B$5:$G$100,2,FALSE)&amp;" ("&amp;VLOOKUP(F126,'05_Master KPI'!$B$5:$G$100,3,FALSE)&amp;")","")</f>
        <v/>
      </c>
      <c r="H126" s="26">
        <f>IFERROR(IF(B126&lt;&gt;'06_Target KPI'!$B$3,0,IF(VLOOKUP(F126,'05_Master KPI'!$B$5:$G$100,6,FALSE)="Kumulatif",INDEX('06_Target KPI'!$E$5:$P$100,MATCH(F126,'06_Target KPI'!$B$5:$B$100,0),MATCH(A126,'06_Target KPI'!$E$4:$P$4,0))*DAY(C126)/DAY(EOMONTH(C126,0)),INDEX('06_Target KPI'!$E$5:$P$100,MATCH(F126,'06_Target KPI'!$B$5:$B$100,0),MATCH(A126,'06_Target KPI'!$E$4:$P$4,0)))),0)</f>
        <v>0</v>
      </c>
      <c r="I126" s="24"/>
      <c r="J126" s="27">
        <f>IFERROR(MIN(IF(VLOOKUP(F126,'05_Master KPI'!$B$5:$G$100,5,FALSE)="Lower",H126/I126,I126/H126),1),0)</f>
        <v>0</v>
      </c>
      <c r="K126" s="26">
        <f>IFERROR(VLOOKUP(F126,'05_Master KPI'!$B$5:$G$100,4,FALSE),0)</f>
        <v>0</v>
      </c>
      <c r="L126" s="28">
        <f t="shared" si="1"/>
        <v>0</v>
      </c>
      <c r="M126" s="26" t="str">
        <f>IF(D126="","",IF(J126&gt;='13_Setting'!$H$7,"Tercapai",IF(J126&gt;='13_Setting'!$H$6,"On Track","Tertinggal")))</f>
        <v/>
      </c>
      <c r="N126" s="24"/>
    </row>
    <row r="127" spans="1:14">
      <c r="A127" s="24"/>
      <c r="B127" s="24"/>
      <c r="C127" s="25"/>
      <c r="D127" s="24"/>
      <c r="E127" s="26" t="str">
        <f>IFERROR(VLOOKUP(D127,'04_Master Karyawan'!$A$5:$F$50,2,FALSE),"")</f>
        <v/>
      </c>
      <c r="F127" s="24"/>
      <c r="G127" s="26" t="str">
        <f>IFERROR(VLOOKUP(F127,'05_Master KPI'!$B$5:$G$100,2,FALSE)&amp;" ("&amp;VLOOKUP(F127,'05_Master KPI'!$B$5:$G$100,3,FALSE)&amp;")","")</f>
        <v/>
      </c>
      <c r="H127" s="26">
        <f>IFERROR(IF(B127&lt;&gt;'06_Target KPI'!$B$3,0,IF(VLOOKUP(F127,'05_Master KPI'!$B$5:$G$100,6,FALSE)="Kumulatif",INDEX('06_Target KPI'!$E$5:$P$100,MATCH(F127,'06_Target KPI'!$B$5:$B$100,0),MATCH(A127,'06_Target KPI'!$E$4:$P$4,0))*DAY(C127)/DAY(EOMONTH(C127,0)),INDEX('06_Target KPI'!$E$5:$P$100,MATCH(F127,'06_Target KPI'!$B$5:$B$100,0),MATCH(A127,'06_Target KPI'!$E$4:$P$4,0)))),0)</f>
        <v>0</v>
      </c>
      <c r="I127" s="24"/>
      <c r="J127" s="27">
        <f>IFERROR(MIN(IF(VLOOKUP(F127,'05_Master KPI'!$B$5:$G$100,5,FALSE)="Lower",H127/I127,I127/H127),1),0)</f>
        <v>0</v>
      </c>
      <c r="K127" s="26">
        <f>IFERROR(VLOOKUP(F127,'05_Master KPI'!$B$5:$G$100,4,FALSE),0)</f>
        <v>0</v>
      </c>
      <c r="L127" s="28">
        <f t="shared" si="1"/>
        <v>0</v>
      </c>
      <c r="M127" s="26" t="str">
        <f>IF(D127="","",IF(J127&gt;='13_Setting'!$H$7,"Tercapai",IF(J127&gt;='13_Setting'!$H$6,"On Track","Tertinggal")))</f>
        <v/>
      </c>
      <c r="N127" s="24"/>
    </row>
    <row r="128" spans="1:14">
      <c r="A128" s="24"/>
      <c r="B128" s="24"/>
      <c r="C128" s="25"/>
      <c r="D128" s="24"/>
      <c r="E128" s="26" t="str">
        <f>IFERROR(VLOOKUP(D128,'04_Master Karyawan'!$A$5:$F$50,2,FALSE),"")</f>
        <v/>
      </c>
      <c r="F128" s="24"/>
      <c r="G128" s="26" t="str">
        <f>IFERROR(VLOOKUP(F128,'05_Master KPI'!$B$5:$G$100,2,FALSE)&amp;" ("&amp;VLOOKUP(F128,'05_Master KPI'!$B$5:$G$100,3,FALSE)&amp;")","")</f>
        <v/>
      </c>
      <c r="H128" s="26">
        <f>IFERROR(IF(B128&lt;&gt;'06_Target KPI'!$B$3,0,IF(VLOOKUP(F128,'05_Master KPI'!$B$5:$G$100,6,FALSE)="Kumulatif",INDEX('06_Target KPI'!$E$5:$P$100,MATCH(F128,'06_Target KPI'!$B$5:$B$100,0),MATCH(A128,'06_Target KPI'!$E$4:$P$4,0))*DAY(C128)/DAY(EOMONTH(C128,0)),INDEX('06_Target KPI'!$E$5:$P$100,MATCH(F128,'06_Target KPI'!$B$5:$B$100,0),MATCH(A128,'06_Target KPI'!$E$4:$P$4,0)))),0)</f>
        <v>0</v>
      </c>
      <c r="I128" s="24"/>
      <c r="J128" s="27">
        <f>IFERROR(MIN(IF(VLOOKUP(F128,'05_Master KPI'!$B$5:$G$100,5,FALSE)="Lower",H128/I128,I128/H128),1),0)</f>
        <v>0</v>
      </c>
      <c r="K128" s="26">
        <f>IFERROR(VLOOKUP(F128,'05_Master KPI'!$B$5:$G$100,4,FALSE),0)</f>
        <v>0</v>
      </c>
      <c r="L128" s="28">
        <f t="shared" si="1"/>
        <v>0</v>
      </c>
      <c r="M128" s="26" t="str">
        <f>IF(D128="","",IF(J128&gt;='13_Setting'!$H$7,"Tercapai",IF(J128&gt;='13_Setting'!$H$6,"On Track","Tertinggal")))</f>
        <v/>
      </c>
      <c r="N128" s="24"/>
    </row>
    <row r="129" spans="1:14">
      <c r="A129" s="24"/>
      <c r="B129" s="24"/>
      <c r="C129" s="25"/>
      <c r="D129" s="24"/>
      <c r="E129" s="26" t="str">
        <f>IFERROR(VLOOKUP(D129,'04_Master Karyawan'!$A$5:$F$50,2,FALSE),"")</f>
        <v/>
      </c>
      <c r="F129" s="24"/>
      <c r="G129" s="26" t="str">
        <f>IFERROR(VLOOKUP(F129,'05_Master KPI'!$B$5:$G$100,2,FALSE)&amp;" ("&amp;VLOOKUP(F129,'05_Master KPI'!$B$5:$G$100,3,FALSE)&amp;")","")</f>
        <v/>
      </c>
      <c r="H129" s="26">
        <f>IFERROR(IF(B129&lt;&gt;'06_Target KPI'!$B$3,0,IF(VLOOKUP(F129,'05_Master KPI'!$B$5:$G$100,6,FALSE)="Kumulatif",INDEX('06_Target KPI'!$E$5:$P$100,MATCH(F129,'06_Target KPI'!$B$5:$B$100,0),MATCH(A129,'06_Target KPI'!$E$4:$P$4,0))*DAY(C129)/DAY(EOMONTH(C129,0)),INDEX('06_Target KPI'!$E$5:$P$100,MATCH(F129,'06_Target KPI'!$B$5:$B$100,0),MATCH(A129,'06_Target KPI'!$E$4:$P$4,0)))),0)</f>
        <v>0</v>
      </c>
      <c r="I129" s="24"/>
      <c r="J129" s="27">
        <f>IFERROR(MIN(IF(VLOOKUP(F129,'05_Master KPI'!$B$5:$G$100,5,FALSE)="Lower",H129/I129,I129/H129),1),0)</f>
        <v>0</v>
      </c>
      <c r="K129" s="26">
        <f>IFERROR(VLOOKUP(F129,'05_Master KPI'!$B$5:$G$100,4,FALSE),0)</f>
        <v>0</v>
      </c>
      <c r="L129" s="28">
        <f t="shared" si="1"/>
        <v>0</v>
      </c>
      <c r="M129" s="26" t="str">
        <f>IF(D129="","",IF(J129&gt;='13_Setting'!$H$7,"Tercapai",IF(J129&gt;='13_Setting'!$H$6,"On Track","Tertinggal")))</f>
        <v/>
      </c>
      <c r="N129" s="24"/>
    </row>
    <row r="130" spans="1:14">
      <c r="A130" s="24"/>
      <c r="B130" s="24"/>
      <c r="C130" s="25"/>
      <c r="D130" s="24"/>
      <c r="E130" s="26" t="str">
        <f>IFERROR(VLOOKUP(D130,'04_Master Karyawan'!$A$5:$F$50,2,FALSE),"")</f>
        <v/>
      </c>
      <c r="F130" s="24"/>
      <c r="G130" s="26" t="str">
        <f>IFERROR(VLOOKUP(F130,'05_Master KPI'!$B$5:$G$100,2,FALSE)&amp;" ("&amp;VLOOKUP(F130,'05_Master KPI'!$B$5:$G$100,3,FALSE)&amp;")","")</f>
        <v/>
      </c>
      <c r="H130" s="26">
        <f>IFERROR(IF(B130&lt;&gt;'06_Target KPI'!$B$3,0,IF(VLOOKUP(F130,'05_Master KPI'!$B$5:$G$100,6,FALSE)="Kumulatif",INDEX('06_Target KPI'!$E$5:$P$100,MATCH(F130,'06_Target KPI'!$B$5:$B$100,0),MATCH(A130,'06_Target KPI'!$E$4:$P$4,0))*DAY(C130)/DAY(EOMONTH(C130,0)),INDEX('06_Target KPI'!$E$5:$P$100,MATCH(F130,'06_Target KPI'!$B$5:$B$100,0),MATCH(A130,'06_Target KPI'!$E$4:$P$4,0)))),0)</f>
        <v>0</v>
      </c>
      <c r="I130" s="24"/>
      <c r="J130" s="27">
        <f>IFERROR(MIN(IF(VLOOKUP(F130,'05_Master KPI'!$B$5:$G$100,5,FALSE)="Lower",H130/I130,I130/H130),1),0)</f>
        <v>0</v>
      </c>
      <c r="K130" s="26">
        <f>IFERROR(VLOOKUP(F130,'05_Master KPI'!$B$5:$G$100,4,FALSE),0)</f>
        <v>0</v>
      </c>
      <c r="L130" s="28">
        <f t="shared" si="1"/>
        <v>0</v>
      </c>
      <c r="M130" s="26" t="str">
        <f>IF(D130="","",IF(J130&gt;='13_Setting'!$H$7,"Tercapai",IF(J130&gt;='13_Setting'!$H$6,"On Track","Tertinggal")))</f>
        <v/>
      </c>
      <c r="N130" s="24"/>
    </row>
    <row r="131" spans="1:14">
      <c r="A131" s="24"/>
      <c r="B131" s="24"/>
      <c r="C131" s="25"/>
      <c r="D131" s="24"/>
      <c r="E131" s="26" t="str">
        <f>IFERROR(VLOOKUP(D131,'04_Master Karyawan'!$A$5:$F$50,2,FALSE),"")</f>
        <v/>
      </c>
      <c r="F131" s="24"/>
      <c r="G131" s="26" t="str">
        <f>IFERROR(VLOOKUP(F131,'05_Master KPI'!$B$5:$G$100,2,FALSE)&amp;" ("&amp;VLOOKUP(F131,'05_Master KPI'!$B$5:$G$100,3,FALSE)&amp;")","")</f>
        <v/>
      </c>
      <c r="H131" s="26">
        <f>IFERROR(IF(B131&lt;&gt;'06_Target KPI'!$B$3,0,IF(VLOOKUP(F131,'05_Master KPI'!$B$5:$G$100,6,FALSE)="Kumulatif",INDEX('06_Target KPI'!$E$5:$P$100,MATCH(F131,'06_Target KPI'!$B$5:$B$100,0),MATCH(A131,'06_Target KPI'!$E$4:$P$4,0))*DAY(C131)/DAY(EOMONTH(C131,0)),INDEX('06_Target KPI'!$E$5:$P$100,MATCH(F131,'06_Target KPI'!$B$5:$B$100,0),MATCH(A131,'06_Target KPI'!$E$4:$P$4,0)))),0)</f>
        <v>0</v>
      </c>
      <c r="I131" s="24"/>
      <c r="J131" s="27">
        <f>IFERROR(MIN(IF(VLOOKUP(F131,'05_Master KPI'!$B$5:$G$100,5,FALSE)="Lower",H131/I131,I131/H131),1),0)</f>
        <v>0</v>
      </c>
      <c r="K131" s="26">
        <f>IFERROR(VLOOKUP(F131,'05_Master KPI'!$B$5:$G$100,4,FALSE),0)</f>
        <v>0</v>
      </c>
      <c r="L131" s="28">
        <f t="shared" si="1"/>
        <v>0</v>
      </c>
      <c r="M131" s="26" t="str">
        <f>IF(D131="","",IF(J131&gt;='13_Setting'!$H$7,"Tercapai",IF(J131&gt;='13_Setting'!$H$6,"On Track","Tertinggal")))</f>
        <v/>
      </c>
      <c r="N131" s="24"/>
    </row>
    <row r="132" spans="1:14">
      <c r="A132" s="24"/>
      <c r="B132" s="24"/>
      <c r="C132" s="25"/>
      <c r="D132" s="24"/>
      <c r="E132" s="26" t="str">
        <f>IFERROR(VLOOKUP(D132,'04_Master Karyawan'!$A$5:$F$50,2,FALSE),"")</f>
        <v/>
      </c>
      <c r="F132" s="24"/>
      <c r="G132" s="26" t="str">
        <f>IFERROR(VLOOKUP(F132,'05_Master KPI'!$B$5:$G$100,2,FALSE)&amp;" ("&amp;VLOOKUP(F132,'05_Master KPI'!$B$5:$G$100,3,FALSE)&amp;")","")</f>
        <v/>
      </c>
      <c r="H132" s="26">
        <f>IFERROR(IF(B132&lt;&gt;'06_Target KPI'!$B$3,0,IF(VLOOKUP(F132,'05_Master KPI'!$B$5:$G$100,6,FALSE)="Kumulatif",INDEX('06_Target KPI'!$E$5:$P$100,MATCH(F132,'06_Target KPI'!$B$5:$B$100,0),MATCH(A132,'06_Target KPI'!$E$4:$P$4,0))*DAY(C132)/DAY(EOMONTH(C132,0)),INDEX('06_Target KPI'!$E$5:$P$100,MATCH(F132,'06_Target KPI'!$B$5:$B$100,0),MATCH(A132,'06_Target KPI'!$E$4:$P$4,0)))),0)</f>
        <v>0</v>
      </c>
      <c r="I132" s="24"/>
      <c r="J132" s="27">
        <f>IFERROR(MIN(IF(VLOOKUP(F132,'05_Master KPI'!$B$5:$G$100,5,FALSE)="Lower",H132/I132,I132/H132),1),0)</f>
        <v>0</v>
      </c>
      <c r="K132" s="26">
        <f>IFERROR(VLOOKUP(F132,'05_Master KPI'!$B$5:$G$100,4,FALSE),0)</f>
        <v>0</v>
      </c>
      <c r="L132" s="28">
        <f t="shared" si="1"/>
        <v>0</v>
      </c>
      <c r="M132" s="26" t="str">
        <f>IF(D132="","",IF(J132&gt;='13_Setting'!$H$7,"Tercapai",IF(J132&gt;='13_Setting'!$H$6,"On Track","Tertinggal")))</f>
        <v/>
      </c>
      <c r="N132" s="24"/>
    </row>
    <row r="133" spans="1:14">
      <c r="A133" s="24"/>
      <c r="B133" s="24"/>
      <c r="C133" s="25"/>
      <c r="D133" s="24"/>
      <c r="E133" s="26" t="str">
        <f>IFERROR(VLOOKUP(D133,'04_Master Karyawan'!$A$5:$F$50,2,FALSE),"")</f>
        <v/>
      </c>
      <c r="F133" s="24"/>
      <c r="G133" s="26" t="str">
        <f>IFERROR(VLOOKUP(F133,'05_Master KPI'!$B$5:$G$100,2,FALSE)&amp;" ("&amp;VLOOKUP(F133,'05_Master KPI'!$B$5:$G$100,3,FALSE)&amp;")","")</f>
        <v/>
      </c>
      <c r="H133" s="26">
        <f>IFERROR(IF(B133&lt;&gt;'06_Target KPI'!$B$3,0,IF(VLOOKUP(F133,'05_Master KPI'!$B$5:$G$100,6,FALSE)="Kumulatif",INDEX('06_Target KPI'!$E$5:$P$100,MATCH(F133,'06_Target KPI'!$B$5:$B$100,0),MATCH(A133,'06_Target KPI'!$E$4:$P$4,0))*DAY(C133)/DAY(EOMONTH(C133,0)),INDEX('06_Target KPI'!$E$5:$P$100,MATCH(F133,'06_Target KPI'!$B$5:$B$100,0),MATCH(A133,'06_Target KPI'!$E$4:$P$4,0)))),0)</f>
        <v>0</v>
      </c>
      <c r="I133" s="24"/>
      <c r="J133" s="27">
        <f>IFERROR(MIN(IF(VLOOKUP(F133,'05_Master KPI'!$B$5:$G$100,5,FALSE)="Lower",H133/I133,I133/H133),1),0)</f>
        <v>0</v>
      </c>
      <c r="K133" s="26">
        <f>IFERROR(VLOOKUP(F133,'05_Master KPI'!$B$5:$G$100,4,FALSE),0)</f>
        <v>0</v>
      </c>
      <c r="L133" s="28">
        <f t="shared" ref="L133:L196" si="2">J133*K133</f>
        <v>0</v>
      </c>
      <c r="M133" s="26" t="str">
        <f>IF(D133="","",IF(J133&gt;='13_Setting'!$H$7,"Tercapai",IF(J133&gt;='13_Setting'!$H$6,"On Track","Tertinggal")))</f>
        <v/>
      </c>
      <c r="N133" s="24"/>
    </row>
    <row r="134" spans="1:14">
      <c r="A134" s="24"/>
      <c r="B134" s="24"/>
      <c r="C134" s="25"/>
      <c r="D134" s="24"/>
      <c r="E134" s="26" t="str">
        <f>IFERROR(VLOOKUP(D134,'04_Master Karyawan'!$A$5:$F$50,2,FALSE),"")</f>
        <v/>
      </c>
      <c r="F134" s="24"/>
      <c r="G134" s="26" t="str">
        <f>IFERROR(VLOOKUP(F134,'05_Master KPI'!$B$5:$G$100,2,FALSE)&amp;" ("&amp;VLOOKUP(F134,'05_Master KPI'!$B$5:$G$100,3,FALSE)&amp;")","")</f>
        <v/>
      </c>
      <c r="H134" s="26">
        <f>IFERROR(IF(B134&lt;&gt;'06_Target KPI'!$B$3,0,IF(VLOOKUP(F134,'05_Master KPI'!$B$5:$G$100,6,FALSE)="Kumulatif",INDEX('06_Target KPI'!$E$5:$P$100,MATCH(F134,'06_Target KPI'!$B$5:$B$100,0),MATCH(A134,'06_Target KPI'!$E$4:$P$4,0))*DAY(C134)/DAY(EOMONTH(C134,0)),INDEX('06_Target KPI'!$E$5:$P$100,MATCH(F134,'06_Target KPI'!$B$5:$B$100,0),MATCH(A134,'06_Target KPI'!$E$4:$P$4,0)))),0)</f>
        <v>0</v>
      </c>
      <c r="I134" s="24"/>
      <c r="J134" s="27">
        <f>IFERROR(MIN(IF(VLOOKUP(F134,'05_Master KPI'!$B$5:$G$100,5,FALSE)="Lower",H134/I134,I134/H134),1),0)</f>
        <v>0</v>
      </c>
      <c r="K134" s="26">
        <f>IFERROR(VLOOKUP(F134,'05_Master KPI'!$B$5:$G$100,4,FALSE),0)</f>
        <v>0</v>
      </c>
      <c r="L134" s="28">
        <f t="shared" si="2"/>
        <v>0</v>
      </c>
      <c r="M134" s="26" t="str">
        <f>IF(D134="","",IF(J134&gt;='13_Setting'!$H$7,"Tercapai",IF(J134&gt;='13_Setting'!$H$6,"On Track","Tertinggal")))</f>
        <v/>
      </c>
      <c r="N134" s="24"/>
    </row>
    <row r="135" spans="1:14">
      <c r="A135" s="24"/>
      <c r="B135" s="24"/>
      <c r="C135" s="25"/>
      <c r="D135" s="24"/>
      <c r="E135" s="26" t="str">
        <f>IFERROR(VLOOKUP(D135,'04_Master Karyawan'!$A$5:$F$50,2,FALSE),"")</f>
        <v/>
      </c>
      <c r="F135" s="24"/>
      <c r="G135" s="26" t="str">
        <f>IFERROR(VLOOKUP(F135,'05_Master KPI'!$B$5:$G$100,2,FALSE)&amp;" ("&amp;VLOOKUP(F135,'05_Master KPI'!$B$5:$G$100,3,FALSE)&amp;")","")</f>
        <v/>
      </c>
      <c r="H135" s="26">
        <f>IFERROR(IF(B135&lt;&gt;'06_Target KPI'!$B$3,0,IF(VLOOKUP(F135,'05_Master KPI'!$B$5:$G$100,6,FALSE)="Kumulatif",INDEX('06_Target KPI'!$E$5:$P$100,MATCH(F135,'06_Target KPI'!$B$5:$B$100,0),MATCH(A135,'06_Target KPI'!$E$4:$P$4,0))*DAY(C135)/DAY(EOMONTH(C135,0)),INDEX('06_Target KPI'!$E$5:$P$100,MATCH(F135,'06_Target KPI'!$B$5:$B$100,0),MATCH(A135,'06_Target KPI'!$E$4:$P$4,0)))),0)</f>
        <v>0</v>
      </c>
      <c r="I135" s="24"/>
      <c r="J135" s="27">
        <f>IFERROR(MIN(IF(VLOOKUP(F135,'05_Master KPI'!$B$5:$G$100,5,FALSE)="Lower",H135/I135,I135/H135),1),0)</f>
        <v>0</v>
      </c>
      <c r="K135" s="26">
        <f>IFERROR(VLOOKUP(F135,'05_Master KPI'!$B$5:$G$100,4,FALSE),0)</f>
        <v>0</v>
      </c>
      <c r="L135" s="28">
        <f t="shared" si="2"/>
        <v>0</v>
      </c>
      <c r="M135" s="26" t="str">
        <f>IF(D135="","",IF(J135&gt;='13_Setting'!$H$7,"Tercapai",IF(J135&gt;='13_Setting'!$H$6,"On Track","Tertinggal")))</f>
        <v/>
      </c>
      <c r="N135" s="24"/>
    </row>
    <row r="136" spans="1:14">
      <c r="A136" s="24"/>
      <c r="B136" s="24"/>
      <c r="C136" s="25"/>
      <c r="D136" s="24"/>
      <c r="E136" s="26" t="str">
        <f>IFERROR(VLOOKUP(D136,'04_Master Karyawan'!$A$5:$F$50,2,FALSE),"")</f>
        <v/>
      </c>
      <c r="F136" s="24"/>
      <c r="G136" s="26" t="str">
        <f>IFERROR(VLOOKUP(F136,'05_Master KPI'!$B$5:$G$100,2,FALSE)&amp;" ("&amp;VLOOKUP(F136,'05_Master KPI'!$B$5:$G$100,3,FALSE)&amp;")","")</f>
        <v/>
      </c>
      <c r="H136" s="26">
        <f>IFERROR(IF(B136&lt;&gt;'06_Target KPI'!$B$3,0,IF(VLOOKUP(F136,'05_Master KPI'!$B$5:$G$100,6,FALSE)="Kumulatif",INDEX('06_Target KPI'!$E$5:$P$100,MATCH(F136,'06_Target KPI'!$B$5:$B$100,0),MATCH(A136,'06_Target KPI'!$E$4:$P$4,0))*DAY(C136)/DAY(EOMONTH(C136,0)),INDEX('06_Target KPI'!$E$5:$P$100,MATCH(F136,'06_Target KPI'!$B$5:$B$100,0),MATCH(A136,'06_Target KPI'!$E$4:$P$4,0)))),0)</f>
        <v>0</v>
      </c>
      <c r="I136" s="24"/>
      <c r="J136" s="27">
        <f>IFERROR(MIN(IF(VLOOKUP(F136,'05_Master KPI'!$B$5:$G$100,5,FALSE)="Lower",H136/I136,I136/H136),1),0)</f>
        <v>0</v>
      </c>
      <c r="K136" s="26">
        <f>IFERROR(VLOOKUP(F136,'05_Master KPI'!$B$5:$G$100,4,FALSE),0)</f>
        <v>0</v>
      </c>
      <c r="L136" s="28">
        <f t="shared" si="2"/>
        <v>0</v>
      </c>
      <c r="M136" s="26" t="str">
        <f>IF(D136="","",IF(J136&gt;='13_Setting'!$H$7,"Tercapai",IF(J136&gt;='13_Setting'!$H$6,"On Track","Tertinggal")))</f>
        <v/>
      </c>
      <c r="N136" s="24"/>
    </row>
    <row r="137" spans="1:14">
      <c r="A137" s="24"/>
      <c r="B137" s="24"/>
      <c r="C137" s="25"/>
      <c r="D137" s="24"/>
      <c r="E137" s="26" t="str">
        <f>IFERROR(VLOOKUP(D137,'04_Master Karyawan'!$A$5:$F$50,2,FALSE),"")</f>
        <v/>
      </c>
      <c r="F137" s="24"/>
      <c r="G137" s="26" t="str">
        <f>IFERROR(VLOOKUP(F137,'05_Master KPI'!$B$5:$G$100,2,FALSE)&amp;" ("&amp;VLOOKUP(F137,'05_Master KPI'!$B$5:$G$100,3,FALSE)&amp;")","")</f>
        <v/>
      </c>
      <c r="H137" s="26">
        <f>IFERROR(IF(B137&lt;&gt;'06_Target KPI'!$B$3,0,IF(VLOOKUP(F137,'05_Master KPI'!$B$5:$G$100,6,FALSE)="Kumulatif",INDEX('06_Target KPI'!$E$5:$P$100,MATCH(F137,'06_Target KPI'!$B$5:$B$100,0),MATCH(A137,'06_Target KPI'!$E$4:$P$4,0))*DAY(C137)/DAY(EOMONTH(C137,0)),INDEX('06_Target KPI'!$E$5:$P$100,MATCH(F137,'06_Target KPI'!$B$5:$B$100,0),MATCH(A137,'06_Target KPI'!$E$4:$P$4,0)))),0)</f>
        <v>0</v>
      </c>
      <c r="I137" s="24"/>
      <c r="J137" s="27">
        <f>IFERROR(MIN(IF(VLOOKUP(F137,'05_Master KPI'!$B$5:$G$100,5,FALSE)="Lower",H137/I137,I137/H137),1),0)</f>
        <v>0</v>
      </c>
      <c r="K137" s="26">
        <f>IFERROR(VLOOKUP(F137,'05_Master KPI'!$B$5:$G$100,4,FALSE),0)</f>
        <v>0</v>
      </c>
      <c r="L137" s="28">
        <f t="shared" si="2"/>
        <v>0</v>
      </c>
      <c r="M137" s="26" t="str">
        <f>IF(D137="","",IF(J137&gt;='13_Setting'!$H$7,"Tercapai",IF(J137&gt;='13_Setting'!$H$6,"On Track","Tertinggal")))</f>
        <v/>
      </c>
      <c r="N137" s="24"/>
    </row>
    <row r="138" spans="1:14">
      <c r="A138" s="24"/>
      <c r="B138" s="24"/>
      <c r="C138" s="25"/>
      <c r="D138" s="24"/>
      <c r="E138" s="26" t="str">
        <f>IFERROR(VLOOKUP(D138,'04_Master Karyawan'!$A$5:$F$50,2,FALSE),"")</f>
        <v/>
      </c>
      <c r="F138" s="24"/>
      <c r="G138" s="26" t="str">
        <f>IFERROR(VLOOKUP(F138,'05_Master KPI'!$B$5:$G$100,2,FALSE)&amp;" ("&amp;VLOOKUP(F138,'05_Master KPI'!$B$5:$G$100,3,FALSE)&amp;")","")</f>
        <v/>
      </c>
      <c r="H138" s="26">
        <f>IFERROR(IF(B138&lt;&gt;'06_Target KPI'!$B$3,0,IF(VLOOKUP(F138,'05_Master KPI'!$B$5:$G$100,6,FALSE)="Kumulatif",INDEX('06_Target KPI'!$E$5:$P$100,MATCH(F138,'06_Target KPI'!$B$5:$B$100,0),MATCH(A138,'06_Target KPI'!$E$4:$P$4,0))*DAY(C138)/DAY(EOMONTH(C138,0)),INDEX('06_Target KPI'!$E$5:$P$100,MATCH(F138,'06_Target KPI'!$B$5:$B$100,0),MATCH(A138,'06_Target KPI'!$E$4:$P$4,0)))),0)</f>
        <v>0</v>
      </c>
      <c r="I138" s="24"/>
      <c r="J138" s="27">
        <f>IFERROR(MIN(IF(VLOOKUP(F138,'05_Master KPI'!$B$5:$G$100,5,FALSE)="Lower",H138/I138,I138/H138),1),0)</f>
        <v>0</v>
      </c>
      <c r="K138" s="26">
        <f>IFERROR(VLOOKUP(F138,'05_Master KPI'!$B$5:$G$100,4,FALSE),0)</f>
        <v>0</v>
      </c>
      <c r="L138" s="28">
        <f t="shared" si="2"/>
        <v>0</v>
      </c>
      <c r="M138" s="26" t="str">
        <f>IF(D138="","",IF(J138&gt;='13_Setting'!$H$7,"Tercapai",IF(J138&gt;='13_Setting'!$H$6,"On Track","Tertinggal")))</f>
        <v/>
      </c>
      <c r="N138" s="24"/>
    </row>
    <row r="139" spans="1:14">
      <c r="A139" s="24"/>
      <c r="B139" s="24"/>
      <c r="C139" s="25"/>
      <c r="D139" s="24"/>
      <c r="E139" s="26" t="str">
        <f>IFERROR(VLOOKUP(D139,'04_Master Karyawan'!$A$5:$F$50,2,FALSE),"")</f>
        <v/>
      </c>
      <c r="F139" s="24"/>
      <c r="G139" s="26" t="str">
        <f>IFERROR(VLOOKUP(F139,'05_Master KPI'!$B$5:$G$100,2,FALSE)&amp;" ("&amp;VLOOKUP(F139,'05_Master KPI'!$B$5:$G$100,3,FALSE)&amp;")","")</f>
        <v/>
      </c>
      <c r="H139" s="26">
        <f>IFERROR(IF(B139&lt;&gt;'06_Target KPI'!$B$3,0,IF(VLOOKUP(F139,'05_Master KPI'!$B$5:$G$100,6,FALSE)="Kumulatif",INDEX('06_Target KPI'!$E$5:$P$100,MATCH(F139,'06_Target KPI'!$B$5:$B$100,0),MATCH(A139,'06_Target KPI'!$E$4:$P$4,0))*DAY(C139)/DAY(EOMONTH(C139,0)),INDEX('06_Target KPI'!$E$5:$P$100,MATCH(F139,'06_Target KPI'!$B$5:$B$100,0),MATCH(A139,'06_Target KPI'!$E$4:$P$4,0)))),0)</f>
        <v>0</v>
      </c>
      <c r="I139" s="24"/>
      <c r="J139" s="27">
        <f>IFERROR(MIN(IF(VLOOKUP(F139,'05_Master KPI'!$B$5:$G$100,5,FALSE)="Lower",H139/I139,I139/H139),1),0)</f>
        <v>0</v>
      </c>
      <c r="K139" s="26">
        <f>IFERROR(VLOOKUP(F139,'05_Master KPI'!$B$5:$G$100,4,FALSE),0)</f>
        <v>0</v>
      </c>
      <c r="L139" s="28">
        <f t="shared" si="2"/>
        <v>0</v>
      </c>
      <c r="M139" s="26" t="str">
        <f>IF(D139="","",IF(J139&gt;='13_Setting'!$H$7,"Tercapai",IF(J139&gt;='13_Setting'!$H$6,"On Track","Tertinggal")))</f>
        <v/>
      </c>
      <c r="N139" s="24"/>
    </row>
    <row r="140" spans="1:14">
      <c r="A140" s="24"/>
      <c r="B140" s="24"/>
      <c r="C140" s="25"/>
      <c r="D140" s="24"/>
      <c r="E140" s="26" t="str">
        <f>IFERROR(VLOOKUP(D140,'04_Master Karyawan'!$A$5:$F$50,2,FALSE),"")</f>
        <v/>
      </c>
      <c r="F140" s="24"/>
      <c r="G140" s="26" t="str">
        <f>IFERROR(VLOOKUP(F140,'05_Master KPI'!$B$5:$G$100,2,FALSE)&amp;" ("&amp;VLOOKUP(F140,'05_Master KPI'!$B$5:$G$100,3,FALSE)&amp;")","")</f>
        <v/>
      </c>
      <c r="H140" s="26">
        <f>IFERROR(IF(B140&lt;&gt;'06_Target KPI'!$B$3,0,IF(VLOOKUP(F140,'05_Master KPI'!$B$5:$G$100,6,FALSE)="Kumulatif",INDEX('06_Target KPI'!$E$5:$P$100,MATCH(F140,'06_Target KPI'!$B$5:$B$100,0),MATCH(A140,'06_Target KPI'!$E$4:$P$4,0))*DAY(C140)/DAY(EOMONTH(C140,0)),INDEX('06_Target KPI'!$E$5:$P$100,MATCH(F140,'06_Target KPI'!$B$5:$B$100,0),MATCH(A140,'06_Target KPI'!$E$4:$P$4,0)))),0)</f>
        <v>0</v>
      </c>
      <c r="I140" s="24"/>
      <c r="J140" s="27">
        <f>IFERROR(MIN(IF(VLOOKUP(F140,'05_Master KPI'!$B$5:$G$100,5,FALSE)="Lower",H140/I140,I140/H140),1),0)</f>
        <v>0</v>
      </c>
      <c r="K140" s="26">
        <f>IFERROR(VLOOKUP(F140,'05_Master KPI'!$B$5:$G$100,4,FALSE),0)</f>
        <v>0</v>
      </c>
      <c r="L140" s="28">
        <f t="shared" si="2"/>
        <v>0</v>
      </c>
      <c r="M140" s="26" t="str">
        <f>IF(D140="","",IF(J140&gt;='13_Setting'!$H$7,"Tercapai",IF(J140&gt;='13_Setting'!$H$6,"On Track","Tertinggal")))</f>
        <v/>
      </c>
      <c r="N140" s="24"/>
    </row>
    <row r="141" spans="1:14">
      <c r="A141" s="24"/>
      <c r="B141" s="24"/>
      <c r="C141" s="25"/>
      <c r="D141" s="24"/>
      <c r="E141" s="26" t="str">
        <f>IFERROR(VLOOKUP(D141,'04_Master Karyawan'!$A$5:$F$50,2,FALSE),"")</f>
        <v/>
      </c>
      <c r="F141" s="24"/>
      <c r="G141" s="26" t="str">
        <f>IFERROR(VLOOKUP(F141,'05_Master KPI'!$B$5:$G$100,2,FALSE)&amp;" ("&amp;VLOOKUP(F141,'05_Master KPI'!$B$5:$G$100,3,FALSE)&amp;")","")</f>
        <v/>
      </c>
      <c r="H141" s="26">
        <f>IFERROR(IF(B141&lt;&gt;'06_Target KPI'!$B$3,0,IF(VLOOKUP(F141,'05_Master KPI'!$B$5:$G$100,6,FALSE)="Kumulatif",INDEX('06_Target KPI'!$E$5:$P$100,MATCH(F141,'06_Target KPI'!$B$5:$B$100,0),MATCH(A141,'06_Target KPI'!$E$4:$P$4,0))*DAY(C141)/DAY(EOMONTH(C141,0)),INDEX('06_Target KPI'!$E$5:$P$100,MATCH(F141,'06_Target KPI'!$B$5:$B$100,0),MATCH(A141,'06_Target KPI'!$E$4:$P$4,0)))),0)</f>
        <v>0</v>
      </c>
      <c r="I141" s="24"/>
      <c r="J141" s="27">
        <f>IFERROR(MIN(IF(VLOOKUP(F141,'05_Master KPI'!$B$5:$G$100,5,FALSE)="Lower",H141/I141,I141/H141),1),0)</f>
        <v>0</v>
      </c>
      <c r="K141" s="26">
        <f>IFERROR(VLOOKUP(F141,'05_Master KPI'!$B$5:$G$100,4,FALSE),0)</f>
        <v>0</v>
      </c>
      <c r="L141" s="28">
        <f t="shared" si="2"/>
        <v>0</v>
      </c>
      <c r="M141" s="26" t="str">
        <f>IF(D141="","",IF(J141&gt;='13_Setting'!$H$7,"Tercapai",IF(J141&gt;='13_Setting'!$H$6,"On Track","Tertinggal")))</f>
        <v/>
      </c>
      <c r="N141" s="24"/>
    </row>
    <row r="142" spans="1:14">
      <c r="A142" s="24"/>
      <c r="B142" s="24"/>
      <c r="C142" s="25"/>
      <c r="D142" s="24"/>
      <c r="E142" s="26" t="str">
        <f>IFERROR(VLOOKUP(D142,'04_Master Karyawan'!$A$5:$F$50,2,FALSE),"")</f>
        <v/>
      </c>
      <c r="F142" s="24"/>
      <c r="G142" s="26" t="str">
        <f>IFERROR(VLOOKUP(F142,'05_Master KPI'!$B$5:$G$100,2,FALSE)&amp;" ("&amp;VLOOKUP(F142,'05_Master KPI'!$B$5:$G$100,3,FALSE)&amp;")","")</f>
        <v/>
      </c>
      <c r="H142" s="26">
        <f>IFERROR(IF(B142&lt;&gt;'06_Target KPI'!$B$3,0,IF(VLOOKUP(F142,'05_Master KPI'!$B$5:$G$100,6,FALSE)="Kumulatif",INDEX('06_Target KPI'!$E$5:$P$100,MATCH(F142,'06_Target KPI'!$B$5:$B$100,0),MATCH(A142,'06_Target KPI'!$E$4:$P$4,0))*DAY(C142)/DAY(EOMONTH(C142,0)),INDEX('06_Target KPI'!$E$5:$P$100,MATCH(F142,'06_Target KPI'!$B$5:$B$100,0),MATCH(A142,'06_Target KPI'!$E$4:$P$4,0)))),0)</f>
        <v>0</v>
      </c>
      <c r="I142" s="24"/>
      <c r="J142" s="27">
        <f>IFERROR(MIN(IF(VLOOKUP(F142,'05_Master KPI'!$B$5:$G$100,5,FALSE)="Lower",H142/I142,I142/H142),1),0)</f>
        <v>0</v>
      </c>
      <c r="K142" s="26">
        <f>IFERROR(VLOOKUP(F142,'05_Master KPI'!$B$5:$G$100,4,FALSE),0)</f>
        <v>0</v>
      </c>
      <c r="L142" s="28">
        <f t="shared" si="2"/>
        <v>0</v>
      </c>
      <c r="M142" s="26" t="str">
        <f>IF(D142="","",IF(J142&gt;='13_Setting'!$H$7,"Tercapai",IF(J142&gt;='13_Setting'!$H$6,"On Track","Tertinggal")))</f>
        <v/>
      </c>
      <c r="N142" s="24"/>
    </row>
    <row r="143" spans="1:14">
      <c r="A143" s="24"/>
      <c r="B143" s="24"/>
      <c r="C143" s="25"/>
      <c r="D143" s="24"/>
      <c r="E143" s="26" t="str">
        <f>IFERROR(VLOOKUP(D143,'04_Master Karyawan'!$A$5:$F$50,2,FALSE),"")</f>
        <v/>
      </c>
      <c r="F143" s="24"/>
      <c r="G143" s="26" t="str">
        <f>IFERROR(VLOOKUP(F143,'05_Master KPI'!$B$5:$G$100,2,FALSE)&amp;" ("&amp;VLOOKUP(F143,'05_Master KPI'!$B$5:$G$100,3,FALSE)&amp;")","")</f>
        <v/>
      </c>
      <c r="H143" s="26">
        <f>IFERROR(IF(B143&lt;&gt;'06_Target KPI'!$B$3,0,IF(VLOOKUP(F143,'05_Master KPI'!$B$5:$G$100,6,FALSE)="Kumulatif",INDEX('06_Target KPI'!$E$5:$P$100,MATCH(F143,'06_Target KPI'!$B$5:$B$100,0),MATCH(A143,'06_Target KPI'!$E$4:$P$4,0))*DAY(C143)/DAY(EOMONTH(C143,0)),INDEX('06_Target KPI'!$E$5:$P$100,MATCH(F143,'06_Target KPI'!$B$5:$B$100,0),MATCH(A143,'06_Target KPI'!$E$4:$P$4,0)))),0)</f>
        <v>0</v>
      </c>
      <c r="I143" s="24"/>
      <c r="J143" s="27">
        <f>IFERROR(MIN(IF(VLOOKUP(F143,'05_Master KPI'!$B$5:$G$100,5,FALSE)="Lower",H143/I143,I143/H143),1),0)</f>
        <v>0</v>
      </c>
      <c r="K143" s="26">
        <f>IFERROR(VLOOKUP(F143,'05_Master KPI'!$B$5:$G$100,4,FALSE),0)</f>
        <v>0</v>
      </c>
      <c r="L143" s="28">
        <f t="shared" si="2"/>
        <v>0</v>
      </c>
      <c r="M143" s="26" t="str">
        <f>IF(D143="","",IF(J143&gt;='13_Setting'!$H$7,"Tercapai",IF(J143&gt;='13_Setting'!$H$6,"On Track","Tertinggal")))</f>
        <v/>
      </c>
      <c r="N143" s="24"/>
    </row>
    <row r="144" spans="1:14">
      <c r="A144" s="24"/>
      <c r="B144" s="24"/>
      <c r="C144" s="25"/>
      <c r="D144" s="24"/>
      <c r="E144" s="26" t="str">
        <f>IFERROR(VLOOKUP(D144,'04_Master Karyawan'!$A$5:$F$50,2,FALSE),"")</f>
        <v/>
      </c>
      <c r="F144" s="24"/>
      <c r="G144" s="26" t="str">
        <f>IFERROR(VLOOKUP(F144,'05_Master KPI'!$B$5:$G$100,2,FALSE)&amp;" ("&amp;VLOOKUP(F144,'05_Master KPI'!$B$5:$G$100,3,FALSE)&amp;")","")</f>
        <v/>
      </c>
      <c r="H144" s="26">
        <f>IFERROR(IF(B144&lt;&gt;'06_Target KPI'!$B$3,0,IF(VLOOKUP(F144,'05_Master KPI'!$B$5:$G$100,6,FALSE)="Kumulatif",INDEX('06_Target KPI'!$E$5:$P$100,MATCH(F144,'06_Target KPI'!$B$5:$B$100,0),MATCH(A144,'06_Target KPI'!$E$4:$P$4,0))*DAY(C144)/DAY(EOMONTH(C144,0)),INDEX('06_Target KPI'!$E$5:$P$100,MATCH(F144,'06_Target KPI'!$B$5:$B$100,0),MATCH(A144,'06_Target KPI'!$E$4:$P$4,0)))),0)</f>
        <v>0</v>
      </c>
      <c r="I144" s="24"/>
      <c r="J144" s="27">
        <f>IFERROR(MIN(IF(VLOOKUP(F144,'05_Master KPI'!$B$5:$G$100,5,FALSE)="Lower",H144/I144,I144/H144),1),0)</f>
        <v>0</v>
      </c>
      <c r="K144" s="26">
        <f>IFERROR(VLOOKUP(F144,'05_Master KPI'!$B$5:$G$100,4,FALSE),0)</f>
        <v>0</v>
      </c>
      <c r="L144" s="28">
        <f t="shared" si="2"/>
        <v>0</v>
      </c>
      <c r="M144" s="26" t="str">
        <f>IF(D144="","",IF(J144&gt;='13_Setting'!$H$7,"Tercapai",IF(J144&gt;='13_Setting'!$H$6,"On Track","Tertinggal")))</f>
        <v/>
      </c>
      <c r="N144" s="24"/>
    </row>
    <row r="145" spans="1:14">
      <c r="A145" s="24"/>
      <c r="B145" s="24"/>
      <c r="C145" s="25"/>
      <c r="D145" s="24"/>
      <c r="E145" s="26" t="str">
        <f>IFERROR(VLOOKUP(D145,'04_Master Karyawan'!$A$5:$F$50,2,FALSE),"")</f>
        <v/>
      </c>
      <c r="F145" s="24"/>
      <c r="G145" s="26" t="str">
        <f>IFERROR(VLOOKUP(F145,'05_Master KPI'!$B$5:$G$100,2,FALSE)&amp;" ("&amp;VLOOKUP(F145,'05_Master KPI'!$B$5:$G$100,3,FALSE)&amp;")","")</f>
        <v/>
      </c>
      <c r="H145" s="26">
        <f>IFERROR(IF(B145&lt;&gt;'06_Target KPI'!$B$3,0,IF(VLOOKUP(F145,'05_Master KPI'!$B$5:$G$100,6,FALSE)="Kumulatif",INDEX('06_Target KPI'!$E$5:$P$100,MATCH(F145,'06_Target KPI'!$B$5:$B$100,0),MATCH(A145,'06_Target KPI'!$E$4:$P$4,0))*DAY(C145)/DAY(EOMONTH(C145,0)),INDEX('06_Target KPI'!$E$5:$P$100,MATCH(F145,'06_Target KPI'!$B$5:$B$100,0),MATCH(A145,'06_Target KPI'!$E$4:$P$4,0)))),0)</f>
        <v>0</v>
      </c>
      <c r="I145" s="24"/>
      <c r="J145" s="27">
        <f>IFERROR(MIN(IF(VLOOKUP(F145,'05_Master KPI'!$B$5:$G$100,5,FALSE)="Lower",H145/I145,I145/H145),1),0)</f>
        <v>0</v>
      </c>
      <c r="K145" s="26">
        <f>IFERROR(VLOOKUP(F145,'05_Master KPI'!$B$5:$G$100,4,FALSE),0)</f>
        <v>0</v>
      </c>
      <c r="L145" s="28">
        <f t="shared" si="2"/>
        <v>0</v>
      </c>
      <c r="M145" s="26" t="str">
        <f>IF(D145="","",IF(J145&gt;='13_Setting'!$H$7,"Tercapai",IF(J145&gt;='13_Setting'!$H$6,"On Track","Tertinggal")))</f>
        <v/>
      </c>
      <c r="N145" s="24"/>
    </row>
    <row r="146" spans="1:14">
      <c r="A146" s="24"/>
      <c r="B146" s="24"/>
      <c r="C146" s="25"/>
      <c r="D146" s="24"/>
      <c r="E146" s="26" t="str">
        <f>IFERROR(VLOOKUP(D146,'04_Master Karyawan'!$A$5:$F$50,2,FALSE),"")</f>
        <v/>
      </c>
      <c r="F146" s="24"/>
      <c r="G146" s="26" t="str">
        <f>IFERROR(VLOOKUP(F146,'05_Master KPI'!$B$5:$G$100,2,FALSE)&amp;" ("&amp;VLOOKUP(F146,'05_Master KPI'!$B$5:$G$100,3,FALSE)&amp;")","")</f>
        <v/>
      </c>
      <c r="H146" s="26">
        <f>IFERROR(IF(B146&lt;&gt;'06_Target KPI'!$B$3,0,IF(VLOOKUP(F146,'05_Master KPI'!$B$5:$G$100,6,FALSE)="Kumulatif",INDEX('06_Target KPI'!$E$5:$P$100,MATCH(F146,'06_Target KPI'!$B$5:$B$100,0),MATCH(A146,'06_Target KPI'!$E$4:$P$4,0))*DAY(C146)/DAY(EOMONTH(C146,0)),INDEX('06_Target KPI'!$E$5:$P$100,MATCH(F146,'06_Target KPI'!$B$5:$B$100,0),MATCH(A146,'06_Target KPI'!$E$4:$P$4,0)))),0)</f>
        <v>0</v>
      </c>
      <c r="I146" s="24"/>
      <c r="J146" s="27">
        <f>IFERROR(MIN(IF(VLOOKUP(F146,'05_Master KPI'!$B$5:$G$100,5,FALSE)="Lower",H146/I146,I146/H146),1),0)</f>
        <v>0</v>
      </c>
      <c r="K146" s="26">
        <f>IFERROR(VLOOKUP(F146,'05_Master KPI'!$B$5:$G$100,4,FALSE),0)</f>
        <v>0</v>
      </c>
      <c r="L146" s="28">
        <f t="shared" si="2"/>
        <v>0</v>
      </c>
      <c r="M146" s="26" t="str">
        <f>IF(D146="","",IF(J146&gt;='13_Setting'!$H$7,"Tercapai",IF(J146&gt;='13_Setting'!$H$6,"On Track","Tertinggal")))</f>
        <v/>
      </c>
      <c r="N146" s="24"/>
    </row>
    <row r="147" spans="1:14">
      <c r="A147" s="24"/>
      <c r="B147" s="24"/>
      <c r="C147" s="25"/>
      <c r="D147" s="24"/>
      <c r="E147" s="26" t="str">
        <f>IFERROR(VLOOKUP(D147,'04_Master Karyawan'!$A$5:$F$50,2,FALSE),"")</f>
        <v/>
      </c>
      <c r="F147" s="24"/>
      <c r="G147" s="26" t="str">
        <f>IFERROR(VLOOKUP(F147,'05_Master KPI'!$B$5:$G$100,2,FALSE)&amp;" ("&amp;VLOOKUP(F147,'05_Master KPI'!$B$5:$G$100,3,FALSE)&amp;")","")</f>
        <v/>
      </c>
      <c r="H147" s="26">
        <f>IFERROR(IF(B147&lt;&gt;'06_Target KPI'!$B$3,0,IF(VLOOKUP(F147,'05_Master KPI'!$B$5:$G$100,6,FALSE)="Kumulatif",INDEX('06_Target KPI'!$E$5:$P$100,MATCH(F147,'06_Target KPI'!$B$5:$B$100,0),MATCH(A147,'06_Target KPI'!$E$4:$P$4,0))*DAY(C147)/DAY(EOMONTH(C147,0)),INDEX('06_Target KPI'!$E$5:$P$100,MATCH(F147,'06_Target KPI'!$B$5:$B$100,0),MATCH(A147,'06_Target KPI'!$E$4:$P$4,0)))),0)</f>
        <v>0</v>
      </c>
      <c r="I147" s="24"/>
      <c r="J147" s="27">
        <f>IFERROR(MIN(IF(VLOOKUP(F147,'05_Master KPI'!$B$5:$G$100,5,FALSE)="Lower",H147/I147,I147/H147),1),0)</f>
        <v>0</v>
      </c>
      <c r="K147" s="26">
        <f>IFERROR(VLOOKUP(F147,'05_Master KPI'!$B$5:$G$100,4,FALSE),0)</f>
        <v>0</v>
      </c>
      <c r="L147" s="28">
        <f t="shared" si="2"/>
        <v>0</v>
      </c>
      <c r="M147" s="26" t="str">
        <f>IF(D147="","",IF(J147&gt;='13_Setting'!$H$7,"Tercapai",IF(J147&gt;='13_Setting'!$H$6,"On Track","Tertinggal")))</f>
        <v/>
      </c>
      <c r="N147" s="24"/>
    </row>
    <row r="148" spans="1:14">
      <c r="A148" s="24"/>
      <c r="B148" s="24"/>
      <c r="C148" s="25"/>
      <c r="D148" s="24"/>
      <c r="E148" s="26" t="str">
        <f>IFERROR(VLOOKUP(D148,'04_Master Karyawan'!$A$5:$F$50,2,FALSE),"")</f>
        <v/>
      </c>
      <c r="F148" s="24"/>
      <c r="G148" s="26" t="str">
        <f>IFERROR(VLOOKUP(F148,'05_Master KPI'!$B$5:$G$100,2,FALSE)&amp;" ("&amp;VLOOKUP(F148,'05_Master KPI'!$B$5:$G$100,3,FALSE)&amp;")","")</f>
        <v/>
      </c>
      <c r="H148" s="26">
        <f>IFERROR(IF(B148&lt;&gt;'06_Target KPI'!$B$3,0,IF(VLOOKUP(F148,'05_Master KPI'!$B$5:$G$100,6,FALSE)="Kumulatif",INDEX('06_Target KPI'!$E$5:$P$100,MATCH(F148,'06_Target KPI'!$B$5:$B$100,0),MATCH(A148,'06_Target KPI'!$E$4:$P$4,0))*DAY(C148)/DAY(EOMONTH(C148,0)),INDEX('06_Target KPI'!$E$5:$P$100,MATCH(F148,'06_Target KPI'!$B$5:$B$100,0),MATCH(A148,'06_Target KPI'!$E$4:$P$4,0)))),0)</f>
        <v>0</v>
      </c>
      <c r="I148" s="24"/>
      <c r="J148" s="27">
        <f>IFERROR(MIN(IF(VLOOKUP(F148,'05_Master KPI'!$B$5:$G$100,5,FALSE)="Lower",H148/I148,I148/H148),1),0)</f>
        <v>0</v>
      </c>
      <c r="K148" s="26">
        <f>IFERROR(VLOOKUP(F148,'05_Master KPI'!$B$5:$G$100,4,FALSE),0)</f>
        <v>0</v>
      </c>
      <c r="L148" s="28">
        <f t="shared" si="2"/>
        <v>0</v>
      </c>
      <c r="M148" s="26" t="str">
        <f>IF(D148="","",IF(J148&gt;='13_Setting'!$H$7,"Tercapai",IF(J148&gt;='13_Setting'!$H$6,"On Track","Tertinggal")))</f>
        <v/>
      </c>
      <c r="N148" s="24"/>
    </row>
    <row r="149" spans="1:14">
      <c r="A149" s="24"/>
      <c r="B149" s="24"/>
      <c r="C149" s="25"/>
      <c r="D149" s="24"/>
      <c r="E149" s="26" t="str">
        <f>IFERROR(VLOOKUP(D149,'04_Master Karyawan'!$A$5:$F$50,2,FALSE),"")</f>
        <v/>
      </c>
      <c r="F149" s="24"/>
      <c r="G149" s="26" t="str">
        <f>IFERROR(VLOOKUP(F149,'05_Master KPI'!$B$5:$G$100,2,FALSE)&amp;" ("&amp;VLOOKUP(F149,'05_Master KPI'!$B$5:$G$100,3,FALSE)&amp;")","")</f>
        <v/>
      </c>
      <c r="H149" s="26">
        <f>IFERROR(IF(B149&lt;&gt;'06_Target KPI'!$B$3,0,IF(VLOOKUP(F149,'05_Master KPI'!$B$5:$G$100,6,FALSE)="Kumulatif",INDEX('06_Target KPI'!$E$5:$P$100,MATCH(F149,'06_Target KPI'!$B$5:$B$100,0),MATCH(A149,'06_Target KPI'!$E$4:$P$4,0))*DAY(C149)/DAY(EOMONTH(C149,0)),INDEX('06_Target KPI'!$E$5:$P$100,MATCH(F149,'06_Target KPI'!$B$5:$B$100,0),MATCH(A149,'06_Target KPI'!$E$4:$P$4,0)))),0)</f>
        <v>0</v>
      </c>
      <c r="I149" s="24"/>
      <c r="J149" s="27">
        <f>IFERROR(MIN(IF(VLOOKUP(F149,'05_Master KPI'!$B$5:$G$100,5,FALSE)="Lower",H149/I149,I149/H149),1),0)</f>
        <v>0</v>
      </c>
      <c r="K149" s="26">
        <f>IFERROR(VLOOKUP(F149,'05_Master KPI'!$B$5:$G$100,4,FALSE),0)</f>
        <v>0</v>
      </c>
      <c r="L149" s="28">
        <f t="shared" si="2"/>
        <v>0</v>
      </c>
      <c r="M149" s="26" t="str">
        <f>IF(D149="","",IF(J149&gt;='13_Setting'!$H$7,"Tercapai",IF(J149&gt;='13_Setting'!$H$6,"On Track","Tertinggal")))</f>
        <v/>
      </c>
      <c r="N149" s="24"/>
    </row>
    <row r="150" spans="1:14">
      <c r="A150" s="24"/>
      <c r="B150" s="24"/>
      <c r="C150" s="25"/>
      <c r="D150" s="24"/>
      <c r="E150" s="26" t="str">
        <f>IFERROR(VLOOKUP(D150,'04_Master Karyawan'!$A$5:$F$50,2,FALSE),"")</f>
        <v/>
      </c>
      <c r="F150" s="24"/>
      <c r="G150" s="26" t="str">
        <f>IFERROR(VLOOKUP(F150,'05_Master KPI'!$B$5:$G$100,2,FALSE)&amp;" ("&amp;VLOOKUP(F150,'05_Master KPI'!$B$5:$G$100,3,FALSE)&amp;")","")</f>
        <v/>
      </c>
      <c r="H150" s="26">
        <f>IFERROR(IF(B150&lt;&gt;'06_Target KPI'!$B$3,0,IF(VLOOKUP(F150,'05_Master KPI'!$B$5:$G$100,6,FALSE)="Kumulatif",INDEX('06_Target KPI'!$E$5:$P$100,MATCH(F150,'06_Target KPI'!$B$5:$B$100,0),MATCH(A150,'06_Target KPI'!$E$4:$P$4,0))*DAY(C150)/DAY(EOMONTH(C150,0)),INDEX('06_Target KPI'!$E$5:$P$100,MATCH(F150,'06_Target KPI'!$B$5:$B$100,0),MATCH(A150,'06_Target KPI'!$E$4:$P$4,0)))),0)</f>
        <v>0</v>
      </c>
      <c r="I150" s="24"/>
      <c r="J150" s="27">
        <f>IFERROR(MIN(IF(VLOOKUP(F150,'05_Master KPI'!$B$5:$G$100,5,FALSE)="Lower",H150/I150,I150/H150),1),0)</f>
        <v>0</v>
      </c>
      <c r="K150" s="26">
        <f>IFERROR(VLOOKUP(F150,'05_Master KPI'!$B$5:$G$100,4,FALSE),0)</f>
        <v>0</v>
      </c>
      <c r="L150" s="28">
        <f t="shared" si="2"/>
        <v>0</v>
      </c>
      <c r="M150" s="26" t="str">
        <f>IF(D150="","",IF(J150&gt;='13_Setting'!$H$7,"Tercapai",IF(J150&gt;='13_Setting'!$H$6,"On Track","Tertinggal")))</f>
        <v/>
      </c>
      <c r="N150" s="24"/>
    </row>
    <row r="151" spans="1:14">
      <c r="A151" s="24"/>
      <c r="B151" s="24"/>
      <c r="C151" s="25"/>
      <c r="D151" s="24"/>
      <c r="E151" s="26" t="str">
        <f>IFERROR(VLOOKUP(D151,'04_Master Karyawan'!$A$5:$F$50,2,FALSE),"")</f>
        <v/>
      </c>
      <c r="F151" s="24"/>
      <c r="G151" s="26" t="str">
        <f>IFERROR(VLOOKUP(F151,'05_Master KPI'!$B$5:$G$100,2,FALSE)&amp;" ("&amp;VLOOKUP(F151,'05_Master KPI'!$B$5:$G$100,3,FALSE)&amp;")","")</f>
        <v/>
      </c>
      <c r="H151" s="26">
        <f>IFERROR(IF(B151&lt;&gt;'06_Target KPI'!$B$3,0,IF(VLOOKUP(F151,'05_Master KPI'!$B$5:$G$100,6,FALSE)="Kumulatif",INDEX('06_Target KPI'!$E$5:$P$100,MATCH(F151,'06_Target KPI'!$B$5:$B$100,0),MATCH(A151,'06_Target KPI'!$E$4:$P$4,0))*DAY(C151)/DAY(EOMONTH(C151,0)),INDEX('06_Target KPI'!$E$5:$P$100,MATCH(F151,'06_Target KPI'!$B$5:$B$100,0),MATCH(A151,'06_Target KPI'!$E$4:$P$4,0)))),0)</f>
        <v>0</v>
      </c>
      <c r="I151" s="24"/>
      <c r="J151" s="27">
        <f>IFERROR(MIN(IF(VLOOKUP(F151,'05_Master KPI'!$B$5:$G$100,5,FALSE)="Lower",H151/I151,I151/H151),1),0)</f>
        <v>0</v>
      </c>
      <c r="K151" s="26">
        <f>IFERROR(VLOOKUP(F151,'05_Master KPI'!$B$5:$G$100,4,FALSE),0)</f>
        <v>0</v>
      </c>
      <c r="L151" s="28">
        <f t="shared" si="2"/>
        <v>0</v>
      </c>
      <c r="M151" s="26" t="str">
        <f>IF(D151="","",IF(J151&gt;='13_Setting'!$H$7,"Tercapai",IF(J151&gt;='13_Setting'!$H$6,"On Track","Tertinggal")))</f>
        <v/>
      </c>
      <c r="N151" s="24"/>
    </row>
    <row r="152" spans="1:14">
      <c r="A152" s="24"/>
      <c r="B152" s="24"/>
      <c r="C152" s="25"/>
      <c r="D152" s="24"/>
      <c r="E152" s="26" t="str">
        <f>IFERROR(VLOOKUP(D152,'04_Master Karyawan'!$A$5:$F$50,2,FALSE),"")</f>
        <v/>
      </c>
      <c r="F152" s="24"/>
      <c r="G152" s="26" t="str">
        <f>IFERROR(VLOOKUP(F152,'05_Master KPI'!$B$5:$G$100,2,FALSE)&amp;" ("&amp;VLOOKUP(F152,'05_Master KPI'!$B$5:$G$100,3,FALSE)&amp;")","")</f>
        <v/>
      </c>
      <c r="H152" s="26">
        <f>IFERROR(IF(B152&lt;&gt;'06_Target KPI'!$B$3,0,IF(VLOOKUP(F152,'05_Master KPI'!$B$5:$G$100,6,FALSE)="Kumulatif",INDEX('06_Target KPI'!$E$5:$P$100,MATCH(F152,'06_Target KPI'!$B$5:$B$100,0),MATCH(A152,'06_Target KPI'!$E$4:$P$4,0))*DAY(C152)/DAY(EOMONTH(C152,0)),INDEX('06_Target KPI'!$E$5:$P$100,MATCH(F152,'06_Target KPI'!$B$5:$B$100,0),MATCH(A152,'06_Target KPI'!$E$4:$P$4,0)))),0)</f>
        <v>0</v>
      </c>
      <c r="I152" s="24"/>
      <c r="J152" s="27">
        <f>IFERROR(MIN(IF(VLOOKUP(F152,'05_Master KPI'!$B$5:$G$100,5,FALSE)="Lower",H152/I152,I152/H152),1),0)</f>
        <v>0</v>
      </c>
      <c r="K152" s="26">
        <f>IFERROR(VLOOKUP(F152,'05_Master KPI'!$B$5:$G$100,4,FALSE),0)</f>
        <v>0</v>
      </c>
      <c r="L152" s="28">
        <f t="shared" si="2"/>
        <v>0</v>
      </c>
      <c r="M152" s="26" t="str">
        <f>IF(D152="","",IF(J152&gt;='13_Setting'!$H$7,"Tercapai",IF(J152&gt;='13_Setting'!$H$6,"On Track","Tertinggal")))</f>
        <v/>
      </c>
      <c r="N152" s="24"/>
    </row>
    <row r="153" spans="1:14">
      <c r="A153" s="24"/>
      <c r="B153" s="24"/>
      <c r="C153" s="25"/>
      <c r="D153" s="24"/>
      <c r="E153" s="26" t="str">
        <f>IFERROR(VLOOKUP(D153,'04_Master Karyawan'!$A$5:$F$50,2,FALSE),"")</f>
        <v/>
      </c>
      <c r="F153" s="24"/>
      <c r="G153" s="26" t="str">
        <f>IFERROR(VLOOKUP(F153,'05_Master KPI'!$B$5:$G$100,2,FALSE)&amp;" ("&amp;VLOOKUP(F153,'05_Master KPI'!$B$5:$G$100,3,FALSE)&amp;")","")</f>
        <v/>
      </c>
      <c r="H153" s="26">
        <f>IFERROR(IF(B153&lt;&gt;'06_Target KPI'!$B$3,0,IF(VLOOKUP(F153,'05_Master KPI'!$B$5:$G$100,6,FALSE)="Kumulatif",INDEX('06_Target KPI'!$E$5:$P$100,MATCH(F153,'06_Target KPI'!$B$5:$B$100,0),MATCH(A153,'06_Target KPI'!$E$4:$P$4,0))*DAY(C153)/DAY(EOMONTH(C153,0)),INDEX('06_Target KPI'!$E$5:$P$100,MATCH(F153,'06_Target KPI'!$B$5:$B$100,0),MATCH(A153,'06_Target KPI'!$E$4:$P$4,0)))),0)</f>
        <v>0</v>
      </c>
      <c r="I153" s="24"/>
      <c r="J153" s="27">
        <f>IFERROR(MIN(IF(VLOOKUP(F153,'05_Master KPI'!$B$5:$G$100,5,FALSE)="Lower",H153/I153,I153/H153),1),0)</f>
        <v>0</v>
      </c>
      <c r="K153" s="26">
        <f>IFERROR(VLOOKUP(F153,'05_Master KPI'!$B$5:$G$100,4,FALSE),0)</f>
        <v>0</v>
      </c>
      <c r="L153" s="28">
        <f t="shared" si="2"/>
        <v>0</v>
      </c>
      <c r="M153" s="26" t="str">
        <f>IF(D153="","",IF(J153&gt;='13_Setting'!$H$7,"Tercapai",IF(J153&gt;='13_Setting'!$H$6,"On Track","Tertinggal")))</f>
        <v/>
      </c>
      <c r="N153" s="24"/>
    </row>
    <row r="154" spans="1:14">
      <c r="A154" s="24"/>
      <c r="B154" s="24"/>
      <c r="C154" s="25"/>
      <c r="D154" s="24"/>
      <c r="E154" s="26" t="str">
        <f>IFERROR(VLOOKUP(D154,'04_Master Karyawan'!$A$5:$F$50,2,FALSE),"")</f>
        <v/>
      </c>
      <c r="F154" s="24"/>
      <c r="G154" s="26" t="str">
        <f>IFERROR(VLOOKUP(F154,'05_Master KPI'!$B$5:$G$100,2,FALSE)&amp;" ("&amp;VLOOKUP(F154,'05_Master KPI'!$B$5:$G$100,3,FALSE)&amp;")","")</f>
        <v/>
      </c>
      <c r="H154" s="26">
        <f>IFERROR(IF(B154&lt;&gt;'06_Target KPI'!$B$3,0,IF(VLOOKUP(F154,'05_Master KPI'!$B$5:$G$100,6,FALSE)="Kumulatif",INDEX('06_Target KPI'!$E$5:$P$100,MATCH(F154,'06_Target KPI'!$B$5:$B$100,0),MATCH(A154,'06_Target KPI'!$E$4:$P$4,0))*DAY(C154)/DAY(EOMONTH(C154,0)),INDEX('06_Target KPI'!$E$5:$P$100,MATCH(F154,'06_Target KPI'!$B$5:$B$100,0),MATCH(A154,'06_Target KPI'!$E$4:$P$4,0)))),0)</f>
        <v>0</v>
      </c>
      <c r="I154" s="24"/>
      <c r="J154" s="27">
        <f>IFERROR(MIN(IF(VLOOKUP(F154,'05_Master KPI'!$B$5:$G$100,5,FALSE)="Lower",H154/I154,I154/H154),1),0)</f>
        <v>0</v>
      </c>
      <c r="K154" s="26">
        <f>IFERROR(VLOOKUP(F154,'05_Master KPI'!$B$5:$G$100,4,FALSE),0)</f>
        <v>0</v>
      </c>
      <c r="L154" s="28">
        <f t="shared" si="2"/>
        <v>0</v>
      </c>
      <c r="M154" s="26" t="str">
        <f>IF(D154="","",IF(J154&gt;='13_Setting'!$H$7,"Tercapai",IF(J154&gt;='13_Setting'!$H$6,"On Track","Tertinggal")))</f>
        <v/>
      </c>
      <c r="N154" s="24"/>
    </row>
    <row r="155" spans="1:14">
      <c r="A155" s="24"/>
      <c r="B155" s="24"/>
      <c r="C155" s="25"/>
      <c r="D155" s="24"/>
      <c r="E155" s="26" t="str">
        <f>IFERROR(VLOOKUP(D155,'04_Master Karyawan'!$A$5:$F$50,2,FALSE),"")</f>
        <v/>
      </c>
      <c r="F155" s="24"/>
      <c r="G155" s="26" t="str">
        <f>IFERROR(VLOOKUP(F155,'05_Master KPI'!$B$5:$G$100,2,FALSE)&amp;" ("&amp;VLOOKUP(F155,'05_Master KPI'!$B$5:$G$100,3,FALSE)&amp;")","")</f>
        <v/>
      </c>
      <c r="H155" s="26">
        <f>IFERROR(IF(B155&lt;&gt;'06_Target KPI'!$B$3,0,IF(VLOOKUP(F155,'05_Master KPI'!$B$5:$G$100,6,FALSE)="Kumulatif",INDEX('06_Target KPI'!$E$5:$P$100,MATCH(F155,'06_Target KPI'!$B$5:$B$100,0),MATCH(A155,'06_Target KPI'!$E$4:$P$4,0))*DAY(C155)/DAY(EOMONTH(C155,0)),INDEX('06_Target KPI'!$E$5:$P$100,MATCH(F155,'06_Target KPI'!$B$5:$B$100,0),MATCH(A155,'06_Target KPI'!$E$4:$P$4,0)))),0)</f>
        <v>0</v>
      </c>
      <c r="I155" s="24"/>
      <c r="J155" s="27">
        <f>IFERROR(MIN(IF(VLOOKUP(F155,'05_Master KPI'!$B$5:$G$100,5,FALSE)="Lower",H155/I155,I155/H155),1),0)</f>
        <v>0</v>
      </c>
      <c r="K155" s="26">
        <f>IFERROR(VLOOKUP(F155,'05_Master KPI'!$B$5:$G$100,4,FALSE),0)</f>
        <v>0</v>
      </c>
      <c r="L155" s="28">
        <f t="shared" si="2"/>
        <v>0</v>
      </c>
      <c r="M155" s="26" t="str">
        <f>IF(D155="","",IF(J155&gt;='13_Setting'!$H$7,"Tercapai",IF(J155&gt;='13_Setting'!$H$6,"On Track","Tertinggal")))</f>
        <v/>
      </c>
      <c r="N155" s="24"/>
    </row>
    <row r="156" spans="1:14">
      <c r="A156" s="24"/>
      <c r="B156" s="24"/>
      <c r="C156" s="25"/>
      <c r="D156" s="24"/>
      <c r="E156" s="26" t="str">
        <f>IFERROR(VLOOKUP(D156,'04_Master Karyawan'!$A$5:$F$50,2,FALSE),"")</f>
        <v/>
      </c>
      <c r="F156" s="24"/>
      <c r="G156" s="26" t="str">
        <f>IFERROR(VLOOKUP(F156,'05_Master KPI'!$B$5:$G$100,2,FALSE)&amp;" ("&amp;VLOOKUP(F156,'05_Master KPI'!$B$5:$G$100,3,FALSE)&amp;")","")</f>
        <v/>
      </c>
      <c r="H156" s="26">
        <f>IFERROR(IF(B156&lt;&gt;'06_Target KPI'!$B$3,0,IF(VLOOKUP(F156,'05_Master KPI'!$B$5:$G$100,6,FALSE)="Kumulatif",INDEX('06_Target KPI'!$E$5:$P$100,MATCH(F156,'06_Target KPI'!$B$5:$B$100,0),MATCH(A156,'06_Target KPI'!$E$4:$P$4,0))*DAY(C156)/DAY(EOMONTH(C156,0)),INDEX('06_Target KPI'!$E$5:$P$100,MATCH(F156,'06_Target KPI'!$B$5:$B$100,0),MATCH(A156,'06_Target KPI'!$E$4:$P$4,0)))),0)</f>
        <v>0</v>
      </c>
      <c r="I156" s="24"/>
      <c r="J156" s="27">
        <f>IFERROR(MIN(IF(VLOOKUP(F156,'05_Master KPI'!$B$5:$G$100,5,FALSE)="Lower",H156/I156,I156/H156),1),0)</f>
        <v>0</v>
      </c>
      <c r="K156" s="26">
        <f>IFERROR(VLOOKUP(F156,'05_Master KPI'!$B$5:$G$100,4,FALSE),0)</f>
        <v>0</v>
      </c>
      <c r="L156" s="28">
        <f t="shared" si="2"/>
        <v>0</v>
      </c>
      <c r="M156" s="26" t="str">
        <f>IF(D156="","",IF(J156&gt;='13_Setting'!$H$7,"Tercapai",IF(J156&gt;='13_Setting'!$H$6,"On Track","Tertinggal")))</f>
        <v/>
      </c>
      <c r="N156" s="24"/>
    </row>
    <row r="157" spans="1:14">
      <c r="A157" s="24"/>
      <c r="B157" s="24"/>
      <c r="C157" s="25"/>
      <c r="D157" s="24"/>
      <c r="E157" s="26" t="str">
        <f>IFERROR(VLOOKUP(D157,'04_Master Karyawan'!$A$5:$F$50,2,FALSE),"")</f>
        <v/>
      </c>
      <c r="F157" s="24"/>
      <c r="G157" s="26" t="str">
        <f>IFERROR(VLOOKUP(F157,'05_Master KPI'!$B$5:$G$100,2,FALSE)&amp;" ("&amp;VLOOKUP(F157,'05_Master KPI'!$B$5:$G$100,3,FALSE)&amp;")","")</f>
        <v/>
      </c>
      <c r="H157" s="26">
        <f>IFERROR(IF(B157&lt;&gt;'06_Target KPI'!$B$3,0,IF(VLOOKUP(F157,'05_Master KPI'!$B$5:$G$100,6,FALSE)="Kumulatif",INDEX('06_Target KPI'!$E$5:$P$100,MATCH(F157,'06_Target KPI'!$B$5:$B$100,0),MATCH(A157,'06_Target KPI'!$E$4:$P$4,0))*DAY(C157)/DAY(EOMONTH(C157,0)),INDEX('06_Target KPI'!$E$5:$P$100,MATCH(F157,'06_Target KPI'!$B$5:$B$100,0),MATCH(A157,'06_Target KPI'!$E$4:$P$4,0)))),0)</f>
        <v>0</v>
      </c>
      <c r="I157" s="24"/>
      <c r="J157" s="27">
        <f>IFERROR(MIN(IF(VLOOKUP(F157,'05_Master KPI'!$B$5:$G$100,5,FALSE)="Lower",H157/I157,I157/H157),1),0)</f>
        <v>0</v>
      </c>
      <c r="K157" s="26">
        <f>IFERROR(VLOOKUP(F157,'05_Master KPI'!$B$5:$G$100,4,FALSE),0)</f>
        <v>0</v>
      </c>
      <c r="L157" s="28">
        <f t="shared" si="2"/>
        <v>0</v>
      </c>
      <c r="M157" s="26" t="str">
        <f>IF(D157="","",IF(J157&gt;='13_Setting'!$H$7,"Tercapai",IF(J157&gt;='13_Setting'!$H$6,"On Track","Tertinggal")))</f>
        <v/>
      </c>
      <c r="N157" s="24"/>
    </row>
    <row r="158" spans="1:14">
      <c r="A158" s="24"/>
      <c r="B158" s="24"/>
      <c r="C158" s="25"/>
      <c r="D158" s="24"/>
      <c r="E158" s="26" t="str">
        <f>IFERROR(VLOOKUP(D158,'04_Master Karyawan'!$A$5:$F$50,2,FALSE),"")</f>
        <v/>
      </c>
      <c r="F158" s="24"/>
      <c r="G158" s="26" t="str">
        <f>IFERROR(VLOOKUP(F158,'05_Master KPI'!$B$5:$G$100,2,FALSE)&amp;" ("&amp;VLOOKUP(F158,'05_Master KPI'!$B$5:$G$100,3,FALSE)&amp;")","")</f>
        <v/>
      </c>
      <c r="H158" s="26">
        <f>IFERROR(IF(B158&lt;&gt;'06_Target KPI'!$B$3,0,IF(VLOOKUP(F158,'05_Master KPI'!$B$5:$G$100,6,FALSE)="Kumulatif",INDEX('06_Target KPI'!$E$5:$P$100,MATCH(F158,'06_Target KPI'!$B$5:$B$100,0),MATCH(A158,'06_Target KPI'!$E$4:$P$4,0))*DAY(C158)/DAY(EOMONTH(C158,0)),INDEX('06_Target KPI'!$E$5:$P$100,MATCH(F158,'06_Target KPI'!$B$5:$B$100,0),MATCH(A158,'06_Target KPI'!$E$4:$P$4,0)))),0)</f>
        <v>0</v>
      </c>
      <c r="I158" s="24"/>
      <c r="J158" s="27">
        <f>IFERROR(MIN(IF(VLOOKUP(F158,'05_Master KPI'!$B$5:$G$100,5,FALSE)="Lower",H158/I158,I158/H158),1),0)</f>
        <v>0</v>
      </c>
      <c r="K158" s="26">
        <f>IFERROR(VLOOKUP(F158,'05_Master KPI'!$B$5:$G$100,4,FALSE),0)</f>
        <v>0</v>
      </c>
      <c r="L158" s="28">
        <f t="shared" si="2"/>
        <v>0</v>
      </c>
      <c r="M158" s="26" t="str">
        <f>IF(D158="","",IF(J158&gt;='13_Setting'!$H$7,"Tercapai",IF(J158&gt;='13_Setting'!$H$6,"On Track","Tertinggal")))</f>
        <v/>
      </c>
      <c r="N158" s="24"/>
    </row>
    <row r="159" spans="1:14">
      <c r="A159" s="24"/>
      <c r="B159" s="24"/>
      <c r="C159" s="25"/>
      <c r="D159" s="24"/>
      <c r="E159" s="26" t="str">
        <f>IFERROR(VLOOKUP(D159,'04_Master Karyawan'!$A$5:$F$50,2,FALSE),"")</f>
        <v/>
      </c>
      <c r="F159" s="24"/>
      <c r="G159" s="26" t="str">
        <f>IFERROR(VLOOKUP(F159,'05_Master KPI'!$B$5:$G$100,2,FALSE)&amp;" ("&amp;VLOOKUP(F159,'05_Master KPI'!$B$5:$G$100,3,FALSE)&amp;")","")</f>
        <v/>
      </c>
      <c r="H159" s="26">
        <f>IFERROR(IF(B159&lt;&gt;'06_Target KPI'!$B$3,0,IF(VLOOKUP(F159,'05_Master KPI'!$B$5:$G$100,6,FALSE)="Kumulatif",INDEX('06_Target KPI'!$E$5:$P$100,MATCH(F159,'06_Target KPI'!$B$5:$B$100,0),MATCH(A159,'06_Target KPI'!$E$4:$P$4,0))*DAY(C159)/DAY(EOMONTH(C159,0)),INDEX('06_Target KPI'!$E$5:$P$100,MATCH(F159,'06_Target KPI'!$B$5:$B$100,0),MATCH(A159,'06_Target KPI'!$E$4:$P$4,0)))),0)</f>
        <v>0</v>
      </c>
      <c r="I159" s="24"/>
      <c r="J159" s="27">
        <f>IFERROR(MIN(IF(VLOOKUP(F159,'05_Master KPI'!$B$5:$G$100,5,FALSE)="Lower",H159/I159,I159/H159),1),0)</f>
        <v>0</v>
      </c>
      <c r="K159" s="26">
        <f>IFERROR(VLOOKUP(F159,'05_Master KPI'!$B$5:$G$100,4,FALSE),0)</f>
        <v>0</v>
      </c>
      <c r="L159" s="28">
        <f t="shared" si="2"/>
        <v>0</v>
      </c>
      <c r="M159" s="26" t="str">
        <f>IF(D159="","",IF(J159&gt;='13_Setting'!$H$7,"Tercapai",IF(J159&gt;='13_Setting'!$H$6,"On Track","Tertinggal")))</f>
        <v/>
      </c>
      <c r="N159" s="24"/>
    </row>
    <row r="160" spans="1:14">
      <c r="A160" s="24"/>
      <c r="B160" s="24"/>
      <c r="C160" s="25"/>
      <c r="D160" s="24"/>
      <c r="E160" s="26" t="str">
        <f>IFERROR(VLOOKUP(D160,'04_Master Karyawan'!$A$5:$F$50,2,FALSE),"")</f>
        <v/>
      </c>
      <c r="F160" s="24"/>
      <c r="G160" s="26" t="str">
        <f>IFERROR(VLOOKUP(F160,'05_Master KPI'!$B$5:$G$100,2,FALSE)&amp;" ("&amp;VLOOKUP(F160,'05_Master KPI'!$B$5:$G$100,3,FALSE)&amp;")","")</f>
        <v/>
      </c>
      <c r="H160" s="26">
        <f>IFERROR(IF(B160&lt;&gt;'06_Target KPI'!$B$3,0,IF(VLOOKUP(F160,'05_Master KPI'!$B$5:$G$100,6,FALSE)="Kumulatif",INDEX('06_Target KPI'!$E$5:$P$100,MATCH(F160,'06_Target KPI'!$B$5:$B$100,0),MATCH(A160,'06_Target KPI'!$E$4:$P$4,0))*DAY(C160)/DAY(EOMONTH(C160,0)),INDEX('06_Target KPI'!$E$5:$P$100,MATCH(F160,'06_Target KPI'!$B$5:$B$100,0),MATCH(A160,'06_Target KPI'!$E$4:$P$4,0)))),0)</f>
        <v>0</v>
      </c>
      <c r="I160" s="24"/>
      <c r="J160" s="27">
        <f>IFERROR(MIN(IF(VLOOKUP(F160,'05_Master KPI'!$B$5:$G$100,5,FALSE)="Lower",H160/I160,I160/H160),1),0)</f>
        <v>0</v>
      </c>
      <c r="K160" s="26">
        <f>IFERROR(VLOOKUP(F160,'05_Master KPI'!$B$5:$G$100,4,FALSE),0)</f>
        <v>0</v>
      </c>
      <c r="L160" s="28">
        <f t="shared" si="2"/>
        <v>0</v>
      </c>
      <c r="M160" s="26" t="str">
        <f>IF(D160="","",IF(J160&gt;='13_Setting'!$H$7,"Tercapai",IF(J160&gt;='13_Setting'!$H$6,"On Track","Tertinggal")))</f>
        <v/>
      </c>
      <c r="N160" s="24"/>
    </row>
    <row r="161" spans="1:14">
      <c r="A161" s="24"/>
      <c r="B161" s="24"/>
      <c r="C161" s="25"/>
      <c r="D161" s="24"/>
      <c r="E161" s="26" t="str">
        <f>IFERROR(VLOOKUP(D161,'04_Master Karyawan'!$A$5:$F$50,2,FALSE),"")</f>
        <v/>
      </c>
      <c r="F161" s="24"/>
      <c r="G161" s="26" t="str">
        <f>IFERROR(VLOOKUP(F161,'05_Master KPI'!$B$5:$G$100,2,FALSE)&amp;" ("&amp;VLOOKUP(F161,'05_Master KPI'!$B$5:$G$100,3,FALSE)&amp;")","")</f>
        <v/>
      </c>
      <c r="H161" s="26">
        <f>IFERROR(IF(B161&lt;&gt;'06_Target KPI'!$B$3,0,IF(VLOOKUP(F161,'05_Master KPI'!$B$5:$G$100,6,FALSE)="Kumulatif",INDEX('06_Target KPI'!$E$5:$P$100,MATCH(F161,'06_Target KPI'!$B$5:$B$100,0),MATCH(A161,'06_Target KPI'!$E$4:$P$4,0))*DAY(C161)/DAY(EOMONTH(C161,0)),INDEX('06_Target KPI'!$E$5:$P$100,MATCH(F161,'06_Target KPI'!$B$5:$B$100,0),MATCH(A161,'06_Target KPI'!$E$4:$P$4,0)))),0)</f>
        <v>0</v>
      </c>
      <c r="I161" s="24"/>
      <c r="J161" s="27">
        <f>IFERROR(MIN(IF(VLOOKUP(F161,'05_Master KPI'!$B$5:$G$100,5,FALSE)="Lower",H161/I161,I161/H161),1),0)</f>
        <v>0</v>
      </c>
      <c r="K161" s="26">
        <f>IFERROR(VLOOKUP(F161,'05_Master KPI'!$B$5:$G$100,4,FALSE),0)</f>
        <v>0</v>
      </c>
      <c r="L161" s="28">
        <f t="shared" si="2"/>
        <v>0</v>
      </c>
      <c r="M161" s="26" t="str">
        <f>IF(D161="","",IF(J161&gt;='13_Setting'!$H$7,"Tercapai",IF(J161&gt;='13_Setting'!$H$6,"On Track","Tertinggal")))</f>
        <v/>
      </c>
      <c r="N161" s="24"/>
    </row>
    <row r="162" spans="1:14">
      <c r="A162" s="24"/>
      <c r="B162" s="24"/>
      <c r="C162" s="25"/>
      <c r="D162" s="24"/>
      <c r="E162" s="26" t="str">
        <f>IFERROR(VLOOKUP(D162,'04_Master Karyawan'!$A$5:$F$50,2,FALSE),"")</f>
        <v/>
      </c>
      <c r="F162" s="24"/>
      <c r="G162" s="26" t="str">
        <f>IFERROR(VLOOKUP(F162,'05_Master KPI'!$B$5:$G$100,2,FALSE)&amp;" ("&amp;VLOOKUP(F162,'05_Master KPI'!$B$5:$G$100,3,FALSE)&amp;")","")</f>
        <v/>
      </c>
      <c r="H162" s="26">
        <f>IFERROR(IF(B162&lt;&gt;'06_Target KPI'!$B$3,0,IF(VLOOKUP(F162,'05_Master KPI'!$B$5:$G$100,6,FALSE)="Kumulatif",INDEX('06_Target KPI'!$E$5:$P$100,MATCH(F162,'06_Target KPI'!$B$5:$B$100,0),MATCH(A162,'06_Target KPI'!$E$4:$P$4,0))*DAY(C162)/DAY(EOMONTH(C162,0)),INDEX('06_Target KPI'!$E$5:$P$100,MATCH(F162,'06_Target KPI'!$B$5:$B$100,0),MATCH(A162,'06_Target KPI'!$E$4:$P$4,0)))),0)</f>
        <v>0</v>
      </c>
      <c r="I162" s="24"/>
      <c r="J162" s="27">
        <f>IFERROR(MIN(IF(VLOOKUP(F162,'05_Master KPI'!$B$5:$G$100,5,FALSE)="Lower",H162/I162,I162/H162),1),0)</f>
        <v>0</v>
      </c>
      <c r="K162" s="26">
        <f>IFERROR(VLOOKUP(F162,'05_Master KPI'!$B$5:$G$100,4,FALSE),0)</f>
        <v>0</v>
      </c>
      <c r="L162" s="28">
        <f t="shared" si="2"/>
        <v>0</v>
      </c>
      <c r="M162" s="26" t="str">
        <f>IF(D162="","",IF(J162&gt;='13_Setting'!$H$7,"Tercapai",IF(J162&gt;='13_Setting'!$H$6,"On Track","Tertinggal")))</f>
        <v/>
      </c>
      <c r="N162" s="24"/>
    </row>
    <row r="163" spans="1:14">
      <c r="A163" s="24"/>
      <c r="B163" s="24"/>
      <c r="C163" s="25"/>
      <c r="D163" s="24"/>
      <c r="E163" s="26" t="str">
        <f>IFERROR(VLOOKUP(D163,'04_Master Karyawan'!$A$5:$F$50,2,FALSE),"")</f>
        <v/>
      </c>
      <c r="F163" s="24"/>
      <c r="G163" s="26" t="str">
        <f>IFERROR(VLOOKUP(F163,'05_Master KPI'!$B$5:$G$100,2,FALSE)&amp;" ("&amp;VLOOKUP(F163,'05_Master KPI'!$B$5:$G$100,3,FALSE)&amp;")","")</f>
        <v/>
      </c>
      <c r="H163" s="26">
        <f>IFERROR(IF(B163&lt;&gt;'06_Target KPI'!$B$3,0,IF(VLOOKUP(F163,'05_Master KPI'!$B$5:$G$100,6,FALSE)="Kumulatif",INDEX('06_Target KPI'!$E$5:$P$100,MATCH(F163,'06_Target KPI'!$B$5:$B$100,0),MATCH(A163,'06_Target KPI'!$E$4:$P$4,0))*DAY(C163)/DAY(EOMONTH(C163,0)),INDEX('06_Target KPI'!$E$5:$P$100,MATCH(F163,'06_Target KPI'!$B$5:$B$100,0),MATCH(A163,'06_Target KPI'!$E$4:$P$4,0)))),0)</f>
        <v>0</v>
      </c>
      <c r="I163" s="24"/>
      <c r="J163" s="27">
        <f>IFERROR(MIN(IF(VLOOKUP(F163,'05_Master KPI'!$B$5:$G$100,5,FALSE)="Lower",H163/I163,I163/H163),1),0)</f>
        <v>0</v>
      </c>
      <c r="K163" s="26">
        <f>IFERROR(VLOOKUP(F163,'05_Master KPI'!$B$5:$G$100,4,FALSE),0)</f>
        <v>0</v>
      </c>
      <c r="L163" s="28">
        <f t="shared" si="2"/>
        <v>0</v>
      </c>
      <c r="M163" s="26" t="str">
        <f>IF(D163="","",IF(J163&gt;='13_Setting'!$H$7,"Tercapai",IF(J163&gt;='13_Setting'!$H$6,"On Track","Tertinggal")))</f>
        <v/>
      </c>
      <c r="N163" s="24"/>
    </row>
    <row r="164" spans="1:14">
      <c r="A164" s="24"/>
      <c r="B164" s="24"/>
      <c r="C164" s="25"/>
      <c r="D164" s="24"/>
      <c r="E164" s="26" t="str">
        <f>IFERROR(VLOOKUP(D164,'04_Master Karyawan'!$A$5:$F$50,2,FALSE),"")</f>
        <v/>
      </c>
      <c r="F164" s="24"/>
      <c r="G164" s="26" t="str">
        <f>IFERROR(VLOOKUP(F164,'05_Master KPI'!$B$5:$G$100,2,FALSE)&amp;" ("&amp;VLOOKUP(F164,'05_Master KPI'!$B$5:$G$100,3,FALSE)&amp;")","")</f>
        <v/>
      </c>
      <c r="H164" s="26">
        <f>IFERROR(IF(B164&lt;&gt;'06_Target KPI'!$B$3,0,IF(VLOOKUP(F164,'05_Master KPI'!$B$5:$G$100,6,FALSE)="Kumulatif",INDEX('06_Target KPI'!$E$5:$P$100,MATCH(F164,'06_Target KPI'!$B$5:$B$100,0),MATCH(A164,'06_Target KPI'!$E$4:$P$4,0))*DAY(C164)/DAY(EOMONTH(C164,0)),INDEX('06_Target KPI'!$E$5:$P$100,MATCH(F164,'06_Target KPI'!$B$5:$B$100,0),MATCH(A164,'06_Target KPI'!$E$4:$P$4,0)))),0)</f>
        <v>0</v>
      </c>
      <c r="I164" s="24"/>
      <c r="J164" s="27">
        <f>IFERROR(MIN(IF(VLOOKUP(F164,'05_Master KPI'!$B$5:$G$100,5,FALSE)="Lower",H164/I164,I164/H164),1),0)</f>
        <v>0</v>
      </c>
      <c r="K164" s="26">
        <f>IFERROR(VLOOKUP(F164,'05_Master KPI'!$B$5:$G$100,4,FALSE),0)</f>
        <v>0</v>
      </c>
      <c r="L164" s="28">
        <f t="shared" si="2"/>
        <v>0</v>
      </c>
      <c r="M164" s="26" t="str">
        <f>IF(D164="","",IF(J164&gt;='13_Setting'!$H$7,"Tercapai",IF(J164&gt;='13_Setting'!$H$6,"On Track","Tertinggal")))</f>
        <v/>
      </c>
      <c r="N164" s="24"/>
    </row>
    <row r="165" spans="1:14">
      <c r="A165" s="24"/>
      <c r="B165" s="24"/>
      <c r="C165" s="25"/>
      <c r="D165" s="24"/>
      <c r="E165" s="26" t="str">
        <f>IFERROR(VLOOKUP(D165,'04_Master Karyawan'!$A$5:$F$50,2,FALSE),"")</f>
        <v/>
      </c>
      <c r="F165" s="24"/>
      <c r="G165" s="26" t="str">
        <f>IFERROR(VLOOKUP(F165,'05_Master KPI'!$B$5:$G$100,2,FALSE)&amp;" ("&amp;VLOOKUP(F165,'05_Master KPI'!$B$5:$G$100,3,FALSE)&amp;")","")</f>
        <v/>
      </c>
      <c r="H165" s="26">
        <f>IFERROR(IF(B165&lt;&gt;'06_Target KPI'!$B$3,0,IF(VLOOKUP(F165,'05_Master KPI'!$B$5:$G$100,6,FALSE)="Kumulatif",INDEX('06_Target KPI'!$E$5:$P$100,MATCH(F165,'06_Target KPI'!$B$5:$B$100,0),MATCH(A165,'06_Target KPI'!$E$4:$P$4,0))*DAY(C165)/DAY(EOMONTH(C165,0)),INDEX('06_Target KPI'!$E$5:$P$100,MATCH(F165,'06_Target KPI'!$B$5:$B$100,0),MATCH(A165,'06_Target KPI'!$E$4:$P$4,0)))),0)</f>
        <v>0</v>
      </c>
      <c r="I165" s="24"/>
      <c r="J165" s="27">
        <f>IFERROR(MIN(IF(VLOOKUP(F165,'05_Master KPI'!$B$5:$G$100,5,FALSE)="Lower",H165/I165,I165/H165),1),0)</f>
        <v>0</v>
      </c>
      <c r="K165" s="26">
        <f>IFERROR(VLOOKUP(F165,'05_Master KPI'!$B$5:$G$100,4,FALSE),0)</f>
        <v>0</v>
      </c>
      <c r="L165" s="28">
        <f t="shared" si="2"/>
        <v>0</v>
      </c>
      <c r="M165" s="26" t="str">
        <f>IF(D165="","",IF(J165&gt;='13_Setting'!$H$7,"Tercapai",IF(J165&gt;='13_Setting'!$H$6,"On Track","Tertinggal")))</f>
        <v/>
      </c>
      <c r="N165" s="24"/>
    </row>
    <row r="166" spans="1:14">
      <c r="A166" s="24"/>
      <c r="B166" s="24"/>
      <c r="C166" s="25"/>
      <c r="D166" s="24"/>
      <c r="E166" s="26" t="str">
        <f>IFERROR(VLOOKUP(D166,'04_Master Karyawan'!$A$5:$F$50,2,FALSE),"")</f>
        <v/>
      </c>
      <c r="F166" s="24"/>
      <c r="G166" s="26" t="str">
        <f>IFERROR(VLOOKUP(F166,'05_Master KPI'!$B$5:$G$100,2,FALSE)&amp;" ("&amp;VLOOKUP(F166,'05_Master KPI'!$B$5:$G$100,3,FALSE)&amp;")","")</f>
        <v/>
      </c>
      <c r="H166" s="26">
        <f>IFERROR(IF(B166&lt;&gt;'06_Target KPI'!$B$3,0,IF(VLOOKUP(F166,'05_Master KPI'!$B$5:$G$100,6,FALSE)="Kumulatif",INDEX('06_Target KPI'!$E$5:$P$100,MATCH(F166,'06_Target KPI'!$B$5:$B$100,0),MATCH(A166,'06_Target KPI'!$E$4:$P$4,0))*DAY(C166)/DAY(EOMONTH(C166,0)),INDEX('06_Target KPI'!$E$5:$P$100,MATCH(F166,'06_Target KPI'!$B$5:$B$100,0),MATCH(A166,'06_Target KPI'!$E$4:$P$4,0)))),0)</f>
        <v>0</v>
      </c>
      <c r="I166" s="24"/>
      <c r="J166" s="27">
        <f>IFERROR(MIN(IF(VLOOKUP(F166,'05_Master KPI'!$B$5:$G$100,5,FALSE)="Lower",H166/I166,I166/H166),1),0)</f>
        <v>0</v>
      </c>
      <c r="K166" s="26">
        <f>IFERROR(VLOOKUP(F166,'05_Master KPI'!$B$5:$G$100,4,FALSE),0)</f>
        <v>0</v>
      </c>
      <c r="L166" s="28">
        <f t="shared" si="2"/>
        <v>0</v>
      </c>
      <c r="M166" s="26" t="str">
        <f>IF(D166="","",IF(J166&gt;='13_Setting'!$H$7,"Tercapai",IF(J166&gt;='13_Setting'!$H$6,"On Track","Tertinggal")))</f>
        <v/>
      </c>
      <c r="N166" s="24"/>
    </row>
    <row r="167" spans="1:14">
      <c r="A167" s="24"/>
      <c r="B167" s="24"/>
      <c r="C167" s="25"/>
      <c r="D167" s="24"/>
      <c r="E167" s="26" t="str">
        <f>IFERROR(VLOOKUP(D167,'04_Master Karyawan'!$A$5:$F$50,2,FALSE),"")</f>
        <v/>
      </c>
      <c r="F167" s="24"/>
      <c r="G167" s="26" t="str">
        <f>IFERROR(VLOOKUP(F167,'05_Master KPI'!$B$5:$G$100,2,FALSE)&amp;" ("&amp;VLOOKUP(F167,'05_Master KPI'!$B$5:$G$100,3,FALSE)&amp;")","")</f>
        <v/>
      </c>
      <c r="H167" s="26">
        <f>IFERROR(IF(B167&lt;&gt;'06_Target KPI'!$B$3,0,IF(VLOOKUP(F167,'05_Master KPI'!$B$5:$G$100,6,FALSE)="Kumulatif",INDEX('06_Target KPI'!$E$5:$P$100,MATCH(F167,'06_Target KPI'!$B$5:$B$100,0),MATCH(A167,'06_Target KPI'!$E$4:$P$4,0))*DAY(C167)/DAY(EOMONTH(C167,0)),INDEX('06_Target KPI'!$E$5:$P$100,MATCH(F167,'06_Target KPI'!$B$5:$B$100,0),MATCH(A167,'06_Target KPI'!$E$4:$P$4,0)))),0)</f>
        <v>0</v>
      </c>
      <c r="I167" s="24"/>
      <c r="J167" s="27">
        <f>IFERROR(MIN(IF(VLOOKUP(F167,'05_Master KPI'!$B$5:$G$100,5,FALSE)="Lower",H167/I167,I167/H167),1),0)</f>
        <v>0</v>
      </c>
      <c r="K167" s="26">
        <f>IFERROR(VLOOKUP(F167,'05_Master KPI'!$B$5:$G$100,4,FALSE),0)</f>
        <v>0</v>
      </c>
      <c r="L167" s="28">
        <f t="shared" si="2"/>
        <v>0</v>
      </c>
      <c r="M167" s="26" t="str">
        <f>IF(D167="","",IF(J167&gt;='13_Setting'!$H$7,"Tercapai",IF(J167&gt;='13_Setting'!$H$6,"On Track","Tertinggal")))</f>
        <v/>
      </c>
      <c r="N167" s="24"/>
    </row>
    <row r="168" spans="1:14">
      <c r="A168" s="24"/>
      <c r="B168" s="24"/>
      <c r="C168" s="25"/>
      <c r="D168" s="24"/>
      <c r="E168" s="26" t="str">
        <f>IFERROR(VLOOKUP(D168,'04_Master Karyawan'!$A$5:$F$50,2,FALSE),"")</f>
        <v/>
      </c>
      <c r="F168" s="24"/>
      <c r="G168" s="26" t="str">
        <f>IFERROR(VLOOKUP(F168,'05_Master KPI'!$B$5:$G$100,2,FALSE)&amp;" ("&amp;VLOOKUP(F168,'05_Master KPI'!$B$5:$G$100,3,FALSE)&amp;")","")</f>
        <v/>
      </c>
      <c r="H168" s="26">
        <f>IFERROR(IF(B168&lt;&gt;'06_Target KPI'!$B$3,0,IF(VLOOKUP(F168,'05_Master KPI'!$B$5:$G$100,6,FALSE)="Kumulatif",INDEX('06_Target KPI'!$E$5:$P$100,MATCH(F168,'06_Target KPI'!$B$5:$B$100,0),MATCH(A168,'06_Target KPI'!$E$4:$P$4,0))*DAY(C168)/DAY(EOMONTH(C168,0)),INDEX('06_Target KPI'!$E$5:$P$100,MATCH(F168,'06_Target KPI'!$B$5:$B$100,0),MATCH(A168,'06_Target KPI'!$E$4:$P$4,0)))),0)</f>
        <v>0</v>
      </c>
      <c r="I168" s="24"/>
      <c r="J168" s="27">
        <f>IFERROR(MIN(IF(VLOOKUP(F168,'05_Master KPI'!$B$5:$G$100,5,FALSE)="Lower",H168/I168,I168/H168),1),0)</f>
        <v>0</v>
      </c>
      <c r="K168" s="26">
        <f>IFERROR(VLOOKUP(F168,'05_Master KPI'!$B$5:$G$100,4,FALSE),0)</f>
        <v>0</v>
      </c>
      <c r="L168" s="28">
        <f t="shared" si="2"/>
        <v>0</v>
      </c>
      <c r="M168" s="26" t="str">
        <f>IF(D168="","",IF(J168&gt;='13_Setting'!$H$7,"Tercapai",IF(J168&gt;='13_Setting'!$H$6,"On Track","Tertinggal")))</f>
        <v/>
      </c>
      <c r="N168" s="24"/>
    </row>
    <row r="169" spans="1:14">
      <c r="A169" s="24"/>
      <c r="B169" s="24"/>
      <c r="C169" s="25"/>
      <c r="D169" s="24"/>
      <c r="E169" s="26" t="str">
        <f>IFERROR(VLOOKUP(D169,'04_Master Karyawan'!$A$5:$F$50,2,FALSE),"")</f>
        <v/>
      </c>
      <c r="F169" s="24"/>
      <c r="G169" s="26" t="str">
        <f>IFERROR(VLOOKUP(F169,'05_Master KPI'!$B$5:$G$100,2,FALSE)&amp;" ("&amp;VLOOKUP(F169,'05_Master KPI'!$B$5:$G$100,3,FALSE)&amp;")","")</f>
        <v/>
      </c>
      <c r="H169" s="26">
        <f>IFERROR(IF(B169&lt;&gt;'06_Target KPI'!$B$3,0,IF(VLOOKUP(F169,'05_Master KPI'!$B$5:$G$100,6,FALSE)="Kumulatif",INDEX('06_Target KPI'!$E$5:$P$100,MATCH(F169,'06_Target KPI'!$B$5:$B$100,0),MATCH(A169,'06_Target KPI'!$E$4:$P$4,0))*DAY(C169)/DAY(EOMONTH(C169,0)),INDEX('06_Target KPI'!$E$5:$P$100,MATCH(F169,'06_Target KPI'!$B$5:$B$100,0),MATCH(A169,'06_Target KPI'!$E$4:$P$4,0)))),0)</f>
        <v>0</v>
      </c>
      <c r="I169" s="24"/>
      <c r="J169" s="27">
        <f>IFERROR(MIN(IF(VLOOKUP(F169,'05_Master KPI'!$B$5:$G$100,5,FALSE)="Lower",H169/I169,I169/H169),1),0)</f>
        <v>0</v>
      </c>
      <c r="K169" s="26">
        <f>IFERROR(VLOOKUP(F169,'05_Master KPI'!$B$5:$G$100,4,FALSE),0)</f>
        <v>0</v>
      </c>
      <c r="L169" s="28">
        <f t="shared" si="2"/>
        <v>0</v>
      </c>
      <c r="M169" s="26" t="str">
        <f>IF(D169="","",IF(J169&gt;='13_Setting'!$H$7,"Tercapai",IF(J169&gt;='13_Setting'!$H$6,"On Track","Tertinggal")))</f>
        <v/>
      </c>
      <c r="N169" s="24"/>
    </row>
    <row r="170" spans="1:14">
      <c r="A170" s="24"/>
      <c r="B170" s="24"/>
      <c r="C170" s="25"/>
      <c r="D170" s="24"/>
      <c r="E170" s="26" t="str">
        <f>IFERROR(VLOOKUP(D170,'04_Master Karyawan'!$A$5:$F$50,2,FALSE),"")</f>
        <v/>
      </c>
      <c r="F170" s="24"/>
      <c r="G170" s="26" t="str">
        <f>IFERROR(VLOOKUP(F170,'05_Master KPI'!$B$5:$G$100,2,FALSE)&amp;" ("&amp;VLOOKUP(F170,'05_Master KPI'!$B$5:$G$100,3,FALSE)&amp;")","")</f>
        <v/>
      </c>
      <c r="H170" s="26">
        <f>IFERROR(IF(B170&lt;&gt;'06_Target KPI'!$B$3,0,IF(VLOOKUP(F170,'05_Master KPI'!$B$5:$G$100,6,FALSE)="Kumulatif",INDEX('06_Target KPI'!$E$5:$P$100,MATCH(F170,'06_Target KPI'!$B$5:$B$100,0),MATCH(A170,'06_Target KPI'!$E$4:$P$4,0))*DAY(C170)/DAY(EOMONTH(C170,0)),INDEX('06_Target KPI'!$E$5:$P$100,MATCH(F170,'06_Target KPI'!$B$5:$B$100,0),MATCH(A170,'06_Target KPI'!$E$4:$P$4,0)))),0)</f>
        <v>0</v>
      </c>
      <c r="I170" s="24"/>
      <c r="J170" s="27">
        <f>IFERROR(MIN(IF(VLOOKUP(F170,'05_Master KPI'!$B$5:$G$100,5,FALSE)="Lower",H170/I170,I170/H170),1),0)</f>
        <v>0</v>
      </c>
      <c r="K170" s="26">
        <f>IFERROR(VLOOKUP(F170,'05_Master KPI'!$B$5:$G$100,4,FALSE),0)</f>
        <v>0</v>
      </c>
      <c r="L170" s="28">
        <f t="shared" si="2"/>
        <v>0</v>
      </c>
      <c r="M170" s="26" t="str">
        <f>IF(D170="","",IF(J170&gt;='13_Setting'!$H$7,"Tercapai",IF(J170&gt;='13_Setting'!$H$6,"On Track","Tertinggal")))</f>
        <v/>
      </c>
      <c r="N170" s="24"/>
    </row>
    <row r="171" spans="1:14">
      <c r="A171" s="24"/>
      <c r="B171" s="24"/>
      <c r="C171" s="25"/>
      <c r="D171" s="24"/>
      <c r="E171" s="26" t="str">
        <f>IFERROR(VLOOKUP(D171,'04_Master Karyawan'!$A$5:$F$50,2,FALSE),"")</f>
        <v/>
      </c>
      <c r="F171" s="24"/>
      <c r="G171" s="26" t="str">
        <f>IFERROR(VLOOKUP(F171,'05_Master KPI'!$B$5:$G$100,2,FALSE)&amp;" ("&amp;VLOOKUP(F171,'05_Master KPI'!$B$5:$G$100,3,FALSE)&amp;")","")</f>
        <v/>
      </c>
      <c r="H171" s="26">
        <f>IFERROR(IF(B171&lt;&gt;'06_Target KPI'!$B$3,0,IF(VLOOKUP(F171,'05_Master KPI'!$B$5:$G$100,6,FALSE)="Kumulatif",INDEX('06_Target KPI'!$E$5:$P$100,MATCH(F171,'06_Target KPI'!$B$5:$B$100,0),MATCH(A171,'06_Target KPI'!$E$4:$P$4,0))*DAY(C171)/DAY(EOMONTH(C171,0)),INDEX('06_Target KPI'!$E$5:$P$100,MATCH(F171,'06_Target KPI'!$B$5:$B$100,0),MATCH(A171,'06_Target KPI'!$E$4:$P$4,0)))),0)</f>
        <v>0</v>
      </c>
      <c r="I171" s="24"/>
      <c r="J171" s="27">
        <f>IFERROR(MIN(IF(VLOOKUP(F171,'05_Master KPI'!$B$5:$G$100,5,FALSE)="Lower",H171/I171,I171/H171),1),0)</f>
        <v>0</v>
      </c>
      <c r="K171" s="26">
        <f>IFERROR(VLOOKUP(F171,'05_Master KPI'!$B$5:$G$100,4,FALSE),0)</f>
        <v>0</v>
      </c>
      <c r="L171" s="28">
        <f t="shared" si="2"/>
        <v>0</v>
      </c>
      <c r="M171" s="26" t="str">
        <f>IF(D171="","",IF(J171&gt;='13_Setting'!$H$7,"Tercapai",IF(J171&gt;='13_Setting'!$H$6,"On Track","Tertinggal")))</f>
        <v/>
      </c>
      <c r="N171" s="24"/>
    </row>
    <row r="172" spans="1:14">
      <c r="A172" s="24"/>
      <c r="B172" s="24"/>
      <c r="C172" s="25"/>
      <c r="D172" s="24"/>
      <c r="E172" s="26" t="str">
        <f>IFERROR(VLOOKUP(D172,'04_Master Karyawan'!$A$5:$F$50,2,FALSE),"")</f>
        <v/>
      </c>
      <c r="F172" s="24"/>
      <c r="G172" s="26" t="str">
        <f>IFERROR(VLOOKUP(F172,'05_Master KPI'!$B$5:$G$100,2,FALSE)&amp;" ("&amp;VLOOKUP(F172,'05_Master KPI'!$B$5:$G$100,3,FALSE)&amp;")","")</f>
        <v/>
      </c>
      <c r="H172" s="26">
        <f>IFERROR(IF(B172&lt;&gt;'06_Target KPI'!$B$3,0,IF(VLOOKUP(F172,'05_Master KPI'!$B$5:$G$100,6,FALSE)="Kumulatif",INDEX('06_Target KPI'!$E$5:$P$100,MATCH(F172,'06_Target KPI'!$B$5:$B$100,0),MATCH(A172,'06_Target KPI'!$E$4:$P$4,0))*DAY(C172)/DAY(EOMONTH(C172,0)),INDEX('06_Target KPI'!$E$5:$P$100,MATCH(F172,'06_Target KPI'!$B$5:$B$100,0),MATCH(A172,'06_Target KPI'!$E$4:$P$4,0)))),0)</f>
        <v>0</v>
      </c>
      <c r="I172" s="24"/>
      <c r="J172" s="27">
        <f>IFERROR(MIN(IF(VLOOKUP(F172,'05_Master KPI'!$B$5:$G$100,5,FALSE)="Lower",H172/I172,I172/H172),1),0)</f>
        <v>0</v>
      </c>
      <c r="K172" s="26">
        <f>IFERROR(VLOOKUP(F172,'05_Master KPI'!$B$5:$G$100,4,FALSE),0)</f>
        <v>0</v>
      </c>
      <c r="L172" s="28">
        <f t="shared" si="2"/>
        <v>0</v>
      </c>
      <c r="M172" s="26" t="str">
        <f>IF(D172="","",IF(J172&gt;='13_Setting'!$H$7,"Tercapai",IF(J172&gt;='13_Setting'!$H$6,"On Track","Tertinggal")))</f>
        <v/>
      </c>
      <c r="N172" s="24"/>
    </row>
    <row r="173" spans="1:14">
      <c r="A173" s="24"/>
      <c r="B173" s="24"/>
      <c r="C173" s="25"/>
      <c r="D173" s="24"/>
      <c r="E173" s="26" t="str">
        <f>IFERROR(VLOOKUP(D173,'04_Master Karyawan'!$A$5:$F$50,2,FALSE),"")</f>
        <v/>
      </c>
      <c r="F173" s="24"/>
      <c r="G173" s="26" t="str">
        <f>IFERROR(VLOOKUP(F173,'05_Master KPI'!$B$5:$G$100,2,FALSE)&amp;" ("&amp;VLOOKUP(F173,'05_Master KPI'!$B$5:$G$100,3,FALSE)&amp;")","")</f>
        <v/>
      </c>
      <c r="H173" s="26">
        <f>IFERROR(IF(B173&lt;&gt;'06_Target KPI'!$B$3,0,IF(VLOOKUP(F173,'05_Master KPI'!$B$5:$G$100,6,FALSE)="Kumulatif",INDEX('06_Target KPI'!$E$5:$P$100,MATCH(F173,'06_Target KPI'!$B$5:$B$100,0),MATCH(A173,'06_Target KPI'!$E$4:$P$4,0))*DAY(C173)/DAY(EOMONTH(C173,0)),INDEX('06_Target KPI'!$E$5:$P$100,MATCH(F173,'06_Target KPI'!$B$5:$B$100,0),MATCH(A173,'06_Target KPI'!$E$4:$P$4,0)))),0)</f>
        <v>0</v>
      </c>
      <c r="I173" s="24"/>
      <c r="J173" s="27">
        <f>IFERROR(MIN(IF(VLOOKUP(F173,'05_Master KPI'!$B$5:$G$100,5,FALSE)="Lower",H173/I173,I173/H173),1),0)</f>
        <v>0</v>
      </c>
      <c r="K173" s="26">
        <f>IFERROR(VLOOKUP(F173,'05_Master KPI'!$B$5:$G$100,4,FALSE),0)</f>
        <v>0</v>
      </c>
      <c r="L173" s="28">
        <f t="shared" si="2"/>
        <v>0</v>
      </c>
      <c r="M173" s="26" t="str">
        <f>IF(D173="","",IF(J173&gt;='13_Setting'!$H$7,"Tercapai",IF(J173&gt;='13_Setting'!$H$6,"On Track","Tertinggal")))</f>
        <v/>
      </c>
      <c r="N173" s="24"/>
    </row>
    <row r="174" spans="1:14">
      <c r="A174" s="24"/>
      <c r="B174" s="24"/>
      <c r="C174" s="25"/>
      <c r="D174" s="24"/>
      <c r="E174" s="26" t="str">
        <f>IFERROR(VLOOKUP(D174,'04_Master Karyawan'!$A$5:$F$50,2,FALSE),"")</f>
        <v/>
      </c>
      <c r="F174" s="24"/>
      <c r="G174" s="26" t="str">
        <f>IFERROR(VLOOKUP(F174,'05_Master KPI'!$B$5:$G$100,2,FALSE)&amp;" ("&amp;VLOOKUP(F174,'05_Master KPI'!$B$5:$G$100,3,FALSE)&amp;")","")</f>
        <v/>
      </c>
      <c r="H174" s="26">
        <f>IFERROR(IF(B174&lt;&gt;'06_Target KPI'!$B$3,0,IF(VLOOKUP(F174,'05_Master KPI'!$B$5:$G$100,6,FALSE)="Kumulatif",INDEX('06_Target KPI'!$E$5:$P$100,MATCH(F174,'06_Target KPI'!$B$5:$B$100,0),MATCH(A174,'06_Target KPI'!$E$4:$P$4,0))*DAY(C174)/DAY(EOMONTH(C174,0)),INDEX('06_Target KPI'!$E$5:$P$100,MATCH(F174,'06_Target KPI'!$B$5:$B$100,0),MATCH(A174,'06_Target KPI'!$E$4:$P$4,0)))),0)</f>
        <v>0</v>
      </c>
      <c r="I174" s="24"/>
      <c r="J174" s="27">
        <f>IFERROR(MIN(IF(VLOOKUP(F174,'05_Master KPI'!$B$5:$G$100,5,FALSE)="Lower",H174/I174,I174/H174),1),0)</f>
        <v>0</v>
      </c>
      <c r="K174" s="26">
        <f>IFERROR(VLOOKUP(F174,'05_Master KPI'!$B$5:$G$100,4,FALSE),0)</f>
        <v>0</v>
      </c>
      <c r="L174" s="28">
        <f t="shared" si="2"/>
        <v>0</v>
      </c>
      <c r="M174" s="26" t="str">
        <f>IF(D174="","",IF(J174&gt;='13_Setting'!$H$7,"Tercapai",IF(J174&gt;='13_Setting'!$H$6,"On Track","Tertinggal")))</f>
        <v/>
      </c>
      <c r="N174" s="24"/>
    </row>
    <row r="175" spans="1:14">
      <c r="A175" s="24"/>
      <c r="B175" s="24"/>
      <c r="C175" s="25"/>
      <c r="D175" s="24"/>
      <c r="E175" s="26" t="str">
        <f>IFERROR(VLOOKUP(D175,'04_Master Karyawan'!$A$5:$F$50,2,FALSE),"")</f>
        <v/>
      </c>
      <c r="F175" s="24"/>
      <c r="G175" s="26" t="str">
        <f>IFERROR(VLOOKUP(F175,'05_Master KPI'!$B$5:$G$100,2,FALSE)&amp;" ("&amp;VLOOKUP(F175,'05_Master KPI'!$B$5:$G$100,3,FALSE)&amp;")","")</f>
        <v/>
      </c>
      <c r="H175" s="26">
        <f>IFERROR(IF(B175&lt;&gt;'06_Target KPI'!$B$3,0,IF(VLOOKUP(F175,'05_Master KPI'!$B$5:$G$100,6,FALSE)="Kumulatif",INDEX('06_Target KPI'!$E$5:$P$100,MATCH(F175,'06_Target KPI'!$B$5:$B$100,0),MATCH(A175,'06_Target KPI'!$E$4:$P$4,0))*DAY(C175)/DAY(EOMONTH(C175,0)),INDEX('06_Target KPI'!$E$5:$P$100,MATCH(F175,'06_Target KPI'!$B$5:$B$100,0),MATCH(A175,'06_Target KPI'!$E$4:$P$4,0)))),0)</f>
        <v>0</v>
      </c>
      <c r="I175" s="24"/>
      <c r="J175" s="27">
        <f>IFERROR(MIN(IF(VLOOKUP(F175,'05_Master KPI'!$B$5:$G$100,5,FALSE)="Lower",H175/I175,I175/H175),1),0)</f>
        <v>0</v>
      </c>
      <c r="K175" s="26">
        <f>IFERROR(VLOOKUP(F175,'05_Master KPI'!$B$5:$G$100,4,FALSE),0)</f>
        <v>0</v>
      </c>
      <c r="L175" s="28">
        <f t="shared" si="2"/>
        <v>0</v>
      </c>
      <c r="M175" s="26" t="str">
        <f>IF(D175="","",IF(J175&gt;='13_Setting'!$H$7,"Tercapai",IF(J175&gt;='13_Setting'!$H$6,"On Track","Tertinggal")))</f>
        <v/>
      </c>
      <c r="N175" s="24"/>
    </row>
    <row r="176" spans="1:14">
      <c r="A176" s="24"/>
      <c r="B176" s="24"/>
      <c r="C176" s="25"/>
      <c r="D176" s="24"/>
      <c r="E176" s="26" t="str">
        <f>IFERROR(VLOOKUP(D176,'04_Master Karyawan'!$A$5:$F$50,2,FALSE),"")</f>
        <v/>
      </c>
      <c r="F176" s="24"/>
      <c r="G176" s="26" t="str">
        <f>IFERROR(VLOOKUP(F176,'05_Master KPI'!$B$5:$G$100,2,FALSE)&amp;" ("&amp;VLOOKUP(F176,'05_Master KPI'!$B$5:$G$100,3,FALSE)&amp;")","")</f>
        <v/>
      </c>
      <c r="H176" s="26">
        <f>IFERROR(IF(B176&lt;&gt;'06_Target KPI'!$B$3,0,IF(VLOOKUP(F176,'05_Master KPI'!$B$5:$G$100,6,FALSE)="Kumulatif",INDEX('06_Target KPI'!$E$5:$P$100,MATCH(F176,'06_Target KPI'!$B$5:$B$100,0),MATCH(A176,'06_Target KPI'!$E$4:$P$4,0))*DAY(C176)/DAY(EOMONTH(C176,0)),INDEX('06_Target KPI'!$E$5:$P$100,MATCH(F176,'06_Target KPI'!$B$5:$B$100,0),MATCH(A176,'06_Target KPI'!$E$4:$P$4,0)))),0)</f>
        <v>0</v>
      </c>
      <c r="I176" s="24"/>
      <c r="J176" s="27">
        <f>IFERROR(MIN(IF(VLOOKUP(F176,'05_Master KPI'!$B$5:$G$100,5,FALSE)="Lower",H176/I176,I176/H176),1),0)</f>
        <v>0</v>
      </c>
      <c r="K176" s="26">
        <f>IFERROR(VLOOKUP(F176,'05_Master KPI'!$B$5:$G$100,4,FALSE),0)</f>
        <v>0</v>
      </c>
      <c r="L176" s="28">
        <f t="shared" si="2"/>
        <v>0</v>
      </c>
      <c r="M176" s="26" t="str">
        <f>IF(D176="","",IF(J176&gt;='13_Setting'!$H$7,"Tercapai",IF(J176&gt;='13_Setting'!$H$6,"On Track","Tertinggal")))</f>
        <v/>
      </c>
      <c r="N176" s="24"/>
    </row>
    <row r="177" spans="1:14">
      <c r="A177" s="24"/>
      <c r="B177" s="24"/>
      <c r="C177" s="25"/>
      <c r="D177" s="24"/>
      <c r="E177" s="26" t="str">
        <f>IFERROR(VLOOKUP(D177,'04_Master Karyawan'!$A$5:$F$50,2,FALSE),"")</f>
        <v/>
      </c>
      <c r="F177" s="24"/>
      <c r="G177" s="26" t="str">
        <f>IFERROR(VLOOKUP(F177,'05_Master KPI'!$B$5:$G$100,2,FALSE)&amp;" ("&amp;VLOOKUP(F177,'05_Master KPI'!$B$5:$G$100,3,FALSE)&amp;")","")</f>
        <v/>
      </c>
      <c r="H177" s="26">
        <f>IFERROR(IF(B177&lt;&gt;'06_Target KPI'!$B$3,0,IF(VLOOKUP(F177,'05_Master KPI'!$B$5:$G$100,6,FALSE)="Kumulatif",INDEX('06_Target KPI'!$E$5:$P$100,MATCH(F177,'06_Target KPI'!$B$5:$B$100,0),MATCH(A177,'06_Target KPI'!$E$4:$P$4,0))*DAY(C177)/DAY(EOMONTH(C177,0)),INDEX('06_Target KPI'!$E$5:$P$100,MATCH(F177,'06_Target KPI'!$B$5:$B$100,0),MATCH(A177,'06_Target KPI'!$E$4:$P$4,0)))),0)</f>
        <v>0</v>
      </c>
      <c r="I177" s="24"/>
      <c r="J177" s="27">
        <f>IFERROR(MIN(IF(VLOOKUP(F177,'05_Master KPI'!$B$5:$G$100,5,FALSE)="Lower",H177/I177,I177/H177),1),0)</f>
        <v>0</v>
      </c>
      <c r="K177" s="26">
        <f>IFERROR(VLOOKUP(F177,'05_Master KPI'!$B$5:$G$100,4,FALSE),0)</f>
        <v>0</v>
      </c>
      <c r="L177" s="28">
        <f t="shared" si="2"/>
        <v>0</v>
      </c>
      <c r="M177" s="26" t="str">
        <f>IF(D177="","",IF(J177&gt;='13_Setting'!$H$7,"Tercapai",IF(J177&gt;='13_Setting'!$H$6,"On Track","Tertinggal")))</f>
        <v/>
      </c>
      <c r="N177" s="24"/>
    </row>
    <row r="178" spans="1:14">
      <c r="A178" s="24"/>
      <c r="B178" s="24"/>
      <c r="C178" s="25"/>
      <c r="D178" s="24"/>
      <c r="E178" s="26" t="str">
        <f>IFERROR(VLOOKUP(D178,'04_Master Karyawan'!$A$5:$F$50,2,FALSE),"")</f>
        <v/>
      </c>
      <c r="F178" s="24"/>
      <c r="G178" s="26" t="str">
        <f>IFERROR(VLOOKUP(F178,'05_Master KPI'!$B$5:$G$100,2,FALSE)&amp;" ("&amp;VLOOKUP(F178,'05_Master KPI'!$B$5:$G$100,3,FALSE)&amp;")","")</f>
        <v/>
      </c>
      <c r="H178" s="26">
        <f>IFERROR(IF(B178&lt;&gt;'06_Target KPI'!$B$3,0,IF(VLOOKUP(F178,'05_Master KPI'!$B$5:$G$100,6,FALSE)="Kumulatif",INDEX('06_Target KPI'!$E$5:$P$100,MATCH(F178,'06_Target KPI'!$B$5:$B$100,0),MATCH(A178,'06_Target KPI'!$E$4:$P$4,0))*DAY(C178)/DAY(EOMONTH(C178,0)),INDEX('06_Target KPI'!$E$5:$P$100,MATCH(F178,'06_Target KPI'!$B$5:$B$100,0),MATCH(A178,'06_Target KPI'!$E$4:$P$4,0)))),0)</f>
        <v>0</v>
      </c>
      <c r="I178" s="24"/>
      <c r="J178" s="27">
        <f>IFERROR(MIN(IF(VLOOKUP(F178,'05_Master KPI'!$B$5:$G$100,5,FALSE)="Lower",H178/I178,I178/H178),1),0)</f>
        <v>0</v>
      </c>
      <c r="K178" s="26">
        <f>IFERROR(VLOOKUP(F178,'05_Master KPI'!$B$5:$G$100,4,FALSE),0)</f>
        <v>0</v>
      </c>
      <c r="L178" s="28">
        <f t="shared" si="2"/>
        <v>0</v>
      </c>
      <c r="M178" s="26" t="str">
        <f>IF(D178="","",IF(J178&gt;='13_Setting'!$H$7,"Tercapai",IF(J178&gt;='13_Setting'!$H$6,"On Track","Tertinggal")))</f>
        <v/>
      </c>
      <c r="N178" s="24"/>
    </row>
    <row r="179" spans="1:14">
      <c r="A179" s="24"/>
      <c r="B179" s="24"/>
      <c r="C179" s="25"/>
      <c r="D179" s="24"/>
      <c r="E179" s="26" t="str">
        <f>IFERROR(VLOOKUP(D179,'04_Master Karyawan'!$A$5:$F$50,2,FALSE),"")</f>
        <v/>
      </c>
      <c r="F179" s="24"/>
      <c r="G179" s="26" t="str">
        <f>IFERROR(VLOOKUP(F179,'05_Master KPI'!$B$5:$G$100,2,FALSE)&amp;" ("&amp;VLOOKUP(F179,'05_Master KPI'!$B$5:$G$100,3,FALSE)&amp;")","")</f>
        <v/>
      </c>
      <c r="H179" s="26">
        <f>IFERROR(IF(B179&lt;&gt;'06_Target KPI'!$B$3,0,IF(VLOOKUP(F179,'05_Master KPI'!$B$5:$G$100,6,FALSE)="Kumulatif",INDEX('06_Target KPI'!$E$5:$P$100,MATCH(F179,'06_Target KPI'!$B$5:$B$100,0),MATCH(A179,'06_Target KPI'!$E$4:$P$4,0))*DAY(C179)/DAY(EOMONTH(C179,0)),INDEX('06_Target KPI'!$E$5:$P$100,MATCH(F179,'06_Target KPI'!$B$5:$B$100,0),MATCH(A179,'06_Target KPI'!$E$4:$P$4,0)))),0)</f>
        <v>0</v>
      </c>
      <c r="I179" s="24"/>
      <c r="J179" s="27">
        <f>IFERROR(MIN(IF(VLOOKUP(F179,'05_Master KPI'!$B$5:$G$100,5,FALSE)="Lower",H179/I179,I179/H179),1),0)</f>
        <v>0</v>
      </c>
      <c r="K179" s="26">
        <f>IFERROR(VLOOKUP(F179,'05_Master KPI'!$B$5:$G$100,4,FALSE),0)</f>
        <v>0</v>
      </c>
      <c r="L179" s="28">
        <f t="shared" si="2"/>
        <v>0</v>
      </c>
      <c r="M179" s="26" t="str">
        <f>IF(D179="","",IF(J179&gt;='13_Setting'!$H$7,"Tercapai",IF(J179&gt;='13_Setting'!$H$6,"On Track","Tertinggal")))</f>
        <v/>
      </c>
      <c r="N179" s="24"/>
    </row>
    <row r="180" spans="1:14">
      <c r="A180" s="24"/>
      <c r="B180" s="24"/>
      <c r="C180" s="25"/>
      <c r="D180" s="24"/>
      <c r="E180" s="26" t="str">
        <f>IFERROR(VLOOKUP(D180,'04_Master Karyawan'!$A$5:$F$50,2,FALSE),"")</f>
        <v/>
      </c>
      <c r="F180" s="24"/>
      <c r="G180" s="26" t="str">
        <f>IFERROR(VLOOKUP(F180,'05_Master KPI'!$B$5:$G$100,2,FALSE)&amp;" ("&amp;VLOOKUP(F180,'05_Master KPI'!$B$5:$G$100,3,FALSE)&amp;")","")</f>
        <v/>
      </c>
      <c r="H180" s="26">
        <f>IFERROR(IF(B180&lt;&gt;'06_Target KPI'!$B$3,0,IF(VLOOKUP(F180,'05_Master KPI'!$B$5:$G$100,6,FALSE)="Kumulatif",INDEX('06_Target KPI'!$E$5:$P$100,MATCH(F180,'06_Target KPI'!$B$5:$B$100,0),MATCH(A180,'06_Target KPI'!$E$4:$P$4,0))*DAY(C180)/DAY(EOMONTH(C180,0)),INDEX('06_Target KPI'!$E$5:$P$100,MATCH(F180,'06_Target KPI'!$B$5:$B$100,0),MATCH(A180,'06_Target KPI'!$E$4:$P$4,0)))),0)</f>
        <v>0</v>
      </c>
      <c r="I180" s="24"/>
      <c r="J180" s="27">
        <f>IFERROR(MIN(IF(VLOOKUP(F180,'05_Master KPI'!$B$5:$G$100,5,FALSE)="Lower",H180/I180,I180/H180),1),0)</f>
        <v>0</v>
      </c>
      <c r="K180" s="26">
        <f>IFERROR(VLOOKUP(F180,'05_Master KPI'!$B$5:$G$100,4,FALSE),0)</f>
        <v>0</v>
      </c>
      <c r="L180" s="28">
        <f t="shared" si="2"/>
        <v>0</v>
      </c>
      <c r="M180" s="26" t="str">
        <f>IF(D180="","",IF(J180&gt;='13_Setting'!$H$7,"Tercapai",IF(J180&gt;='13_Setting'!$H$6,"On Track","Tertinggal")))</f>
        <v/>
      </c>
      <c r="N180" s="24"/>
    </row>
    <row r="181" spans="1:14">
      <c r="A181" s="24"/>
      <c r="B181" s="24"/>
      <c r="C181" s="25"/>
      <c r="D181" s="24"/>
      <c r="E181" s="26" t="str">
        <f>IFERROR(VLOOKUP(D181,'04_Master Karyawan'!$A$5:$F$50,2,FALSE),"")</f>
        <v/>
      </c>
      <c r="F181" s="24"/>
      <c r="G181" s="26" t="str">
        <f>IFERROR(VLOOKUP(F181,'05_Master KPI'!$B$5:$G$100,2,FALSE)&amp;" ("&amp;VLOOKUP(F181,'05_Master KPI'!$B$5:$G$100,3,FALSE)&amp;")","")</f>
        <v/>
      </c>
      <c r="H181" s="26">
        <f>IFERROR(IF(B181&lt;&gt;'06_Target KPI'!$B$3,0,IF(VLOOKUP(F181,'05_Master KPI'!$B$5:$G$100,6,FALSE)="Kumulatif",INDEX('06_Target KPI'!$E$5:$P$100,MATCH(F181,'06_Target KPI'!$B$5:$B$100,0),MATCH(A181,'06_Target KPI'!$E$4:$P$4,0))*DAY(C181)/DAY(EOMONTH(C181,0)),INDEX('06_Target KPI'!$E$5:$P$100,MATCH(F181,'06_Target KPI'!$B$5:$B$100,0),MATCH(A181,'06_Target KPI'!$E$4:$P$4,0)))),0)</f>
        <v>0</v>
      </c>
      <c r="I181" s="24"/>
      <c r="J181" s="27">
        <f>IFERROR(MIN(IF(VLOOKUP(F181,'05_Master KPI'!$B$5:$G$100,5,FALSE)="Lower",H181/I181,I181/H181),1),0)</f>
        <v>0</v>
      </c>
      <c r="K181" s="26">
        <f>IFERROR(VLOOKUP(F181,'05_Master KPI'!$B$5:$G$100,4,FALSE),0)</f>
        <v>0</v>
      </c>
      <c r="L181" s="28">
        <f t="shared" si="2"/>
        <v>0</v>
      </c>
      <c r="M181" s="26" t="str">
        <f>IF(D181="","",IF(J181&gt;='13_Setting'!$H$7,"Tercapai",IF(J181&gt;='13_Setting'!$H$6,"On Track","Tertinggal")))</f>
        <v/>
      </c>
      <c r="N181" s="24"/>
    </row>
    <row r="182" spans="1:14">
      <c r="A182" s="24"/>
      <c r="B182" s="24"/>
      <c r="C182" s="25"/>
      <c r="D182" s="24"/>
      <c r="E182" s="26" t="str">
        <f>IFERROR(VLOOKUP(D182,'04_Master Karyawan'!$A$5:$F$50,2,FALSE),"")</f>
        <v/>
      </c>
      <c r="F182" s="24"/>
      <c r="G182" s="26" t="str">
        <f>IFERROR(VLOOKUP(F182,'05_Master KPI'!$B$5:$G$100,2,FALSE)&amp;" ("&amp;VLOOKUP(F182,'05_Master KPI'!$B$5:$G$100,3,FALSE)&amp;")","")</f>
        <v/>
      </c>
      <c r="H182" s="26">
        <f>IFERROR(IF(B182&lt;&gt;'06_Target KPI'!$B$3,0,IF(VLOOKUP(F182,'05_Master KPI'!$B$5:$G$100,6,FALSE)="Kumulatif",INDEX('06_Target KPI'!$E$5:$P$100,MATCH(F182,'06_Target KPI'!$B$5:$B$100,0),MATCH(A182,'06_Target KPI'!$E$4:$P$4,0))*DAY(C182)/DAY(EOMONTH(C182,0)),INDEX('06_Target KPI'!$E$5:$P$100,MATCH(F182,'06_Target KPI'!$B$5:$B$100,0),MATCH(A182,'06_Target KPI'!$E$4:$P$4,0)))),0)</f>
        <v>0</v>
      </c>
      <c r="I182" s="24"/>
      <c r="J182" s="27">
        <f>IFERROR(MIN(IF(VLOOKUP(F182,'05_Master KPI'!$B$5:$G$100,5,FALSE)="Lower",H182/I182,I182/H182),1),0)</f>
        <v>0</v>
      </c>
      <c r="K182" s="26">
        <f>IFERROR(VLOOKUP(F182,'05_Master KPI'!$B$5:$G$100,4,FALSE),0)</f>
        <v>0</v>
      </c>
      <c r="L182" s="28">
        <f t="shared" si="2"/>
        <v>0</v>
      </c>
      <c r="M182" s="26" t="str">
        <f>IF(D182="","",IF(J182&gt;='13_Setting'!$H$7,"Tercapai",IF(J182&gt;='13_Setting'!$H$6,"On Track","Tertinggal")))</f>
        <v/>
      </c>
      <c r="N182" s="24"/>
    </row>
    <row r="183" spans="1:14">
      <c r="A183" s="24"/>
      <c r="B183" s="24"/>
      <c r="C183" s="25"/>
      <c r="D183" s="24"/>
      <c r="E183" s="26" t="str">
        <f>IFERROR(VLOOKUP(D183,'04_Master Karyawan'!$A$5:$F$50,2,FALSE),"")</f>
        <v/>
      </c>
      <c r="F183" s="24"/>
      <c r="G183" s="26" t="str">
        <f>IFERROR(VLOOKUP(F183,'05_Master KPI'!$B$5:$G$100,2,FALSE)&amp;" ("&amp;VLOOKUP(F183,'05_Master KPI'!$B$5:$G$100,3,FALSE)&amp;")","")</f>
        <v/>
      </c>
      <c r="H183" s="26">
        <f>IFERROR(IF(B183&lt;&gt;'06_Target KPI'!$B$3,0,IF(VLOOKUP(F183,'05_Master KPI'!$B$5:$G$100,6,FALSE)="Kumulatif",INDEX('06_Target KPI'!$E$5:$P$100,MATCH(F183,'06_Target KPI'!$B$5:$B$100,0),MATCH(A183,'06_Target KPI'!$E$4:$P$4,0))*DAY(C183)/DAY(EOMONTH(C183,0)),INDEX('06_Target KPI'!$E$5:$P$100,MATCH(F183,'06_Target KPI'!$B$5:$B$100,0),MATCH(A183,'06_Target KPI'!$E$4:$P$4,0)))),0)</f>
        <v>0</v>
      </c>
      <c r="I183" s="24"/>
      <c r="J183" s="27">
        <f>IFERROR(MIN(IF(VLOOKUP(F183,'05_Master KPI'!$B$5:$G$100,5,FALSE)="Lower",H183/I183,I183/H183),1),0)</f>
        <v>0</v>
      </c>
      <c r="K183" s="26">
        <f>IFERROR(VLOOKUP(F183,'05_Master KPI'!$B$5:$G$100,4,FALSE),0)</f>
        <v>0</v>
      </c>
      <c r="L183" s="28">
        <f t="shared" si="2"/>
        <v>0</v>
      </c>
      <c r="M183" s="26" t="str">
        <f>IF(D183="","",IF(J183&gt;='13_Setting'!$H$7,"Tercapai",IF(J183&gt;='13_Setting'!$H$6,"On Track","Tertinggal")))</f>
        <v/>
      </c>
      <c r="N183" s="24"/>
    </row>
    <row r="184" spans="1:14">
      <c r="A184" s="24"/>
      <c r="B184" s="24"/>
      <c r="C184" s="25"/>
      <c r="D184" s="24"/>
      <c r="E184" s="26" t="str">
        <f>IFERROR(VLOOKUP(D184,'04_Master Karyawan'!$A$5:$F$50,2,FALSE),"")</f>
        <v/>
      </c>
      <c r="F184" s="24"/>
      <c r="G184" s="26" t="str">
        <f>IFERROR(VLOOKUP(F184,'05_Master KPI'!$B$5:$G$100,2,FALSE)&amp;" ("&amp;VLOOKUP(F184,'05_Master KPI'!$B$5:$G$100,3,FALSE)&amp;")","")</f>
        <v/>
      </c>
      <c r="H184" s="26">
        <f>IFERROR(IF(B184&lt;&gt;'06_Target KPI'!$B$3,0,IF(VLOOKUP(F184,'05_Master KPI'!$B$5:$G$100,6,FALSE)="Kumulatif",INDEX('06_Target KPI'!$E$5:$P$100,MATCH(F184,'06_Target KPI'!$B$5:$B$100,0),MATCH(A184,'06_Target KPI'!$E$4:$P$4,0))*DAY(C184)/DAY(EOMONTH(C184,0)),INDEX('06_Target KPI'!$E$5:$P$100,MATCH(F184,'06_Target KPI'!$B$5:$B$100,0),MATCH(A184,'06_Target KPI'!$E$4:$P$4,0)))),0)</f>
        <v>0</v>
      </c>
      <c r="I184" s="24"/>
      <c r="J184" s="27">
        <f>IFERROR(MIN(IF(VLOOKUP(F184,'05_Master KPI'!$B$5:$G$100,5,FALSE)="Lower",H184/I184,I184/H184),1),0)</f>
        <v>0</v>
      </c>
      <c r="K184" s="26">
        <f>IFERROR(VLOOKUP(F184,'05_Master KPI'!$B$5:$G$100,4,FALSE),0)</f>
        <v>0</v>
      </c>
      <c r="L184" s="28">
        <f t="shared" si="2"/>
        <v>0</v>
      </c>
      <c r="M184" s="26" t="str">
        <f>IF(D184="","",IF(J184&gt;='13_Setting'!$H$7,"Tercapai",IF(J184&gt;='13_Setting'!$H$6,"On Track","Tertinggal")))</f>
        <v/>
      </c>
      <c r="N184" s="24"/>
    </row>
    <row r="185" spans="1:14">
      <c r="A185" s="24"/>
      <c r="B185" s="24"/>
      <c r="C185" s="25"/>
      <c r="D185" s="24"/>
      <c r="E185" s="26" t="str">
        <f>IFERROR(VLOOKUP(D185,'04_Master Karyawan'!$A$5:$F$50,2,FALSE),"")</f>
        <v/>
      </c>
      <c r="F185" s="24"/>
      <c r="G185" s="26" t="str">
        <f>IFERROR(VLOOKUP(F185,'05_Master KPI'!$B$5:$G$100,2,FALSE)&amp;" ("&amp;VLOOKUP(F185,'05_Master KPI'!$B$5:$G$100,3,FALSE)&amp;")","")</f>
        <v/>
      </c>
      <c r="H185" s="26">
        <f>IFERROR(IF(B185&lt;&gt;'06_Target KPI'!$B$3,0,IF(VLOOKUP(F185,'05_Master KPI'!$B$5:$G$100,6,FALSE)="Kumulatif",INDEX('06_Target KPI'!$E$5:$P$100,MATCH(F185,'06_Target KPI'!$B$5:$B$100,0),MATCH(A185,'06_Target KPI'!$E$4:$P$4,0))*DAY(C185)/DAY(EOMONTH(C185,0)),INDEX('06_Target KPI'!$E$5:$P$100,MATCH(F185,'06_Target KPI'!$B$5:$B$100,0),MATCH(A185,'06_Target KPI'!$E$4:$P$4,0)))),0)</f>
        <v>0</v>
      </c>
      <c r="I185" s="24"/>
      <c r="J185" s="27">
        <f>IFERROR(MIN(IF(VLOOKUP(F185,'05_Master KPI'!$B$5:$G$100,5,FALSE)="Lower",H185/I185,I185/H185),1),0)</f>
        <v>0</v>
      </c>
      <c r="K185" s="26">
        <f>IFERROR(VLOOKUP(F185,'05_Master KPI'!$B$5:$G$100,4,FALSE),0)</f>
        <v>0</v>
      </c>
      <c r="L185" s="28">
        <f t="shared" si="2"/>
        <v>0</v>
      </c>
      <c r="M185" s="26" t="str">
        <f>IF(D185="","",IF(J185&gt;='13_Setting'!$H$7,"Tercapai",IF(J185&gt;='13_Setting'!$H$6,"On Track","Tertinggal")))</f>
        <v/>
      </c>
      <c r="N185" s="24"/>
    </row>
    <row r="186" spans="1:14">
      <c r="A186" s="24"/>
      <c r="B186" s="24"/>
      <c r="C186" s="25"/>
      <c r="D186" s="24"/>
      <c r="E186" s="26" t="str">
        <f>IFERROR(VLOOKUP(D186,'04_Master Karyawan'!$A$5:$F$50,2,FALSE),"")</f>
        <v/>
      </c>
      <c r="F186" s="24"/>
      <c r="G186" s="26" t="str">
        <f>IFERROR(VLOOKUP(F186,'05_Master KPI'!$B$5:$G$100,2,FALSE)&amp;" ("&amp;VLOOKUP(F186,'05_Master KPI'!$B$5:$G$100,3,FALSE)&amp;")","")</f>
        <v/>
      </c>
      <c r="H186" s="26">
        <f>IFERROR(IF(B186&lt;&gt;'06_Target KPI'!$B$3,0,IF(VLOOKUP(F186,'05_Master KPI'!$B$5:$G$100,6,FALSE)="Kumulatif",INDEX('06_Target KPI'!$E$5:$P$100,MATCH(F186,'06_Target KPI'!$B$5:$B$100,0),MATCH(A186,'06_Target KPI'!$E$4:$P$4,0))*DAY(C186)/DAY(EOMONTH(C186,0)),INDEX('06_Target KPI'!$E$5:$P$100,MATCH(F186,'06_Target KPI'!$B$5:$B$100,0),MATCH(A186,'06_Target KPI'!$E$4:$P$4,0)))),0)</f>
        <v>0</v>
      </c>
      <c r="I186" s="24"/>
      <c r="J186" s="27">
        <f>IFERROR(MIN(IF(VLOOKUP(F186,'05_Master KPI'!$B$5:$G$100,5,FALSE)="Lower",H186/I186,I186/H186),1),0)</f>
        <v>0</v>
      </c>
      <c r="K186" s="26">
        <f>IFERROR(VLOOKUP(F186,'05_Master KPI'!$B$5:$G$100,4,FALSE),0)</f>
        <v>0</v>
      </c>
      <c r="L186" s="28">
        <f t="shared" si="2"/>
        <v>0</v>
      </c>
      <c r="M186" s="26" t="str">
        <f>IF(D186="","",IF(J186&gt;='13_Setting'!$H$7,"Tercapai",IF(J186&gt;='13_Setting'!$H$6,"On Track","Tertinggal")))</f>
        <v/>
      </c>
      <c r="N186" s="24"/>
    </row>
    <row r="187" spans="1:14">
      <c r="A187" s="24"/>
      <c r="B187" s="24"/>
      <c r="C187" s="25"/>
      <c r="D187" s="24"/>
      <c r="E187" s="26" t="str">
        <f>IFERROR(VLOOKUP(D187,'04_Master Karyawan'!$A$5:$F$50,2,FALSE),"")</f>
        <v/>
      </c>
      <c r="F187" s="24"/>
      <c r="G187" s="26" t="str">
        <f>IFERROR(VLOOKUP(F187,'05_Master KPI'!$B$5:$G$100,2,FALSE)&amp;" ("&amp;VLOOKUP(F187,'05_Master KPI'!$B$5:$G$100,3,FALSE)&amp;")","")</f>
        <v/>
      </c>
      <c r="H187" s="26">
        <f>IFERROR(IF(B187&lt;&gt;'06_Target KPI'!$B$3,0,IF(VLOOKUP(F187,'05_Master KPI'!$B$5:$G$100,6,FALSE)="Kumulatif",INDEX('06_Target KPI'!$E$5:$P$100,MATCH(F187,'06_Target KPI'!$B$5:$B$100,0),MATCH(A187,'06_Target KPI'!$E$4:$P$4,0))*DAY(C187)/DAY(EOMONTH(C187,0)),INDEX('06_Target KPI'!$E$5:$P$100,MATCH(F187,'06_Target KPI'!$B$5:$B$100,0),MATCH(A187,'06_Target KPI'!$E$4:$P$4,0)))),0)</f>
        <v>0</v>
      </c>
      <c r="I187" s="24"/>
      <c r="J187" s="27">
        <f>IFERROR(MIN(IF(VLOOKUP(F187,'05_Master KPI'!$B$5:$G$100,5,FALSE)="Lower",H187/I187,I187/H187),1),0)</f>
        <v>0</v>
      </c>
      <c r="K187" s="26">
        <f>IFERROR(VLOOKUP(F187,'05_Master KPI'!$B$5:$G$100,4,FALSE),0)</f>
        <v>0</v>
      </c>
      <c r="L187" s="28">
        <f t="shared" si="2"/>
        <v>0</v>
      </c>
      <c r="M187" s="26" t="str">
        <f>IF(D187="","",IF(J187&gt;='13_Setting'!$H$7,"Tercapai",IF(J187&gt;='13_Setting'!$H$6,"On Track","Tertinggal")))</f>
        <v/>
      </c>
      <c r="N187" s="24"/>
    </row>
    <row r="188" spans="1:14">
      <c r="A188" s="24"/>
      <c r="B188" s="24"/>
      <c r="C188" s="25"/>
      <c r="D188" s="24"/>
      <c r="E188" s="26" t="str">
        <f>IFERROR(VLOOKUP(D188,'04_Master Karyawan'!$A$5:$F$50,2,FALSE),"")</f>
        <v/>
      </c>
      <c r="F188" s="24"/>
      <c r="G188" s="26" t="str">
        <f>IFERROR(VLOOKUP(F188,'05_Master KPI'!$B$5:$G$100,2,FALSE)&amp;" ("&amp;VLOOKUP(F188,'05_Master KPI'!$B$5:$G$100,3,FALSE)&amp;")","")</f>
        <v/>
      </c>
      <c r="H188" s="26">
        <f>IFERROR(IF(B188&lt;&gt;'06_Target KPI'!$B$3,0,IF(VLOOKUP(F188,'05_Master KPI'!$B$5:$G$100,6,FALSE)="Kumulatif",INDEX('06_Target KPI'!$E$5:$P$100,MATCH(F188,'06_Target KPI'!$B$5:$B$100,0),MATCH(A188,'06_Target KPI'!$E$4:$P$4,0))*DAY(C188)/DAY(EOMONTH(C188,0)),INDEX('06_Target KPI'!$E$5:$P$100,MATCH(F188,'06_Target KPI'!$B$5:$B$100,0),MATCH(A188,'06_Target KPI'!$E$4:$P$4,0)))),0)</f>
        <v>0</v>
      </c>
      <c r="I188" s="24"/>
      <c r="J188" s="27">
        <f>IFERROR(MIN(IF(VLOOKUP(F188,'05_Master KPI'!$B$5:$G$100,5,FALSE)="Lower",H188/I188,I188/H188),1),0)</f>
        <v>0</v>
      </c>
      <c r="K188" s="26">
        <f>IFERROR(VLOOKUP(F188,'05_Master KPI'!$B$5:$G$100,4,FALSE),0)</f>
        <v>0</v>
      </c>
      <c r="L188" s="28">
        <f t="shared" si="2"/>
        <v>0</v>
      </c>
      <c r="M188" s="26" t="str">
        <f>IF(D188="","",IF(J188&gt;='13_Setting'!$H$7,"Tercapai",IF(J188&gt;='13_Setting'!$H$6,"On Track","Tertinggal")))</f>
        <v/>
      </c>
      <c r="N188" s="24"/>
    </row>
    <row r="189" spans="1:14">
      <c r="A189" s="24"/>
      <c r="B189" s="24"/>
      <c r="C189" s="25"/>
      <c r="D189" s="24"/>
      <c r="E189" s="26" t="str">
        <f>IFERROR(VLOOKUP(D189,'04_Master Karyawan'!$A$5:$F$50,2,FALSE),"")</f>
        <v/>
      </c>
      <c r="F189" s="24"/>
      <c r="G189" s="26" t="str">
        <f>IFERROR(VLOOKUP(F189,'05_Master KPI'!$B$5:$G$100,2,FALSE)&amp;" ("&amp;VLOOKUP(F189,'05_Master KPI'!$B$5:$G$100,3,FALSE)&amp;")","")</f>
        <v/>
      </c>
      <c r="H189" s="26">
        <f>IFERROR(IF(B189&lt;&gt;'06_Target KPI'!$B$3,0,IF(VLOOKUP(F189,'05_Master KPI'!$B$5:$G$100,6,FALSE)="Kumulatif",INDEX('06_Target KPI'!$E$5:$P$100,MATCH(F189,'06_Target KPI'!$B$5:$B$100,0),MATCH(A189,'06_Target KPI'!$E$4:$P$4,0))*DAY(C189)/DAY(EOMONTH(C189,0)),INDEX('06_Target KPI'!$E$5:$P$100,MATCH(F189,'06_Target KPI'!$B$5:$B$100,0),MATCH(A189,'06_Target KPI'!$E$4:$P$4,0)))),0)</f>
        <v>0</v>
      </c>
      <c r="I189" s="24"/>
      <c r="J189" s="27">
        <f>IFERROR(MIN(IF(VLOOKUP(F189,'05_Master KPI'!$B$5:$G$100,5,FALSE)="Lower",H189/I189,I189/H189),1),0)</f>
        <v>0</v>
      </c>
      <c r="K189" s="26">
        <f>IFERROR(VLOOKUP(F189,'05_Master KPI'!$B$5:$G$100,4,FALSE),0)</f>
        <v>0</v>
      </c>
      <c r="L189" s="28">
        <f t="shared" si="2"/>
        <v>0</v>
      </c>
      <c r="M189" s="26" t="str">
        <f>IF(D189="","",IF(J189&gt;='13_Setting'!$H$7,"Tercapai",IF(J189&gt;='13_Setting'!$H$6,"On Track","Tertinggal")))</f>
        <v/>
      </c>
      <c r="N189" s="24"/>
    </row>
    <row r="190" spans="1:14">
      <c r="A190" s="24"/>
      <c r="B190" s="24"/>
      <c r="C190" s="25"/>
      <c r="D190" s="24"/>
      <c r="E190" s="26" t="str">
        <f>IFERROR(VLOOKUP(D190,'04_Master Karyawan'!$A$5:$F$50,2,FALSE),"")</f>
        <v/>
      </c>
      <c r="F190" s="24"/>
      <c r="G190" s="26" t="str">
        <f>IFERROR(VLOOKUP(F190,'05_Master KPI'!$B$5:$G$100,2,FALSE)&amp;" ("&amp;VLOOKUP(F190,'05_Master KPI'!$B$5:$G$100,3,FALSE)&amp;")","")</f>
        <v/>
      </c>
      <c r="H190" s="26">
        <f>IFERROR(IF(B190&lt;&gt;'06_Target KPI'!$B$3,0,IF(VLOOKUP(F190,'05_Master KPI'!$B$5:$G$100,6,FALSE)="Kumulatif",INDEX('06_Target KPI'!$E$5:$P$100,MATCH(F190,'06_Target KPI'!$B$5:$B$100,0),MATCH(A190,'06_Target KPI'!$E$4:$P$4,0))*DAY(C190)/DAY(EOMONTH(C190,0)),INDEX('06_Target KPI'!$E$5:$P$100,MATCH(F190,'06_Target KPI'!$B$5:$B$100,0),MATCH(A190,'06_Target KPI'!$E$4:$P$4,0)))),0)</f>
        <v>0</v>
      </c>
      <c r="I190" s="24"/>
      <c r="J190" s="27">
        <f>IFERROR(MIN(IF(VLOOKUP(F190,'05_Master KPI'!$B$5:$G$100,5,FALSE)="Lower",H190/I190,I190/H190),1),0)</f>
        <v>0</v>
      </c>
      <c r="K190" s="26">
        <f>IFERROR(VLOOKUP(F190,'05_Master KPI'!$B$5:$G$100,4,FALSE),0)</f>
        <v>0</v>
      </c>
      <c r="L190" s="28">
        <f t="shared" si="2"/>
        <v>0</v>
      </c>
      <c r="M190" s="26" t="str">
        <f>IF(D190="","",IF(J190&gt;='13_Setting'!$H$7,"Tercapai",IF(J190&gt;='13_Setting'!$H$6,"On Track","Tertinggal")))</f>
        <v/>
      </c>
      <c r="N190" s="24"/>
    </row>
    <row r="191" spans="1:14">
      <c r="A191" s="24"/>
      <c r="B191" s="24"/>
      <c r="C191" s="25"/>
      <c r="D191" s="24"/>
      <c r="E191" s="26" t="str">
        <f>IFERROR(VLOOKUP(D191,'04_Master Karyawan'!$A$5:$F$50,2,FALSE),"")</f>
        <v/>
      </c>
      <c r="F191" s="24"/>
      <c r="G191" s="26" t="str">
        <f>IFERROR(VLOOKUP(F191,'05_Master KPI'!$B$5:$G$100,2,FALSE)&amp;" ("&amp;VLOOKUP(F191,'05_Master KPI'!$B$5:$G$100,3,FALSE)&amp;")","")</f>
        <v/>
      </c>
      <c r="H191" s="26">
        <f>IFERROR(IF(B191&lt;&gt;'06_Target KPI'!$B$3,0,IF(VLOOKUP(F191,'05_Master KPI'!$B$5:$G$100,6,FALSE)="Kumulatif",INDEX('06_Target KPI'!$E$5:$P$100,MATCH(F191,'06_Target KPI'!$B$5:$B$100,0),MATCH(A191,'06_Target KPI'!$E$4:$P$4,0))*DAY(C191)/DAY(EOMONTH(C191,0)),INDEX('06_Target KPI'!$E$5:$P$100,MATCH(F191,'06_Target KPI'!$B$5:$B$100,0),MATCH(A191,'06_Target KPI'!$E$4:$P$4,0)))),0)</f>
        <v>0</v>
      </c>
      <c r="I191" s="24"/>
      <c r="J191" s="27">
        <f>IFERROR(MIN(IF(VLOOKUP(F191,'05_Master KPI'!$B$5:$G$100,5,FALSE)="Lower",H191/I191,I191/H191),1),0)</f>
        <v>0</v>
      </c>
      <c r="K191" s="26">
        <f>IFERROR(VLOOKUP(F191,'05_Master KPI'!$B$5:$G$100,4,FALSE),0)</f>
        <v>0</v>
      </c>
      <c r="L191" s="28">
        <f t="shared" si="2"/>
        <v>0</v>
      </c>
      <c r="M191" s="26" t="str">
        <f>IF(D191="","",IF(J191&gt;='13_Setting'!$H$7,"Tercapai",IF(J191&gt;='13_Setting'!$H$6,"On Track","Tertinggal")))</f>
        <v/>
      </c>
      <c r="N191" s="24"/>
    </row>
    <row r="192" spans="1:14">
      <c r="A192" s="24"/>
      <c r="B192" s="24"/>
      <c r="C192" s="25"/>
      <c r="D192" s="24"/>
      <c r="E192" s="26" t="str">
        <f>IFERROR(VLOOKUP(D192,'04_Master Karyawan'!$A$5:$F$50,2,FALSE),"")</f>
        <v/>
      </c>
      <c r="F192" s="24"/>
      <c r="G192" s="26" t="str">
        <f>IFERROR(VLOOKUP(F192,'05_Master KPI'!$B$5:$G$100,2,FALSE)&amp;" ("&amp;VLOOKUP(F192,'05_Master KPI'!$B$5:$G$100,3,FALSE)&amp;")","")</f>
        <v/>
      </c>
      <c r="H192" s="26">
        <f>IFERROR(IF(B192&lt;&gt;'06_Target KPI'!$B$3,0,IF(VLOOKUP(F192,'05_Master KPI'!$B$5:$G$100,6,FALSE)="Kumulatif",INDEX('06_Target KPI'!$E$5:$P$100,MATCH(F192,'06_Target KPI'!$B$5:$B$100,0),MATCH(A192,'06_Target KPI'!$E$4:$P$4,0))*DAY(C192)/DAY(EOMONTH(C192,0)),INDEX('06_Target KPI'!$E$5:$P$100,MATCH(F192,'06_Target KPI'!$B$5:$B$100,0),MATCH(A192,'06_Target KPI'!$E$4:$P$4,0)))),0)</f>
        <v>0</v>
      </c>
      <c r="I192" s="24"/>
      <c r="J192" s="27">
        <f>IFERROR(MIN(IF(VLOOKUP(F192,'05_Master KPI'!$B$5:$G$100,5,FALSE)="Lower",H192/I192,I192/H192),1),0)</f>
        <v>0</v>
      </c>
      <c r="K192" s="26">
        <f>IFERROR(VLOOKUP(F192,'05_Master KPI'!$B$5:$G$100,4,FALSE),0)</f>
        <v>0</v>
      </c>
      <c r="L192" s="28">
        <f t="shared" si="2"/>
        <v>0</v>
      </c>
      <c r="M192" s="26" t="str">
        <f>IF(D192="","",IF(J192&gt;='13_Setting'!$H$7,"Tercapai",IF(J192&gt;='13_Setting'!$H$6,"On Track","Tertinggal")))</f>
        <v/>
      </c>
      <c r="N192" s="24"/>
    </row>
    <row r="193" spans="1:14">
      <c r="A193" s="24"/>
      <c r="B193" s="24"/>
      <c r="C193" s="25"/>
      <c r="D193" s="24"/>
      <c r="E193" s="26" t="str">
        <f>IFERROR(VLOOKUP(D193,'04_Master Karyawan'!$A$5:$F$50,2,FALSE),"")</f>
        <v/>
      </c>
      <c r="F193" s="24"/>
      <c r="G193" s="26" t="str">
        <f>IFERROR(VLOOKUP(F193,'05_Master KPI'!$B$5:$G$100,2,FALSE)&amp;" ("&amp;VLOOKUP(F193,'05_Master KPI'!$B$5:$G$100,3,FALSE)&amp;")","")</f>
        <v/>
      </c>
      <c r="H193" s="26">
        <f>IFERROR(IF(B193&lt;&gt;'06_Target KPI'!$B$3,0,IF(VLOOKUP(F193,'05_Master KPI'!$B$5:$G$100,6,FALSE)="Kumulatif",INDEX('06_Target KPI'!$E$5:$P$100,MATCH(F193,'06_Target KPI'!$B$5:$B$100,0),MATCH(A193,'06_Target KPI'!$E$4:$P$4,0))*DAY(C193)/DAY(EOMONTH(C193,0)),INDEX('06_Target KPI'!$E$5:$P$100,MATCH(F193,'06_Target KPI'!$B$5:$B$100,0),MATCH(A193,'06_Target KPI'!$E$4:$P$4,0)))),0)</f>
        <v>0</v>
      </c>
      <c r="I193" s="24"/>
      <c r="J193" s="27">
        <f>IFERROR(MIN(IF(VLOOKUP(F193,'05_Master KPI'!$B$5:$G$100,5,FALSE)="Lower",H193/I193,I193/H193),1),0)</f>
        <v>0</v>
      </c>
      <c r="K193" s="26">
        <f>IFERROR(VLOOKUP(F193,'05_Master KPI'!$B$5:$G$100,4,FALSE),0)</f>
        <v>0</v>
      </c>
      <c r="L193" s="28">
        <f t="shared" si="2"/>
        <v>0</v>
      </c>
      <c r="M193" s="26" t="str">
        <f>IF(D193="","",IF(J193&gt;='13_Setting'!$H$7,"Tercapai",IF(J193&gt;='13_Setting'!$H$6,"On Track","Tertinggal")))</f>
        <v/>
      </c>
      <c r="N193" s="24"/>
    </row>
    <row r="194" spans="1:14">
      <c r="A194" s="24"/>
      <c r="B194" s="24"/>
      <c r="C194" s="25"/>
      <c r="D194" s="24"/>
      <c r="E194" s="26" t="str">
        <f>IFERROR(VLOOKUP(D194,'04_Master Karyawan'!$A$5:$F$50,2,FALSE),"")</f>
        <v/>
      </c>
      <c r="F194" s="24"/>
      <c r="G194" s="26" t="str">
        <f>IFERROR(VLOOKUP(F194,'05_Master KPI'!$B$5:$G$100,2,FALSE)&amp;" ("&amp;VLOOKUP(F194,'05_Master KPI'!$B$5:$G$100,3,FALSE)&amp;")","")</f>
        <v/>
      </c>
      <c r="H194" s="26">
        <f>IFERROR(IF(B194&lt;&gt;'06_Target KPI'!$B$3,0,IF(VLOOKUP(F194,'05_Master KPI'!$B$5:$G$100,6,FALSE)="Kumulatif",INDEX('06_Target KPI'!$E$5:$P$100,MATCH(F194,'06_Target KPI'!$B$5:$B$100,0),MATCH(A194,'06_Target KPI'!$E$4:$P$4,0))*DAY(C194)/DAY(EOMONTH(C194,0)),INDEX('06_Target KPI'!$E$5:$P$100,MATCH(F194,'06_Target KPI'!$B$5:$B$100,0),MATCH(A194,'06_Target KPI'!$E$4:$P$4,0)))),0)</f>
        <v>0</v>
      </c>
      <c r="I194" s="24"/>
      <c r="J194" s="27">
        <f>IFERROR(MIN(IF(VLOOKUP(F194,'05_Master KPI'!$B$5:$G$100,5,FALSE)="Lower",H194/I194,I194/H194),1),0)</f>
        <v>0</v>
      </c>
      <c r="K194" s="26">
        <f>IFERROR(VLOOKUP(F194,'05_Master KPI'!$B$5:$G$100,4,FALSE),0)</f>
        <v>0</v>
      </c>
      <c r="L194" s="28">
        <f t="shared" si="2"/>
        <v>0</v>
      </c>
      <c r="M194" s="26" t="str">
        <f>IF(D194="","",IF(J194&gt;='13_Setting'!$H$7,"Tercapai",IF(J194&gt;='13_Setting'!$H$6,"On Track","Tertinggal")))</f>
        <v/>
      </c>
      <c r="N194" s="24"/>
    </row>
    <row r="195" spans="1:14">
      <c r="A195" s="24"/>
      <c r="B195" s="24"/>
      <c r="C195" s="25"/>
      <c r="D195" s="24"/>
      <c r="E195" s="26" t="str">
        <f>IFERROR(VLOOKUP(D195,'04_Master Karyawan'!$A$5:$F$50,2,FALSE),"")</f>
        <v/>
      </c>
      <c r="F195" s="24"/>
      <c r="G195" s="26" t="str">
        <f>IFERROR(VLOOKUP(F195,'05_Master KPI'!$B$5:$G$100,2,FALSE)&amp;" ("&amp;VLOOKUP(F195,'05_Master KPI'!$B$5:$G$100,3,FALSE)&amp;")","")</f>
        <v/>
      </c>
      <c r="H195" s="26">
        <f>IFERROR(IF(B195&lt;&gt;'06_Target KPI'!$B$3,0,IF(VLOOKUP(F195,'05_Master KPI'!$B$5:$G$100,6,FALSE)="Kumulatif",INDEX('06_Target KPI'!$E$5:$P$100,MATCH(F195,'06_Target KPI'!$B$5:$B$100,0),MATCH(A195,'06_Target KPI'!$E$4:$P$4,0))*DAY(C195)/DAY(EOMONTH(C195,0)),INDEX('06_Target KPI'!$E$5:$P$100,MATCH(F195,'06_Target KPI'!$B$5:$B$100,0),MATCH(A195,'06_Target KPI'!$E$4:$P$4,0)))),0)</f>
        <v>0</v>
      </c>
      <c r="I195" s="24"/>
      <c r="J195" s="27">
        <f>IFERROR(MIN(IF(VLOOKUP(F195,'05_Master KPI'!$B$5:$G$100,5,FALSE)="Lower",H195/I195,I195/H195),1),0)</f>
        <v>0</v>
      </c>
      <c r="K195" s="26">
        <f>IFERROR(VLOOKUP(F195,'05_Master KPI'!$B$5:$G$100,4,FALSE),0)</f>
        <v>0</v>
      </c>
      <c r="L195" s="28">
        <f t="shared" si="2"/>
        <v>0</v>
      </c>
      <c r="M195" s="26" t="str">
        <f>IF(D195="","",IF(J195&gt;='13_Setting'!$H$7,"Tercapai",IF(J195&gt;='13_Setting'!$H$6,"On Track","Tertinggal")))</f>
        <v/>
      </c>
      <c r="N195" s="24"/>
    </row>
    <row r="196" spans="1:14">
      <c r="A196" s="24"/>
      <c r="B196" s="24"/>
      <c r="C196" s="25"/>
      <c r="D196" s="24"/>
      <c r="E196" s="26" t="str">
        <f>IFERROR(VLOOKUP(D196,'04_Master Karyawan'!$A$5:$F$50,2,FALSE),"")</f>
        <v/>
      </c>
      <c r="F196" s="24"/>
      <c r="G196" s="26" t="str">
        <f>IFERROR(VLOOKUP(F196,'05_Master KPI'!$B$5:$G$100,2,FALSE)&amp;" ("&amp;VLOOKUP(F196,'05_Master KPI'!$B$5:$G$100,3,FALSE)&amp;")","")</f>
        <v/>
      </c>
      <c r="H196" s="26">
        <f>IFERROR(IF(B196&lt;&gt;'06_Target KPI'!$B$3,0,IF(VLOOKUP(F196,'05_Master KPI'!$B$5:$G$100,6,FALSE)="Kumulatif",INDEX('06_Target KPI'!$E$5:$P$100,MATCH(F196,'06_Target KPI'!$B$5:$B$100,0),MATCH(A196,'06_Target KPI'!$E$4:$P$4,0))*DAY(C196)/DAY(EOMONTH(C196,0)),INDEX('06_Target KPI'!$E$5:$P$100,MATCH(F196,'06_Target KPI'!$B$5:$B$100,0),MATCH(A196,'06_Target KPI'!$E$4:$P$4,0)))),0)</f>
        <v>0</v>
      </c>
      <c r="I196" s="24"/>
      <c r="J196" s="27">
        <f>IFERROR(MIN(IF(VLOOKUP(F196,'05_Master KPI'!$B$5:$G$100,5,FALSE)="Lower",H196/I196,I196/H196),1),0)</f>
        <v>0</v>
      </c>
      <c r="K196" s="26">
        <f>IFERROR(VLOOKUP(F196,'05_Master KPI'!$B$5:$G$100,4,FALSE),0)</f>
        <v>0</v>
      </c>
      <c r="L196" s="28">
        <f t="shared" si="2"/>
        <v>0</v>
      </c>
      <c r="M196" s="26" t="str">
        <f>IF(D196="","",IF(J196&gt;='13_Setting'!$H$7,"Tercapai",IF(J196&gt;='13_Setting'!$H$6,"On Track","Tertinggal")))</f>
        <v/>
      </c>
      <c r="N196" s="24"/>
    </row>
    <row r="197" spans="1:14">
      <c r="A197" s="24"/>
      <c r="B197" s="24"/>
      <c r="C197" s="25"/>
      <c r="D197" s="24"/>
      <c r="E197" s="26" t="str">
        <f>IFERROR(VLOOKUP(D197,'04_Master Karyawan'!$A$5:$F$50,2,FALSE),"")</f>
        <v/>
      </c>
      <c r="F197" s="24"/>
      <c r="G197" s="26" t="str">
        <f>IFERROR(VLOOKUP(F197,'05_Master KPI'!$B$5:$G$100,2,FALSE)&amp;" ("&amp;VLOOKUP(F197,'05_Master KPI'!$B$5:$G$100,3,FALSE)&amp;")","")</f>
        <v/>
      </c>
      <c r="H197" s="26">
        <f>IFERROR(IF(B197&lt;&gt;'06_Target KPI'!$B$3,0,IF(VLOOKUP(F197,'05_Master KPI'!$B$5:$G$100,6,FALSE)="Kumulatif",INDEX('06_Target KPI'!$E$5:$P$100,MATCH(F197,'06_Target KPI'!$B$5:$B$100,0),MATCH(A197,'06_Target KPI'!$E$4:$P$4,0))*DAY(C197)/DAY(EOMONTH(C197,0)),INDEX('06_Target KPI'!$E$5:$P$100,MATCH(F197,'06_Target KPI'!$B$5:$B$100,0),MATCH(A197,'06_Target KPI'!$E$4:$P$4,0)))),0)</f>
        <v>0</v>
      </c>
      <c r="I197" s="24"/>
      <c r="J197" s="27">
        <f>IFERROR(MIN(IF(VLOOKUP(F197,'05_Master KPI'!$B$5:$G$100,5,FALSE)="Lower",H197/I197,I197/H197),1),0)</f>
        <v>0</v>
      </c>
      <c r="K197" s="26">
        <f>IFERROR(VLOOKUP(F197,'05_Master KPI'!$B$5:$G$100,4,FALSE),0)</f>
        <v>0</v>
      </c>
      <c r="L197" s="28">
        <f t="shared" ref="L197:L260" si="3">J197*K197</f>
        <v>0</v>
      </c>
      <c r="M197" s="26" t="str">
        <f>IF(D197="","",IF(J197&gt;='13_Setting'!$H$7,"Tercapai",IF(J197&gt;='13_Setting'!$H$6,"On Track","Tertinggal")))</f>
        <v/>
      </c>
      <c r="N197" s="24"/>
    </row>
    <row r="198" spans="1:14">
      <c r="A198" s="24"/>
      <c r="B198" s="24"/>
      <c r="C198" s="25"/>
      <c r="D198" s="24"/>
      <c r="E198" s="26" t="str">
        <f>IFERROR(VLOOKUP(D198,'04_Master Karyawan'!$A$5:$F$50,2,FALSE),"")</f>
        <v/>
      </c>
      <c r="F198" s="24"/>
      <c r="G198" s="26" t="str">
        <f>IFERROR(VLOOKUP(F198,'05_Master KPI'!$B$5:$G$100,2,FALSE)&amp;" ("&amp;VLOOKUP(F198,'05_Master KPI'!$B$5:$G$100,3,FALSE)&amp;")","")</f>
        <v/>
      </c>
      <c r="H198" s="26">
        <f>IFERROR(IF(B198&lt;&gt;'06_Target KPI'!$B$3,0,IF(VLOOKUP(F198,'05_Master KPI'!$B$5:$G$100,6,FALSE)="Kumulatif",INDEX('06_Target KPI'!$E$5:$P$100,MATCH(F198,'06_Target KPI'!$B$5:$B$100,0),MATCH(A198,'06_Target KPI'!$E$4:$P$4,0))*DAY(C198)/DAY(EOMONTH(C198,0)),INDEX('06_Target KPI'!$E$5:$P$100,MATCH(F198,'06_Target KPI'!$B$5:$B$100,0),MATCH(A198,'06_Target KPI'!$E$4:$P$4,0)))),0)</f>
        <v>0</v>
      </c>
      <c r="I198" s="24"/>
      <c r="J198" s="27">
        <f>IFERROR(MIN(IF(VLOOKUP(F198,'05_Master KPI'!$B$5:$G$100,5,FALSE)="Lower",H198/I198,I198/H198),1),0)</f>
        <v>0</v>
      </c>
      <c r="K198" s="26">
        <f>IFERROR(VLOOKUP(F198,'05_Master KPI'!$B$5:$G$100,4,FALSE),0)</f>
        <v>0</v>
      </c>
      <c r="L198" s="28">
        <f t="shared" si="3"/>
        <v>0</v>
      </c>
      <c r="M198" s="26" t="str">
        <f>IF(D198="","",IF(J198&gt;='13_Setting'!$H$7,"Tercapai",IF(J198&gt;='13_Setting'!$H$6,"On Track","Tertinggal")))</f>
        <v/>
      </c>
      <c r="N198" s="24"/>
    </row>
    <row r="199" spans="1:14">
      <c r="A199" s="24"/>
      <c r="B199" s="24"/>
      <c r="C199" s="25"/>
      <c r="D199" s="24"/>
      <c r="E199" s="26" t="str">
        <f>IFERROR(VLOOKUP(D199,'04_Master Karyawan'!$A$5:$F$50,2,FALSE),"")</f>
        <v/>
      </c>
      <c r="F199" s="24"/>
      <c r="G199" s="26" t="str">
        <f>IFERROR(VLOOKUP(F199,'05_Master KPI'!$B$5:$G$100,2,FALSE)&amp;" ("&amp;VLOOKUP(F199,'05_Master KPI'!$B$5:$G$100,3,FALSE)&amp;")","")</f>
        <v/>
      </c>
      <c r="H199" s="26">
        <f>IFERROR(IF(B199&lt;&gt;'06_Target KPI'!$B$3,0,IF(VLOOKUP(F199,'05_Master KPI'!$B$5:$G$100,6,FALSE)="Kumulatif",INDEX('06_Target KPI'!$E$5:$P$100,MATCH(F199,'06_Target KPI'!$B$5:$B$100,0),MATCH(A199,'06_Target KPI'!$E$4:$P$4,0))*DAY(C199)/DAY(EOMONTH(C199,0)),INDEX('06_Target KPI'!$E$5:$P$100,MATCH(F199,'06_Target KPI'!$B$5:$B$100,0),MATCH(A199,'06_Target KPI'!$E$4:$P$4,0)))),0)</f>
        <v>0</v>
      </c>
      <c r="I199" s="24"/>
      <c r="J199" s="27">
        <f>IFERROR(MIN(IF(VLOOKUP(F199,'05_Master KPI'!$B$5:$G$100,5,FALSE)="Lower",H199/I199,I199/H199),1),0)</f>
        <v>0</v>
      </c>
      <c r="K199" s="26">
        <f>IFERROR(VLOOKUP(F199,'05_Master KPI'!$B$5:$G$100,4,FALSE),0)</f>
        <v>0</v>
      </c>
      <c r="L199" s="28">
        <f t="shared" si="3"/>
        <v>0</v>
      </c>
      <c r="M199" s="26" t="str">
        <f>IF(D199="","",IF(J199&gt;='13_Setting'!$H$7,"Tercapai",IF(J199&gt;='13_Setting'!$H$6,"On Track","Tertinggal")))</f>
        <v/>
      </c>
      <c r="N199" s="24"/>
    </row>
    <row r="200" spans="1:14">
      <c r="A200" s="24"/>
      <c r="B200" s="24"/>
      <c r="C200" s="25"/>
      <c r="D200" s="24"/>
      <c r="E200" s="26" t="str">
        <f>IFERROR(VLOOKUP(D200,'04_Master Karyawan'!$A$5:$F$50,2,FALSE),"")</f>
        <v/>
      </c>
      <c r="F200" s="24"/>
      <c r="G200" s="26" t="str">
        <f>IFERROR(VLOOKUP(F200,'05_Master KPI'!$B$5:$G$100,2,FALSE)&amp;" ("&amp;VLOOKUP(F200,'05_Master KPI'!$B$5:$G$100,3,FALSE)&amp;")","")</f>
        <v/>
      </c>
      <c r="H200" s="26">
        <f>IFERROR(IF(B200&lt;&gt;'06_Target KPI'!$B$3,0,IF(VLOOKUP(F200,'05_Master KPI'!$B$5:$G$100,6,FALSE)="Kumulatif",INDEX('06_Target KPI'!$E$5:$P$100,MATCH(F200,'06_Target KPI'!$B$5:$B$100,0),MATCH(A200,'06_Target KPI'!$E$4:$P$4,0))*DAY(C200)/DAY(EOMONTH(C200,0)),INDEX('06_Target KPI'!$E$5:$P$100,MATCH(F200,'06_Target KPI'!$B$5:$B$100,0),MATCH(A200,'06_Target KPI'!$E$4:$P$4,0)))),0)</f>
        <v>0</v>
      </c>
      <c r="I200" s="24"/>
      <c r="J200" s="27">
        <f>IFERROR(MIN(IF(VLOOKUP(F200,'05_Master KPI'!$B$5:$G$100,5,FALSE)="Lower",H200/I200,I200/H200),1),0)</f>
        <v>0</v>
      </c>
      <c r="K200" s="26">
        <f>IFERROR(VLOOKUP(F200,'05_Master KPI'!$B$5:$G$100,4,FALSE),0)</f>
        <v>0</v>
      </c>
      <c r="L200" s="28">
        <f t="shared" si="3"/>
        <v>0</v>
      </c>
      <c r="M200" s="26" t="str">
        <f>IF(D200="","",IF(J200&gt;='13_Setting'!$H$7,"Tercapai",IF(J200&gt;='13_Setting'!$H$6,"On Track","Tertinggal")))</f>
        <v/>
      </c>
      <c r="N200" s="24"/>
    </row>
    <row r="201" spans="1:14">
      <c r="A201" s="24"/>
      <c r="B201" s="24"/>
      <c r="C201" s="25"/>
      <c r="D201" s="24"/>
      <c r="E201" s="26" t="str">
        <f>IFERROR(VLOOKUP(D201,'04_Master Karyawan'!$A$5:$F$50,2,FALSE),"")</f>
        <v/>
      </c>
      <c r="F201" s="24"/>
      <c r="G201" s="26" t="str">
        <f>IFERROR(VLOOKUP(F201,'05_Master KPI'!$B$5:$G$100,2,FALSE)&amp;" ("&amp;VLOOKUP(F201,'05_Master KPI'!$B$5:$G$100,3,FALSE)&amp;")","")</f>
        <v/>
      </c>
      <c r="H201" s="26">
        <f>IFERROR(IF(B201&lt;&gt;'06_Target KPI'!$B$3,0,IF(VLOOKUP(F201,'05_Master KPI'!$B$5:$G$100,6,FALSE)="Kumulatif",INDEX('06_Target KPI'!$E$5:$P$100,MATCH(F201,'06_Target KPI'!$B$5:$B$100,0),MATCH(A201,'06_Target KPI'!$E$4:$P$4,0))*DAY(C201)/DAY(EOMONTH(C201,0)),INDEX('06_Target KPI'!$E$5:$P$100,MATCH(F201,'06_Target KPI'!$B$5:$B$100,0),MATCH(A201,'06_Target KPI'!$E$4:$P$4,0)))),0)</f>
        <v>0</v>
      </c>
      <c r="I201" s="24"/>
      <c r="J201" s="27">
        <f>IFERROR(MIN(IF(VLOOKUP(F201,'05_Master KPI'!$B$5:$G$100,5,FALSE)="Lower",H201/I201,I201/H201),1),0)</f>
        <v>0</v>
      </c>
      <c r="K201" s="26">
        <f>IFERROR(VLOOKUP(F201,'05_Master KPI'!$B$5:$G$100,4,FALSE),0)</f>
        <v>0</v>
      </c>
      <c r="L201" s="28">
        <f t="shared" si="3"/>
        <v>0</v>
      </c>
      <c r="M201" s="26" t="str">
        <f>IF(D201="","",IF(J201&gt;='13_Setting'!$H$7,"Tercapai",IF(J201&gt;='13_Setting'!$H$6,"On Track","Tertinggal")))</f>
        <v/>
      </c>
      <c r="N201" s="24"/>
    </row>
    <row r="202" spans="1:14">
      <c r="A202" s="24"/>
      <c r="B202" s="24"/>
      <c r="C202" s="25"/>
      <c r="D202" s="24"/>
      <c r="E202" s="26" t="str">
        <f>IFERROR(VLOOKUP(D202,'04_Master Karyawan'!$A$5:$F$50,2,FALSE),"")</f>
        <v/>
      </c>
      <c r="F202" s="24"/>
      <c r="G202" s="26" t="str">
        <f>IFERROR(VLOOKUP(F202,'05_Master KPI'!$B$5:$G$100,2,FALSE)&amp;" ("&amp;VLOOKUP(F202,'05_Master KPI'!$B$5:$G$100,3,FALSE)&amp;")","")</f>
        <v/>
      </c>
      <c r="H202" s="26">
        <f>IFERROR(IF(B202&lt;&gt;'06_Target KPI'!$B$3,0,IF(VLOOKUP(F202,'05_Master KPI'!$B$5:$G$100,6,FALSE)="Kumulatif",INDEX('06_Target KPI'!$E$5:$P$100,MATCH(F202,'06_Target KPI'!$B$5:$B$100,0),MATCH(A202,'06_Target KPI'!$E$4:$P$4,0))*DAY(C202)/DAY(EOMONTH(C202,0)),INDEX('06_Target KPI'!$E$5:$P$100,MATCH(F202,'06_Target KPI'!$B$5:$B$100,0),MATCH(A202,'06_Target KPI'!$E$4:$P$4,0)))),0)</f>
        <v>0</v>
      </c>
      <c r="I202" s="24"/>
      <c r="J202" s="27">
        <f>IFERROR(MIN(IF(VLOOKUP(F202,'05_Master KPI'!$B$5:$G$100,5,FALSE)="Lower",H202/I202,I202/H202),1),0)</f>
        <v>0</v>
      </c>
      <c r="K202" s="26">
        <f>IFERROR(VLOOKUP(F202,'05_Master KPI'!$B$5:$G$100,4,FALSE),0)</f>
        <v>0</v>
      </c>
      <c r="L202" s="28">
        <f t="shared" si="3"/>
        <v>0</v>
      </c>
      <c r="M202" s="26" t="str">
        <f>IF(D202="","",IF(J202&gt;='13_Setting'!$H$7,"Tercapai",IF(J202&gt;='13_Setting'!$H$6,"On Track","Tertinggal")))</f>
        <v/>
      </c>
      <c r="N202" s="24"/>
    </row>
    <row r="203" spans="1:14">
      <c r="A203" s="24"/>
      <c r="B203" s="24"/>
      <c r="C203" s="25"/>
      <c r="D203" s="24"/>
      <c r="E203" s="26" t="str">
        <f>IFERROR(VLOOKUP(D203,'04_Master Karyawan'!$A$5:$F$50,2,FALSE),"")</f>
        <v/>
      </c>
      <c r="F203" s="24"/>
      <c r="G203" s="26" t="str">
        <f>IFERROR(VLOOKUP(F203,'05_Master KPI'!$B$5:$G$100,2,FALSE)&amp;" ("&amp;VLOOKUP(F203,'05_Master KPI'!$B$5:$G$100,3,FALSE)&amp;")","")</f>
        <v/>
      </c>
      <c r="H203" s="26">
        <f>IFERROR(IF(B203&lt;&gt;'06_Target KPI'!$B$3,0,IF(VLOOKUP(F203,'05_Master KPI'!$B$5:$G$100,6,FALSE)="Kumulatif",INDEX('06_Target KPI'!$E$5:$P$100,MATCH(F203,'06_Target KPI'!$B$5:$B$100,0),MATCH(A203,'06_Target KPI'!$E$4:$P$4,0))*DAY(C203)/DAY(EOMONTH(C203,0)),INDEX('06_Target KPI'!$E$5:$P$100,MATCH(F203,'06_Target KPI'!$B$5:$B$100,0),MATCH(A203,'06_Target KPI'!$E$4:$P$4,0)))),0)</f>
        <v>0</v>
      </c>
      <c r="I203" s="24"/>
      <c r="J203" s="27">
        <f>IFERROR(MIN(IF(VLOOKUP(F203,'05_Master KPI'!$B$5:$G$100,5,FALSE)="Lower",H203/I203,I203/H203),1),0)</f>
        <v>0</v>
      </c>
      <c r="K203" s="26">
        <f>IFERROR(VLOOKUP(F203,'05_Master KPI'!$B$5:$G$100,4,FALSE),0)</f>
        <v>0</v>
      </c>
      <c r="L203" s="28">
        <f t="shared" si="3"/>
        <v>0</v>
      </c>
      <c r="M203" s="26" t="str">
        <f>IF(D203="","",IF(J203&gt;='13_Setting'!$H$7,"Tercapai",IF(J203&gt;='13_Setting'!$H$6,"On Track","Tertinggal")))</f>
        <v/>
      </c>
      <c r="N203" s="24"/>
    </row>
    <row r="204" spans="1:14">
      <c r="A204" s="24"/>
      <c r="B204" s="24"/>
      <c r="C204" s="25"/>
      <c r="D204" s="24"/>
      <c r="E204" s="26" t="str">
        <f>IFERROR(VLOOKUP(D204,'04_Master Karyawan'!$A$5:$F$50,2,FALSE),"")</f>
        <v/>
      </c>
      <c r="F204" s="24"/>
      <c r="G204" s="26" t="str">
        <f>IFERROR(VLOOKUP(F204,'05_Master KPI'!$B$5:$G$100,2,FALSE)&amp;" ("&amp;VLOOKUP(F204,'05_Master KPI'!$B$5:$G$100,3,FALSE)&amp;")","")</f>
        <v/>
      </c>
      <c r="H204" s="26">
        <f>IFERROR(IF(B204&lt;&gt;'06_Target KPI'!$B$3,0,IF(VLOOKUP(F204,'05_Master KPI'!$B$5:$G$100,6,FALSE)="Kumulatif",INDEX('06_Target KPI'!$E$5:$P$100,MATCH(F204,'06_Target KPI'!$B$5:$B$100,0),MATCH(A204,'06_Target KPI'!$E$4:$P$4,0))*DAY(C204)/DAY(EOMONTH(C204,0)),INDEX('06_Target KPI'!$E$5:$P$100,MATCH(F204,'06_Target KPI'!$B$5:$B$100,0),MATCH(A204,'06_Target KPI'!$E$4:$P$4,0)))),0)</f>
        <v>0</v>
      </c>
      <c r="I204" s="24"/>
      <c r="J204" s="27">
        <f>IFERROR(MIN(IF(VLOOKUP(F204,'05_Master KPI'!$B$5:$G$100,5,FALSE)="Lower",H204/I204,I204/H204),1),0)</f>
        <v>0</v>
      </c>
      <c r="K204" s="26">
        <f>IFERROR(VLOOKUP(F204,'05_Master KPI'!$B$5:$G$100,4,FALSE),0)</f>
        <v>0</v>
      </c>
      <c r="L204" s="28">
        <f t="shared" si="3"/>
        <v>0</v>
      </c>
      <c r="M204" s="26" t="str">
        <f>IF(D204="","",IF(J204&gt;='13_Setting'!$H$7,"Tercapai",IF(J204&gt;='13_Setting'!$H$6,"On Track","Tertinggal")))</f>
        <v/>
      </c>
      <c r="N204" s="24"/>
    </row>
    <row r="205" spans="1:14">
      <c r="A205" s="24"/>
      <c r="B205" s="24"/>
      <c r="C205" s="25"/>
      <c r="D205" s="24"/>
      <c r="E205" s="26" t="str">
        <f>IFERROR(VLOOKUP(D205,'04_Master Karyawan'!$A$5:$F$50,2,FALSE),"")</f>
        <v/>
      </c>
      <c r="F205" s="24"/>
      <c r="G205" s="26" t="str">
        <f>IFERROR(VLOOKUP(F205,'05_Master KPI'!$B$5:$G$100,2,FALSE)&amp;" ("&amp;VLOOKUP(F205,'05_Master KPI'!$B$5:$G$100,3,FALSE)&amp;")","")</f>
        <v/>
      </c>
      <c r="H205" s="26">
        <f>IFERROR(IF(B205&lt;&gt;'06_Target KPI'!$B$3,0,IF(VLOOKUP(F205,'05_Master KPI'!$B$5:$G$100,6,FALSE)="Kumulatif",INDEX('06_Target KPI'!$E$5:$P$100,MATCH(F205,'06_Target KPI'!$B$5:$B$100,0),MATCH(A205,'06_Target KPI'!$E$4:$P$4,0))*DAY(C205)/DAY(EOMONTH(C205,0)),INDEX('06_Target KPI'!$E$5:$P$100,MATCH(F205,'06_Target KPI'!$B$5:$B$100,0),MATCH(A205,'06_Target KPI'!$E$4:$P$4,0)))),0)</f>
        <v>0</v>
      </c>
      <c r="I205" s="24"/>
      <c r="J205" s="27">
        <f>IFERROR(MIN(IF(VLOOKUP(F205,'05_Master KPI'!$B$5:$G$100,5,FALSE)="Lower",H205/I205,I205/H205),1),0)</f>
        <v>0</v>
      </c>
      <c r="K205" s="26">
        <f>IFERROR(VLOOKUP(F205,'05_Master KPI'!$B$5:$G$100,4,FALSE),0)</f>
        <v>0</v>
      </c>
      <c r="L205" s="28">
        <f t="shared" si="3"/>
        <v>0</v>
      </c>
      <c r="M205" s="26" t="str">
        <f>IF(D205="","",IF(J205&gt;='13_Setting'!$H$7,"Tercapai",IF(J205&gt;='13_Setting'!$H$6,"On Track","Tertinggal")))</f>
        <v/>
      </c>
      <c r="N205" s="24"/>
    </row>
    <row r="206" spans="1:14">
      <c r="A206" s="24"/>
      <c r="B206" s="24"/>
      <c r="C206" s="25"/>
      <c r="D206" s="24"/>
      <c r="E206" s="26" t="str">
        <f>IFERROR(VLOOKUP(D206,'04_Master Karyawan'!$A$5:$F$50,2,FALSE),"")</f>
        <v/>
      </c>
      <c r="F206" s="24"/>
      <c r="G206" s="26" t="str">
        <f>IFERROR(VLOOKUP(F206,'05_Master KPI'!$B$5:$G$100,2,FALSE)&amp;" ("&amp;VLOOKUP(F206,'05_Master KPI'!$B$5:$G$100,3,FALSE)&amp;")","")</f>
        <v/>
      </c>
      <c r="H206" s="26">
        <f>IFERROR(IF(B206&lt;&gt;'06_Target KPI'!$B$3,0,IF(VLOOKUP(F206,'05_Master KPI'!$B$5:$G$100,6,FALSE)="Kumulatif",INDEX('06_Target KPI'!$E$5:$P$100,MATCH(F206,'06_Target KPI'!$B$5:$B$100,0),MATCH(A206,'06_Target KPI'!$E$4:$P$4,0))*DAY(C206)/DAY(EOMONTH(C206,0)),INDEX('06_Target KPI'!$E$5:$P$100,MATCH(F206,'06_Target KPI'!$B$5:$B$100,0),MATCH(A206,'06_Target KPI'!$E$4:$P$4,0)))),0)</f>
        <v>0</v>
      </c>
      <c r="I206" s="24"/>
      <c r="J206" s="27">
        <f>IFERROR(MIN(IF(VLOOKUP(F206,'05_Master KPI'!$B$5:$G$100,5,FALSE)="Lower",H206/I206,I206/H206),1),0)</f>
        <v>0</v>
      </c>
      <c r="K206" s="26">
        <f>IFERROR(VLOOKUP(F206,'05_Master KPI'!$B$5:$G$100,4,FALSE),0)</f>
        <v>0</v>
      </c>
      <c r="L206" s="28">
        <f t="shared" si="3"/>
        <v>0</v>
      </c>
      <c r="M206" s="26" t="str">
        <f>IF(D206="","",IF(J206&gt;='13_Setting'!$H$7,"Tercapai",IF(J206&gt;='13_Setting'!$H$6,"On Track","Tertinggal")))</f>
        <v/>
      </c>
      <c r="N206" s="24"/>
    </row>
    <row r="207" spans="1:14">
      <c r="A207" s="24"/>
      <c r="B207" s="24"/>
      <c r="C207" s="25"/>
      <c r="D207" s="24"/>
      <c r="E207" s="26" t="str">
        <f>IFERROR(VLOOKUP(D207,'04_Master Karyawan'!$A$5:$F$50,2,FALSE),"")</f>
        <v/>
      </c>
      <c r="F207" s="24"/>
      <c r="G207" s="26" t="str">
        <f>IFERROR(VLOOKUP(F207,'05_Master KPI'!$B$5:$G$100,2,FALSE)&amp;" ("&amp;VLOOKUP(F207,'05_Master KPI'!$B$5:$G$100,3,FALSE)&amp;")","")</f>
        <v/>
      </c>
      <c r="H207" s="26">
        <f>IFERROR(IF(B207&lt;&gt;'06_Target KPI'!$B$3,0,IF(VLOOKUP(F207,'05_Master KPI'!$B$5:$G$100,6,FALSE)="Kumulatif",INDEX('06_Target KPI'!$E$5:$P$100,MATCH(F207,'06_Target KPI'!$B$5:$B$100,0),MATCH(A207,'06_Target KPI'!$E$4:$P$4,0))*DAY(C207)/DAY(EOMONTH(C207,0)),INDEX('06_Target KPI'!$E$5:$P$100,MATCH(F207,'06_Target KPI'!$B$5:$B$100,0),MATCH(A207,'06_Target KPI'!$E$4:$P$4,0)))),0)</f>
        <v>0</v>
      </c>
      <c r="I207" s="24"/>
      <c r="J207" s="27">
        <f>IFERROR(MIN(IF(VLOOKUP(F207,'05_Master KPI'!$B$5:$G$100,5,FALSE)="Lower",H207/I207,I207/H207),1),0)</f>
        <v>0</v>
      </c>
      <c r="K207" s="26">
        <f>IFERROR(VLOOKUP(F207,'05_Master KPI'!$B$5:$G$100,4,FALSE),0)</f>
        <v>0</v>
      </c>
      <c r="L207" s="28">
        <f t="shared" si="3"/>
        <v>0</v>
      </c>
      <c r="M207" s="26" t="str">
        <f>IF(D207="","",IF(J207&gt;='13_Setting'!$H$7,"Tercapai",IF(J207&gt;='13_Setting'!$H$6,"On Track","Tertinggal")))</f>
        <v/>
      </c>
      <c r="N207" s="24"/>
    </row>
    <row r="208" spans="1:14">
      <c r="A208" s="24"/>
      <c r="B208" s="24"/>
      <c r="C208" s="25"/>
      <c r="D208" s="24"/>
      <c r="E208" s="26" t="str">
        <f>IFERROR(VLOOKUP(D208,'04_Master Karyawan'!$A$5:$F$50,2,FALSE),"")</f>
        <v/>
      </c>
      <c r="F208" s="24"/>
      <c r="G208" s="26" t="str">
        <f>IFERROR(VLOOKUP(F208,'05_Master KPI'!$B$5:$G$100,2,FALSE)&amp;" ("&amp;VLOOKUP(F208,'05_Master KPI'!$B$5:$G$100,3,FALSE)&amp;")","")</f>
        <v/>
      </c>
      <c r="H208" s="26">
        <f>IFERROR(IF(B208&lt;&gt;'06_Target KPI'!$B$3,0,IF(VLOOKUP(F208,'05_Master KPI'!$B$5:$G$100,6,FALSE)="Kumulatif",INDEX('06_Target KPI'!$E$5:$P$100,MATCH(F208,'06_Target KPI'!$B$5:$B$100,0),MATCH(A208,'06_Target KPI'!$E$4:$P$4,0))*DAY(C208)/DAY(EOMONTH(C208,0)),INDEX('06_Target KPI'!$E$5:$P$100,MATCH(F208,'06_Target KPI'!$B$5:$B$100,0),MATCH(A208,'06_Target KPI'!$E$4:$P$4,0)))),0)</f>
        <v>0</v>
      </c>
      <c r="I208" s="24"/>
      <c r="J208" s="27">
        <f>IFERROR(MIN(IF(VLOOKUP(F208,'05_Master KPI'!$B$5:$G$100,5,FALSE)="Lower",H208/I208,I208/H208),1),0)</f>
        <v>0</v>
      </c>
      <c r="K208" s="26">
        <f>IFERROR(VLOOKUP(F208,'05_Master KPI'!$B$5:$G$100,4,FALSE),0)</f>
        <v>0</v>
      </c>
      <c r="L208" s="28">
        <f t="shared" si="3"/>
        <v>0</v>
      </c>
      <c r="M208" s="26" t="str">
        <f>IF(D208="","",IF(J208&gt;='13_Setting'!$H$7,"Tercapai",IF(J208&gt;='13_Setting'!$H$6,"On Track","Tertinggal")))</f>
        <v/>
      </c>
      <c r="N208" s="24"/>
    </row>
    <row r="209" spans="1:14">
      <c r="A209" s="24"/>
      <c r="B209" s="24"/>
      <c r="C209" s="25"/>
      <c r="D209" s="24"/>
      <c r="E209" s="26" t="str">
        <f>IFERROR(VLOOKUP(D209,'04_Master Karyawan'!$A$5:$F$50,2,FALSE),"")</f>
        <v/>
      </c>
      <c r="F209" s="24"/>
      <c r="G209" s="26" t="str">
        <f>IFERROR(VLOOKUP(F209,'05_Master KPI'!$B$5:$G$100,2,FALSE)&amp;" ("&amp;VLOOKUP(F209,'05_Master KPI'!$B$5:$G$100,3,FALSE)&amp;")","")</f>
        <v/>
      </c>
      <c r="H209" s="26">
        <f>IFERROR(IF(B209&lt;&gt;'06_Target KPI'!$B$3,0,IF(VLOOKUP(F209,'05_Master KPI'!$B$5:$G$100,6,FALSE)="Kumulatif",INDEX('06_Target KPI'!$E$5:$P$100,MATCH(F209,'06_Target KPI'!$B$5:$B$100,0),MATCH(A209,'06_Target KPI'!$E$4:$P$4,0))*DAY(C209)/DAY(EOMONTH(C209,0)),INDEX('06_Target KPI'!$E$5:$P$100,MATCH(F209,'06_Target KPI'!$B$5:$B$100,0),MATCH(A209,'06_Target KPI'!$E$4:$P$4,0)))),0)</f>
        <v>0</v>
      </c>
      <c r="I209" s="24"/>
      <c r="J209" s="27">
        <f>IFERROR(MIN(IF(VLOOKUP(F209,'05_Master KPI'!$B$5:$G$100,5,FALSE)="Lower",H209/I209,I209/H209),1),0)</f>
        <v>0</v>
      </c>
      <c r="K209" s="26">
        <f>IFERROR(VLOOKUP(F209,'05_Master KPI'!$B$5:$G$100,4,FALSE),0)</f>
        <v>0</v>
      </c>
      <c r="L209" s="28">
        <f t="shared" si="3"/>
        <v>0</v>
      </c>
      <c r="M209" s="26" t="str">
        <f>IF(D209="","",IF(J209&gt;='13_Setting'!$H$7,"Tercapai",IF(J209&gt;='13_Setting'!$H$6,"On Track","Tertinggal")))</f>
        <v/>
      </c>
      <c r="N209" s="24"/>
    </row>
    <row r="210" spans="1:14">
      <c r="A210" s="24"/>
      <c r="B210" s="24"/>
      <c r="C210" s="25"/>
      <c r="D210" s="24"/>
      <c r="E210" s="26" t="str">
        <f>IFERROR(VLOOKUP(D210,'04_Master Karyawan'!$A$5:$F$50,2,FALSE),"")</f>
        <v/>
      </c>
      <c r="F210" s="24"/>
      <c r="G210" s="26" t="str">
        <f>IFERROR(VLOOKUP(F210,'05_Master KPI'!$B$5:$G$100,2,FALSE)&amp;" ("&amp;VLOOKUP(F210,'05_Master KPI'!$B$5:$G$100,3,FALSE)&amp;")","")</f>
        <v/>
      </c>
      <c r="H210" s="26">
        <f>IFERROR(IF(B210&lt;&gt;'06_Target KPI'!$B$3,0,IF(VLOOKUP(F210,'05_Master KPI'!$B$5:$G$100,6,FALSE)="Kumulatif",INDEX('06_Target KPI'!$E$5:$P$100,MATCH(F210,'06_Target KPI'!$B$5:$B$100,0),MATCH(A210,'06_Target KPI'!$E$4:$P$4,0))*DAY(C210)/DAY(EOMONTH(C210,0)),INDEX('06_Target KPI'!$E$5:$P$100,MATCH(F210,'06_Target KPI'!$B$5:$B$100,0),MATCH(A210,'06_Target KPI'!$E$4:$P$4,0)))),0)</f>
        <v>0</v>
      </c>
      <c r="I210" s="24"/>
      <c r="J210" s="27">
        <f>IFERROR(MIN(IF(VLOOKUP(F210,'05_Master KPI'!$B$5:$G$100,5,FALSE)="Lower",H210/I210,I210/H210),1),0)</f>
        <v>0</v>
      </c>
      <c r="K210" s="26">
        <f>IFERROR(VLOOKUP(F210,'05_Master KPI'!$B$5:$G$100,4,FALSE),0)</f>
        <v>0</v>
      </c>
      <c r="L210" s="28">
        <f t="shared" si="3"/>
        <v>0</v>
      </c>
      <c r="M210" s="26" t="str">
        <f>IF(D210="","",IF(J210&gt;='13_Setting'!$H$7,"Tercapai",IF(J210&gt;='13_Setting'!$H$6,"On Track","Tertinggal")))</f>
        <v/>
      </c>
      <c r="N210" s="24"/>
    </row>
    <row r="211" spans="1:14">
      <c r="A211" s="24"/>
      <c r="B211" s="24"/>
      <c r="C211" s="25"/>
      <c r="D211" s="24"/>
      <c r="E211" s="26" t="str">
        <f>IFERROR(VLOOKUP(D211,'04_Master Karyawan'!$A$5:$F$50,2,FALSE),"")</f>
        <v/>
      </c>
      <c r="F211" s="24"/>
      <c r="G211" s="26" t="str">
        <f>IFERROR(VLOOKUP(F211,'05_Master KPI'!$B$5:$G$100,2,FALSE)&amp;" ("&amp;VLOOKUP(F211,'05_Master KPI'!$B$5:$G$100,3,FALSE)&amp;")","")</f>
        <v/>
      </c>
      <c r="H211" s="26">
        <f>IFERROR(IF(B211&lt;&gt;'06_Target KPI'!$B$3,0,IF(VLOOKUP(F211,'05_Master KPI'!$B$5:$G$100,6,FALSE)="Kumulatif",INDEX('06_Target KPI'!$E$5:$P$100,MATCH(F211,'06_Target KPI'!$B$5:$B$100,0),MATCH(A211,'06_Target KPI'!$E$4:$P$4,0))*DAY(C211)/DAY(EOMONTH(C211,0)),INDEX('06_Target KPI'!$E$5:$P$100,MATCH(F211,'06_Target KPI'!$B$5:$B$100,0),MATCH(A211,'06_Target KPI'!$E$4:$P$4,0)))),0)</f>
        <v>0</v>
      </c>
      <c r="I211" s="24"/>
      <c r="J211" s="27">
        <f>IFERROR(MIN(IF(VLOOKUP(F211,'05_Master KPI'!$B$5:$G$100,5,FALSE)="Lower",H211/I211,I211/H211),1),0)</f>
        <v>0</v>
      </c>
      <c r="K211" s="26">
        <f>IFERROR(VLOOKUP(F211,'05_Master KPI'!$B$5:$G$100,4,FALSE),0)</f>
        <v>0</v>
      </c>
      <c r="L211" s="28">
        <f t="shared" si="3"/>
        <v>0</v>
      </c>
      <c r="M211" s="26" t="str">
        <f>IF(D211="","",IF(J211&gt;='13_Setting'!$H$7,"Tercapai",IF(J211&gt;='13_Setting'!$H$6,"On Track","Tertinggal")))</f>
        <v/>
      </c>
      <c r="N211" s="24"/>
    </row>
    <row r="212" spans="1:14">
      <c r="A212" s="24"/>
      <c r="B212" s="24"/>
      <c r="C212" s="25"/>
      <c r="D212" s="24"/>
      <c r="E212" s="26" t="str">
        <f>IFERROR(VLOOKUP(D212,'04_Master Karyawan'!$A$5:$F$50,2,FALSE),"")</f>
        <v/>
      </c>
      <c r="F212" s="24"/>
      <c r="G212" s="26" t="str">
        <f>IFERROR(VLOOKUP(F212,'05_Master KPI'!$B$5:$G$100,2,FALSE)&amp;" ("&amp;VLOOKUP(F212,'05_Master KPI'!$B$5:$G$100,3,FALSE)&amp;")","")</f>
        <v/>
      </c>
      <c r="H212" s="26">
        <f>IFERROR(IF(B212&lt;&gt;'06_Target KPI'!$B$3,0,IF(VLOOKUP(F212,'05_Master KPI'!$B$5:$G$100,6,FALSE)="Kumulatif",INDEX('06_Target KPI'!$E$5:$P$100,MATCH(F212,'06_Target KPI'!$B$5:$B$100,0),MATCH(A212,'06_Target KPI'!$E$4:$P$4,0))*DAY(C212)/DAY(EOMONTH(C212,0)),INDEX('06_Target KPI'!$E$5:$P$100,MATCH(F212,'06_Target KPI'!$B$5:$B$100,0),MATCH(A212,'06_Target KPI'!$E$4:$P$4,0)))),0)</f>
        <v>0</v>
      </c>
      <c r="I212" s="24"/>
      <c r="J212" s="27">
        <f>IFERROR(MIN(IF(VLOOKUP(F212,'05_Master KPI'!$B$5:$G$100,5,FALSE)="Lower",H212/I212,I212/H212),1),0)</f>
        <v>0</v>
      </c>
      <c r="K212" s="26">
        <f>IFERROR(VLOOKUP(F212,'05_Master KPI'!$B$5:$G$100,4,FALSE),0)</f>
        <v>0</v>
      </c>
      <c r="L212" s="28">
        <f t="shared" si="3"/>
        <v>0</v>
      </c>
      <c r="M212" s="26" t="str">
        <f>IF(D212="","",IF(J212&gt;='13_Setting'!$H$7,"Tercapai",IF(J212&gt;='13_Setting'!$H$6,"On Track","Tertinggal")))</f>
        <v/>
      </c>
      <c r="N212" s="24"/>
    </row>
    <row r="213" spans="1:14">
      <c r="A213" s="24"/>
      <c r="B213" s="24"/>
      <c r="C213" s="25"/>
      <c r="D213" s="24"/>
      <c r="E213" s="26" t="str">
        <f>IFERROR(VLOOKUP(D213,'04_Master Karyawan'!$A$5:$F$50,2,FALSE),"")</f>
        <v/>
      </c>
      <c r="F213" s="24"/>
      <c r="G213" s="26" t="str">
        <f>IFERROR(VLOOKUP(F213,'05_Master KPI'!$B$5:$G$100,2,FALSE)&amp;" ("&amp;VLOOKUP(F213,'05_Master KPI'!$B$5:$G$100,3,FALSE)&amp;")","")</f>
        <v/>
      </c>
      <c r="H213" s="26">
        <f>IFERROR(IF(B213&lt;&gt;'06_Target KPI'!$B$3,0,IF(VLOOKUP(F213,'05_Master KPI'!$B$5:$G$100,6,FALSE)="Kumulatif",INDEX('06_Target KPI'!$E$5:$P$100,MATCH(F213,'06_Target KPI'!$B$5:$B$100,0),MATCH(A213,'06_Target KPI'!$E$4:$P$4,0))*DAY(C213)/DAY(EOMONTH(C213,0)),INDEX('06_Target KPI'!$E$5:$P$100,MATCH(F213,'06_Target KPI'!$B$5:$B$100,0),MATCH(A213,'06_Target KPI'!$E$4:$P$4,0)))),0)</f>
        <v>0</v>
      </c>
      <c r="I213" s="24"/>
      <c r="J213" s="27">
        <f>IFERROR(MIN(IF(VLOOKUP(F213,'05_Master KPI'!$B$5:$G$100,5,FALSE)="Lower",H213/I213,I213/H213),1),0)</f>
        <v>0</v>
      </c>
      <c r="K213" s="26">
        <f>IFERROR(VLOOKUP(F213,'05_Master KPI'!$B$5:$G$100,4,FALSE),0)</f>
        <v>0</v>
      </c>
      <c r="L213" s="28">
        <f t="shared" si="3"/>
        <v>0</v>
      </c>
      <c r="M213" s="26" t="str">
        <f>IF(D213="","",IF(J213&gt;='13_Setting'!$H$7,"Tercapai",IF(J213&gt;='13_Setting'!$H$6,"On Track","Tertinggal")))</f>
        <v/>
      </c>
      <c r="N213" s="24"/>
    </row>
    <row r="214" spans="1:14">
      <c r="A214" s="24"/>
      <c r="B214" s="24"/>
      <c r="C214" s="25"/>
      <c r="D214" s="24"/>
      <c r="E214" s="26" t="str">
        <f>IFERROR(VLOOKUP(D214,'04_Master Karyawan'!$A$5:$F$50,2,FALSE),"")</f>
        <v/>
      </c>
      <c r="F214" s="24"/>
      <c r="G214" s="26" t="str">
        <f>IFERROR(VLOOKUP(F214,'05_Master KPI'!$B$5:$G$100,2,FALSE)&amp;" ("&amp;VLOOKUP(F214,'05_Master KPI'!$B$5:$G$100,3,FALSE)&amp;")","")</f>
        <v/>
      </c>
      <c r="H214" s="26">
        <f>IFERROR(IF(B214&lt;&gt;'06_Target KPI'!$B$3,0,IF(VLOOKUP(F214,'05_Master KPI'!$B$5:$G$100,6,FALSE)="Kumulatif",INDEX('06_Target KPI'!$E$5:$P$100,MATCH(F214,'06_Target KPI'!$B$5:$B$100,0),MATCH(A214,'06_Target KPI'!$E$4:$P$4,0))*DAY(C214)/DAY(EOMONTH(C214,0)),INDEX('06_Target KPI'!$E$5:$P$100,MATCH(F214,'06_Target KPI'!$B$5:$B$100,0),MATCH(A214,'06_Target KPI'!$E$4:$P$4,0)))),0)</f>
        <v>0</v>
      </c>
      <c r="I214" s="24"/>
      <c r="J214" s="27">
        <f>IFERROR(MIN(IF(VLOOKUP(F214,'05_Master KPI'!$B$5:$G$100,5,FALSE)="Lower",H214/I214,I214/H214),1),0)</f>
        <v>0</v>
      </c>
      <c r="K214" s="26">
        <f>IFERROR(VLOOKUP(F214,'05_Master KPI'!$B$5:$G$100,4,FALSE),0)</f>
        <v>0</v>
      </c>
      <c r="L214" s="28">
        <f t="shared" si="3"/>
        <v>0</v>
      </c>
      <c r="M214" s="26" t="str">
        <f>IF(D214="","",IF(J214&gt;='13_Setting'!$H$7,"Tercapai",IF(J214&gt;='13_Setting'!$H$6,"On Track","Tertinggal")))</f>
        <v/>
      </c>
      <c r="N214" s="24"/>
    </row>
    <row r="215" spans="1:14">
      <c r="A215" s="24"/>
      <c r="B215" s="24"/>
      <c r="C215" s="25"/>
      <c r="D215" s="24"/>
      <c r="E215" s="26" t="str">
        <f>IFERROR(VLOOKUP(D215,'04_Master Karyawan'!$A$5:$F$50,2,FALSE),"")</f>
        <v/>
      </c>
      <c r="F215" s="24"/>
      <c r="G215" s="26" t="str">
        <f>IFERROR(VLOOKUP(F215,'05_Master KPI'!$B$5:$G$100,2,FALSE)&amp;" ("&amp;VLOOKUP(F215,'05_Master KPI'!$B$5:$G$100,3,FALSE)&amp;")","")</f>
        <v/>
      </c>
      <c r="H215" s="26">
        <f>IFERROR(IF(B215&lt;&gt;'06_Target KPI'!$B$3,0,IF(VLOOKUP(F215,'05_Master KPI'!$B$5:$G$100,6,FALSE)="Kumulatif",INDEX('06_Target KPI'!$E$5:$P$100,MATCH(F215,'06_Target KPI'!$B$5:$B$100,0),MATCH(A215,'06_Target KPI'!$E$4:$P$4,0))*DAY(C215)/DAY(EOMONTH(C215,0)),INDEX('06_Target KPI'!$E$5:$P$100,MATCH(F215,'06_Target KPI'!$B$5:$B$100,0),MATCH(A215,'06_Target KPI'!$E$4:$P$4,0)))),0)</f>
        <v>0</v>
      </c>
      <c r="I215" s="24"/>
      <c r="J215" s="27">
        <f>IFERROR(MIN(IF(VLOOKUP(F215,'05_Master KPI'!$B$5:$G$100,5,FALSE)="Lower",H215/I215,I215/H215),1),0)</f>
        <v>0</v>
      </c>
      <c r="K215" s="26">
        <f>IFERROR(VLOOKUP(F215,'05_Master KPI'!$B$5:$G$100,4,FALSE),0)</f>
        <v>0</v>
      </c>
      <c r="L215" s="28">
        <f t="shared" si="3"/>
        <v>0</v>
      </c>
      <c r="M215" s="26" t="str">
        <f>IF(D215="","",IF(J215&gt;='13_Setting'!$H$7,"Tercapai",IF(J215&gt;='13_Setting'!$H$6,"On Track","Tertinggal")))</f>
        <v/>
      </c>
      <c r="N215" s="24"/>
    </row>
    <row r="216" spans="1:14">
      <c r="A216" s="24"/>
      <c r="B216" s="24"/>
      <c r="C216" s="25"/>
      <c r="D216" s="24"/>
      <c r="E216" s="26" t="str">
        <f>IFERROR(VLOOKUP(D216,'04_Master Karyawan'!$A$5:$F$50,2,FALSE),"")</f>
        <v/>
      </c>
      <c r="F216" s="24"/>
      <c r="G216" s="26" t="str">
        <f>IFERROR(VLOOKUP(F216,'05_Master KPI'!$B$5:$G$100,2,FALSE)&amp;" ("&amp;VLOOKUP(F216,'05_Master KPI'!$B$5:$G$100,3,FALSE)&amp;")","")</f>
        <v/>
      </c>
      <c r="H216" s="26">
        <f>IFERROR(IF(B216&lt;&gt;'06_Target KPI'!$B$3,0,IF(VLOOKUP(F216,'05_Master KPI'!$B$5:$G$100,6,FALSE)="Kumulatif",INDEX('06_Target KPI'!$E$5:$P$100,MATCH(F216,'06_Target KPI'!$B$5:$B$100,0),MATCH(A216,'06_Target KPI'!$E$4:$P$4,0))*DAY(C216)/DAY(EOMONTH(C216,0)),INDEX('06_Target KPI'!$E$5:$P$100,MATCH(F216,'06_Target KPI'!$B$5:$B$100,0),MATCH(A216,'06_Target KPI'!$E$4:$P$4,0)))),0)</f>
        <v>0</v>
      </c>
      <c r="I216" s="24"/>
      <c r="J216" s="27">
        <f>IFERROR(MIN(IF(VLOOKUP(F216,'05_Master KPI'!$B$5:$G$100,5,FALSE)="Lower",H216/I216,I216/H216),1),0)</f>
        <v>0</v>
      </c>
      <c r="K216" s="26">
        <f>IFERROR(VLOOKUP(F216,'05_Master KPI'!$B$5:$G$100,4,FALSE),0)</f>
        <v>0</v>
      </c>
      <c r="L216" s="28">
        <f t="shared" si="3"/>
        <v>0</v>
      </c>
      <c r="M216" s="26" t="str">
        <f>IF(D216="","",IF(J216&gt;='13_Setting'!$H$7,"Tercapai",IF(J216&gt;='13_Setting'!$H$6,"On Track","Tertinggal")))</f>
        <v/>
      </c>
      <c r="N216" s="24"/>
    </row>
    <row r="217" spans="1:14">
      <c r="A217" s="24"/>
      <c r="B217" s="24"/>
      <c r="C217" s="25"/>
      <c r="D217" s="24"/>
      <c r="E217" s="26" t="str">
        <f>IFERROR(VLOOKUP(D217,'04_Master Karyawan'!$A$5:$F$50,2,FALSE),"")</f>
        <v/>
      </c>
      <c r="F217" s="24"/>
      <c r="G217" s="26" t="str">
        <f>IFERROR(VLOOKUP(F217,'05_Master KPI'!$B$5:$G$100,2,FALSE)&amp;" ("&amp;VLOOKUP(F217,'05_Master KPI'!$B$5:$G$100,3,FALSE)&amp;")","")</f>
        <v/>
      </c>
      <c r="H217" s="26">
        <f>IFERROR(IF(B217&lt;&gt;'06_Target KPI'!$B$3,0,IF(VLOOKUP(F217,'05_Master KPI'!$B$5:$G$100,6,FALSE)="Kumulatif",INDEX('06_Target KPI'!$E$5:$P$100,MATCH(F217,'06_Target KPI'!$B$5:$B$100,0),MATCH(A217,'06_Target KPI'!$E$4:$P$4,0))*DAY(C217)/DAY(EOMONTH(C217,0)),INDEX('06_Target KPI'!$E$5:$P$100,MATCH(F217,'06_Target KPI'!$B$5:$B$100,0),MATCH(A217,'06_Target KPI'!$E$4:$P$4,0)))),0)</f>
        <v>0</v>
      </c>
      <c r="I217" s="24"/>
      <c r="J217" s="27">
        <f>IFERROR(MIN(IF(VLOOKUP(F217,'05_Master KPI'!$B$5:$G$100,5,FALSE)="Lower",H217/I217,I217/H217),1),0)</f>
        <v>0</v>
      </c>
      <c r="K217" s="26">
        <f>IFERROR(VLOOKUP(F217,'05_Master KPI'!$B$5:$G$100,4,FALSE),0)</f>
        <v>0</v>
      </c>
      <c r="L217" s="28">
        <f t="shared" si="3"/>
        <v>0</v>
      </c>
      <c r="M217" s="26" t="str">
        <f>IF(D217="","",IF(J217&gt;='13_Setting'!$H$7,"Tercapai",IF(J217&gt;='13_Setting'!$H$6,"On Track","Tertinggal")))</f>
        <v/>
      </c>
      <c r="N217" s="24"/>
    </row>
    <row r="218" spans="1:14">
      <c r="A218" s="24"/>
      <c r="B218" s="24"/>
      <c r="C218" s="25"/>
      <c r="D218" s="24"/>
      <c r="E218" s="26" t="str">
        <f>IFERROR(VLOOKUP(D218,'04_Master Karyawan'!$A$5:$F$50,2,FALSE),"")</f>
        <v/>
      </c>
      <c r="F218" s="24"/>
      <c r="G218" s="26" t="str">
        <f>IFERROR(VLOOKUP(F218,'05_Master KPI'!$B$5:$G$100,2,FALSE)&amp;" ("&amp;VLOOKUP(F218,'05_Master KPI'!$B$5:$G$100,3,FALSE)&amp;")","")</f>
        <v/>
      </c>
      <c r="H218" s="26">
        <f>IFERROR(IF(B218&lt;&gt;'06_Target KPI'!$B$3,0,IF(VLOOKUP(F218,'05_Master KPI'!$B$5:$G$100,6,FALSE)="Kumulatif",INDEX('06_Target KPI'!$E$5:$P$100,MATCH(F218,'06_Target KPI'!$B$5:$B$100,0),MATCH(A218,'06_Target KPI'!$E$4:$P$4,0))*DAY(C218)/DAY(EOMONTH(C218,0)),INDEX('06_Target KPI'!$E$5:$P$100,MATCH(F218,'06_Target KPI'!$B$5:$B$100,0),MATCH(A218,'06_Target KPI'!$E$4:$P$4,0)))),0)</f>
        <v>0</v>
      </c>
      <c r="I218" s="24"/>
      <c r="J218" s="27">
        <f>IFERROR(MIN(IF(VLOOKUP(F218,'05_Master KPI'!$B$5:$G$100,5,FALSE)="Lower",H218/I218,I218/H218),1),0)</f>
        <v>0</v>
      </c>
      <c r="K218" s="26">
        <f>IFERROR(VLOOKUP(F218,'05_Master KPI'!$B$5:$G$100,4,FALSE),0)</f>
        <v>0</v>
      </c>
      <c r="L218" s="28">
        <f t="shared" si="3"/>
        <v>0</v>
      </c>
      <c r="M218" s="26" t="str">
        <f>IF(D218="","",IF(J218&gt;='13_Setting'!$H$7,"Tercapai",IF(J218&gt;='13_Setting'!$H$6,"On Track","Tertinggal")))</f>
        <v/>
      </c>
      <c r="N218" s="24"/>
    </row>
    <row r="219" spans="1:14">
      <c r="A219" s="24"/>
      <c r="B219" s="24"/>
      <c r="C219" s="25"/>
      <c r="D219" s="24"/>
      <c r="E219" s="26" t="str">
        <f>IFERROR(VLOOKUP(D219,'04_Master Karyawan'!$A$5:$F$50,2,FALSE),"")</f>
        <v/>
      </c>
      <c r="F219" s="24"/>
      <c r="G219" s="26" t="str">
        <f>IFERROR(VLOOKUP(F219,'05_Master KPI'!$B$5:$G$100,2,FALSE)&amp;" ("&amp;VLOOKUP(F219,'05_Master KPI'!$B$5:$G$100,3,FALSE)&amp;")","")</f>
        <v/>
      </c>
      <c r="H219" s="26">
        <f>IFERROR(IF(B219&lt;&gt;'06_Target KPI'!$B$3,0,IF(VLOOKUP(F219,'05_Master KPI'!$B$5:$G$100,6,FALSE)="Kumulatif",INDEX('06_Target KPI'!$E$5:$P$100,MATCH(F219,'06_Target KPI'!$B$5:$B$100,0),MATCH(A219,'06_Target KPI'!$E$4:$P$4,0))*DAY(C219)/DAY(EOMONTH(C219,0)),INDEX('06_Target KPI'!$E$5:$P$100,MATCH(F219,'06_Target KPI'!$B$5:$B$100,0),MATCH(A219,'06_Target KPI'!$E$4:$P$4,0)))),0)</f>
        <v>0</v>
      </c>
      <c r="I219" s="24"/>
      <c r="J219" s="27">
        <f>IFERROR(MIN(IF(VLOOKUP(F219,'05_Master KPI'!$B$5:$G$100,5,FALSE)="Lower",H219/I219,I219/H219),1),0)</f>
        <v>0</v>
      </c>
      <c r="K219" s="26">
        <f>IFERROR(VLOOKUP(F219,'05_Master KPI'!$B$5:$G$100,4,FALSE),0)</f>
        <v>0</v>
      </c>
      <c r="L219" s="28">
        <f t="shared" si="3"/>
        <v>0</v>
      </c>
      <c r="M219" s="26" t="str">
        <f>IF(D219="","",IF(J219&gt;='13_Setting'!$H$7,"Tercapai",IF(J219&gt;='13_Setting'!$H$6,"On Track","Tertinggal")))</f>
        <v/>
      </c>
      <c r="N219" s="24"/>
    </row>
    <row r="220" spans="1:14">
      <c r="A220" s="24"/>
      <c r="B220" s="24"/>
      <c r="C220" s="25"/>
      <c r="D220" s="24"/>
      <c r="E220" s="26" t="str">
        <f>IFERROR(VLOOKUP(D220,'04_Master Karyawan'!$A$5:$F$50,2,FALSE),"")</f>
        <v/>
      </c>
      <c r="F220" s="24"/>
      <c r="G220" s="26" t="str">
        <f>IFERROR(VLOOKUP(F220,'05_Master KPI'!$B$5:$G$100,2,FALSE)&amp;" ("&amp;VLOOKUP(F220,'05_Master KPI'!$B$5:$G$100,3,FALSE)&amp;")","")</f>
        <v/>
      </c>
      <c r="H220" s="26">
        <f>IFERROR(IF(B220&lt;&gt;'06_Target KPI'!$B$3,0,IF(VLOOKUP(F220,'05_Master KPI'!$B$5:$G$100,6,FALSE)="Kumulatif",INDEX('06_Target KPI'!$E$5:$P$100,MATCH(F220,'06_Target KPI'!$B$5:$B$100,0),MATCH(A220,'06_Target KPI'!$E$4:$P$4,0))*DAY(C220)/DAY(EOMONTH(C220,0)),INDEX('06_Target KPI'!$E$5:$P$100,MATCH(F220,'06_Target KPI'!$B$5:$B$100,0),MATCH(A220,'06_Target KPI'!$E$4:$P$4,0)))),0)</f>
        <v>0</v>
      </c>
      <c r="I220" s="24"/>
      <c r="J220" s="27">
        <f>IFERROR(MIN(IF(VLOOKUP(F220,'05_Master KPI'!$B$5:$G$100,5,FALSE)="Lower",H220/I220,I220/H220),1),0)</f>
        <v>0</v>
      </c>
      <c r="K220" s="26">
        <f>IFERROR(VLOOKUP(F220,'05_Master KPI'!$B$5:$G$100,4,FALSE),0)</f>
        <v>0</v>
      </c>
      <c r="L220" s="28">
        <f t="shared" si="3"/>
        <v>0</v>
      </c>
      <c r="M220" s="26" t="str">
        <f>IF(D220="","",IF(J220&gt;='13_Setting'!$H$7,"Tercapai",IF(J220&gt;='13_Setting'!$H$6,"On Track","Tertinggal")))</f>
        <v/>
      </c>
      <c r="N220" s="24"/>
    </row>
    <row r="221" spans="1:14">
      <c r="A221" s="24"/>
      <c r="B221" s="24"/>
      <c r="C221" s="25"/>
      <c r="D221" s="24"/>
      <c r="E221" s="26" t="str">
        <f>IFERROR(VLOOKUP(D221,'04_Master Karyawan'!$A$5:$F$50,2,FALSE),"")</f>
        <v/>
      </c>
      <c r="F221" s="24"/>
      <c r="G221" s="26" t="str">
        <f>IFERROR(VLOOKUP(F221,'05_Master KPI'!$B$5:$G$100,2,FALSE)&amp;" ("&amp;VLOOKUP(F221,'05_Master KPI'!$B$5:$G$100,3,FALSE)&amp;")","")</f>
        <v/>
      </c>
      <c r="H221" s="26">
        <f>IFERROR(IF(B221&lt;&gt;'06_Target KPI'!$B$3,0,IF(VLOOKUP(F221,'05_Master KPI'!$B$5:$G$100,6,FALSE)="Kumulatif",INDEX('06_Target KPI'!$E$5:$P$100,MATCH(F221,'06_Target KPI'!$B$5:$B$100,0),MATCH(A221,'06_Target KPI'!$E$4:$P$4,0))*DAY(C221)/DAY(EOMONTH(C221,0)),INDEX('06_Target KPI'!$E$5:$P$100,MATCH(F221,'06_Target KPI'!$B$5:$B$100,0),MATCH(A221,'06_Target KPI'!$E$4:$P$4,0)))),0)</f>
        <v>0</v>
      </c>
      <c r="I221" s="24"/>
      <c r="J221" s="27">
        <f>IFERROR(MIN(IF(VLOOKUP(F221,'05_Master KPI'!$B$5:$G$100,5,FALSE)="Lower",H221/I221,I221/H221),1),0)</f>
        <v>0</v>
      </c>
      <c r="K221" s="26">
        <f>IFERROR(VLOOKUP(F221,'05_Master KPI'!$B$5:$G$100,4,FALSE),0)</f>
        <v>0</v>
      </c>
      <c r="L221" s="28">
        <f t="shared" si="3"/>
        <v>0</v>
      </c>
      <c r="M221" s="26" t="str">
        <f>IF(D221="","",IF(J221&gt;='13_Setting'!$H$7,"Tercapai",IF(J221&gt;='13_Setting'!$H$6,"On Track","Tertinggal")))</f>
        <v/>
      </c>
      <c r="N221" s="24"/>
    </row>
    <row r="222" spans="1:14">
      <c r="A222" s="24"/>
      <c r="B222" s="24"/>
      <c r="C222" s="25"/>
      <c r="D222" s="24"/>
      <c r="E222" s="26" t="str">
        <f>IFERROR(VLOOKUP(D222,'04_Master Karyawan'!$A$5:$F$50,2,FALSE),"")</f>
        <v/>
      </c>
      <c r="F222" s="24"/>
      <c r="G222" s="26" t="str">
        <f>IFERROR(VLOOKUP(F222,'05_Master KPI'!$B$5:$G$100,2,FALSE)&amp;" ("&amp;VLOOKUP(F222,'05_Master KPI'!$B$5:$G$100,3,FALSE)&amp;")","")</f>
        <v/>
      </c>
      <c r="H222" s="26">
        <f>IFERROR(IF(B222&lt;&gt;'06_Target KPI'!$B$3,0,IF(VLOOKUP(F222,'05_Master KPI'!$B$5:$G$100,6,FALSE)="Kumulatif",INDEX('06_Target KPI'!$E$5:$P$100,MATCH(F222,'06_Target KPI'!$B$5:$B$100,0),MATCH(A222,'06_Target KPI'!$E$4:$P$4,0))*DAY(C222)/DAY(EOMONTH(C222,0)),INDEX('06_Target KPI'!$E$5:$P$100,MATCH(F222,'06_Target KPI'!$B$5:$B$100,0),MATCH(A222,'06_Target KPI'!$E$4:$P$4,0)))),0)</f>
        <v>0</v>
      </c>
      <c r="I222" s="24"/>
      <c r="J222" s="27">
        <f>IFERROR(MIN(IF(VLOOKUP(F222,'05_Master KPI'!$B$5:$G$100,5,FALSE)="Lower",H222/I222,I222/H222),1),0)</f>
        <v>0</v>
      </c>
      <c r="K222" s="26">
        <f>IFERROR(VLOOKUP(F222,'05_Master KPI'!$B$5:$G$100,4,FALSE),0)</f>
        <v>0</v>
      </c>
      <c r="L222" s="28">
        <f t="shared" si="3"/>
        <v>0</v>
      </c>
      <c r="M222" s="26" t="str">
        <f>IF(D222="","",IF(J222&gt;='13_Setting'!$H$7,"Tercapai",IF(J222&gt;='13_Setting'!$H$6,"On Track","Tertinggal")))</f>
        <v/>
      </c>
      <c r="N222" s="24"/>
    </row>
    <row r="223" spans="1:14">
      <c r="A223" s="24"/>
      <c r="B223" s="24"/>
      <c r="C223" s="25"/>
      <c r="D223" s="24"/>
      <c r="E223" s="26" t="str">
        <f>IFERROR(VLOOKUP(D223,'04_Master Karyawan'!$A$5:$F$50,2,FALSE),"")</f>
        <v/>
      </c>
      <c r="F223" s="24"/>
      <c r="G223" s="26" t="str">
        <f>IFERROR(VLOOKUP(F223,'05_Master KPI'!$B$5:$G$100,2,FALSE)&amp;" ("&amp;VLOOKUP(F223,'05_Master KPI'!$B$5:$G$100,3,FALSE)&amp;")","")</f>
        <v/>
      </c>
      <c r="H223" s="26">
        <f>IFERROR(IF(B223&lt;&gt;'06_Target KPI'!$B$3,0,IF(VLOOKUP(F223,'05_Master KPI'!$B$5:$G$100,6,FALSE)="Kumulatif",INDEX('06_Target KPI'!$E$5:$P$100,MATCH(F223,'06_Target KPI'!$B$5:$B$100,0),MATCH(A223,'06_Target KPI'!$E$4:$P$4,0))*DAY(C223)/DAY(EOMONTH(C223,0)),INDEX('06_Target KPI'!$E$5:$P$100,MATCH(F223,'06_Target KPI'!$B$5:$B$100,0),MATCH(A223,'06_Target KPI'!$E$4:$P$4,0)))),0)</f>
        <v>0</v>
      </c>
      <c r="I223" s="24"/>
      <c r="J223" s="27">
        <f>IFERROR(MIN(IF(VLOOKUP(F223,'05_Master KPI'!$B$5:$G$100,5,FALSE)="Lower",H223/I223,I223/H223),1),0)</f>
        <v>0</v>
      </c>
      <c r="K223" s="26">
        <f>IFERROR(VLOOKUP(F223,'05_Master KPI'!$B$5:$G$100,4,FALSE),0)</f>
        <v>0</v>
      </c>
      <c r="L223" s="28">
        <f t="shared" si="3"/>
        <v>0</v>
      </c>
      <c r="M223" s="26" t="str">
        <f>IF(D223="","",IF(J223&gt;='13_Setting'!$H$7,"Tercapai",IF(J223&gt;='13_Setting'!$H$6,"On Track","Tertinggal")))</f>
        <v/>
      </c>
      <c r="N223" s="24"/>
    </row>
    <row r="224" spans="1:14">
      <c r="A224" s="24"/>
      <c r="B224" s="24"/>
      <c r="C224" s="25"/>
      <c r="D224" s="24"/>
      <c r="E224" s="26" t="str">
        <f>IFERROR(VLOOKUP(D224,'04_Master Karyawan'!$A$5:$F$50,2,FALSE),"")</f>
        <v/>
      </c>
      <c r="F224" s="24"/>
      <c r="G224" s="26" t="str">
        <f>IFERROR(VLOOKUP(F224,'05_Master KPI'!$B$5:$G$100,2,FALSE)&amp;" ("&amp;VLOOKUP(F224,'05_Master KPI'!$B$5:$G$100,3,FALSE)&amp;")","")</f>
        <v/>
      </c>
      <c r="H224" s="26">
        <f>IFERROR(IF(B224&lt;&gt;'06_Target KPI'!$B$3,0,IF(VLOOKUP(F224,'05_Master KPI'!$B$5:$G$100,6,FALSE)="Kumulatif",INDEX('06_Target KPI'!$E$5:$P$100,MATCH(F224,'06_Target KPI'!$B$5:$B$100,0),MATCH(A224,'06_Target KPI'!$E$4:$P$4,0))*DAY(C224)/DAY(EOMONTH(C224,0)),INDEX('06_Target KPI'!$E$5:$P$100,MATCH(F224,'06_Target KPI'!$B$5:$B$100,0),MATCH(A224,'06_Target KPI'!$E$4:$P$4,0)))),0)</f>
        <v>0</v>
      </c>
      <c r="I224" s="24"/>
      <c r="J224" s="27">
        <f>IFERROR(MIN(IF(VLOOKUP(F224,'05_Master KPI'!$B$5:$G$100,5,FALSE)="Lower",H224/I224,I224/H224),1),0)</f>
        <v>0</v>
      </c>
      <c r="K224" s="26">
        <f>IFERROR(VLOOKUP(F224,'05_Master KPI'!$B$5:$G$100,4,FALSE),0)</f>
        <v>0</v>
      </c>
      <c r="L224" s="28">
        <f t="shared" si="3"/>
        <v>0</v>
      </c>
      <c r="M224" s="26" t="str">
        <f>IF(D224="","",IF(J224&gt;='13_Setting'!$H$7,"Tercapai",IF(J224&gt;='13_Setting'!$H$6,"On Track","Tertinggal")))</f>
        <v/>
      </c>
      <c r="N224" s="24"/>
    </row>
    <row r="225" spans="1:14">
      <c r="A225" s="24"/>
      <c r="B225" s="24"/>
      <c r="C225" s="25"/>
      <c r="D225" s="24"/>
      <c r="E225" s="26" t="str">
        <f>IFERROR(VLOOKUP(D225,'04_Master Karyawan'!$A$5:$F$50,2,FALSE),"")</f>
        <v/>
      </c>
      <c r="F225" s="24"/>
      <c r="G225" s="26" t="str">
        <f>IFERROR(VLOOKUP(F225,'05_Master KPI'!$B$5:$G$100,2,FALSE)&amp;" ("&amp;VLOOKUP(F225,'05_Master KPI'!$B$5:$G$100,3,FALSE)&amp;")","")</f>
        <v/>
      </c>
      <c r="H225" s="26">
        <f>IFERROR(IF(B225&lt;&gt;'06_Target KPI'!$B$3,0,IF(VLOOKUP(F225,'05_Master KPI'!$B$5:$G$100,6,FALSE)="Kumulatif",INDEX('06_Target KPI'!$E$5:$P$100,MATCH(F225,'06_Target KPI'!$B$5:$B$100,0),MATCH(A225,'06_Target KPI'!$E$4:$P$4,0))*DAY(C225)/DAY(EOMONTH(C225,0)),INDEX('06_Target KPI'!$E$5:$P$100,MATCH(F225,'06_Target KPI'!$B$5:$B$100,0),MATCH(A225,'06_Target KPI'!$E$4:$P$4,0)))),0)</f>
        <v>0</v>
      </c>
      <c r="I225" s="24"/>
      <c r="J225" s="27">
        <f>IFERROR(MIN(IF(VLOOKUP(F225,'05_Master KPI'!$B$5:$G$100,5,FALSE)="Lower",H225/I225,I225/H225),1),0)</f>
        <v>0</v>
      </c>
      <c r="K225" s="26">
        <f>IFERROR(VLOOKUP(F225,'05_Master KPI'!$B$5:$G$100,4,FALSE),0)</f>
        <v>0</v>
      </c>
      <c r="L225" s="28">
        <f t="shared" si="3"/>
        <v>0</v>
      </c>
      <c r="M225" s="26" t="str">
        <f>IF(D225="","",IF(J225&gt;='13_Setting'!$H$7,"Tercapai",IF(J225&gt;='13_Setting'!$H$6,"On Track","Tertinggal")))</f>
        <v/>
      </c>
      <c r="N225" s="24"/>
    </row>
    <row r="226" spans="1:14">
      <c r="A226" s="24"/>
      <c r="B226" s="24"/>
      <c r="C226" s="25"/>
      <c r="D226" s="24"/>
      <c r="E226" s="26" t="str">
        <f>IFERROR(VLOOKUP(D226,'04_Master Karyawan'!$A$5:$F$50,2,FALSE),"")</f>
        <v/>
      </c>
      <c r="F226" s="24"/>
      <c r="G226" s="26" t="str">
        <f>IFERROR(VLOOKUP(F226,'05_Master KPI'!$B$5:$G$100,2,FALSE)&amp;" ("&amp;VLOOKUP(F226,'05_Master KPI'!$B$5:$G$100,3,FALSE)&amp;")","")</f>
        <v/>
      </c>
      <c r="H226" s="26">
        <f>IFERROR(IF(B226&lt;&gt;'06_Target KPI'!$B$3,0,IF(VLOOKUP(F226,'05_Master KPI'!$B$5:$G$100,6,FALSE)="Kumulatif",INDEX('06_Target KPI'!$E$5:$P$100,MATCH(F226,'06_Target KPI'!$B$5:$B$100,0),MATCH(A226,'06_Target KPI'!$E$4:$P$4,0))*DAY(C226)/DAY(EOMONTH(C226,0)),INDEX('06_Target KPI'!$E$5:$P$100,MATCH(F226,'06_Target KPI'!$B$5:$B$100,0),MATCH(A226,'06_Target KPI'!$E$4:$P$4,0)))),0)</f>
        <v>0</v>
      </c>
      <c r="I226" s="24"/>
      <c r="J226" s="27">
        <f>IFERROR(MIN(IF(VLOOKUP(F226,'05_Master KPI'!$B$5:$G$100,5,FALSE)="Lower",H226/I226,I226/H226),1),0)</f>
        <v>0</v>
      </c>
      <c r="K226" s="26">
        <f>IFERROR(VLOOKUP(F226,'05_Master KPI'!$B$5:$G$100,4,FALSE),0)</f>
        <v>0</v>
      </c>
      <c r="L226" s="28">
        <f t="shared" si="3"/>
        <v>0</v>
      </c>
      <c r="M226" s="26" t="str">
        <f>IF(D226="","",IF(J226&gt;='13_Setting'!$H$7,"Tercapai",IF(J226&gt;='13_Setting'!$H$6,"On Track","Tertinggal")))</f>
        <v/>
      </c>
      <c r="N226" s="24"/>
    </row>
    <row r="227" spans="1:14">
      <c r="A227" s="24"/>
      <c r="B227" s="24"/>
      <c r="C227" s="25"/>
      <c r="D227" s="24"/>
      <c r="E227" s="26" t="str">
        <f>IFERROR(VLOOKUP(D227,'04_Master Karyawan'!$A$5:$F$50,2,FALSE),"")</f>
        <v/>
      </c>
      <c r="F227" s="24"/>
      <c r="G227" s="26" t="str">
        <f>IFERROR(VLOOKUP(F227,'05_Master KPI'!$B$5:$G$100,2,FALSE)&amp;" ("&amp;VLOOKUP(F227,'05_Master KPI'!$B$5:$G$100,3,FALSE)&amp;")","")</f>
        <v/>
      </c>
      <c r="H227" s="26">
        <f>IFERROR(IF(B227&lt;&gt;'06_Target KPI'!$B$3,0,IF(VLOOKUP(F227,'05_Master KPI'!$B$5:$G$100,6,FALSE)="Kumulatif",INDEX('06_Target KPI'!$E$5:$P$100,MATCH(F227,'06_Target KPI'!$B$5:$B$100,0),MATCH(A227,'06_Target KPI'!$E$4:$P$4,0))*DAY(C227)/DAY(EOMONTH(C227,0)),INDEX('06_Target KPI'!$E$5:$P$100,MATCH(F227,'06_Target KPI'!$B$5:$B$100,0),MATCH(A227,'06_Target KPI'!$E$4:$P$4,0)))),0)</f>
        <v>0</v>
      </c>
      <c r="I227" s="24"/>
      <c r="J227" s="27">
        <f>IFERROR(MIN(IF(VLOOKUP(F227,'05_Master KPI'!$B$5:$G$100,5,FALSE)="Lower",H227/I227,I227/H227),1),0)</f>
        <v>0</v>
      </c>
      <c r="K227" s="26">
        <f>IFERROR(VLOOKUP(F227,'05_Master KPI'!$B$5:$G$100,4,FALSE),0)</f>
        <v>0</v>
      </c>
      <c r="L227" s="28">
        <f t="shared" si="3"/>
        <v>0</v>
      </c>
      <c r="M227" s="26" t="str">
        <f>IF(D227="","",IF(J227&gt;='13_Setting'!$H$7,"Tercapai",IF(J227&gt;='13_Setting'!$H$6,"On Track","Tertinggal")))</f>
        <v/>
      </c>
      <c r="N227" s="24"/>
    </row>
    <row r="228" spans="1:14">
      <c r="A228" s="24"/>
      <c r="B228" s="24"/>
      <c r="C228" s="25"/>
      <c r="D228" s="24"/>
      <c r="E228" s="26" t="str">
        <f>IFERROR(VLOOKUP(D228,'04_Master Karyawan'!$A$5:$F$50,2,FALSE),"")</f>
        <v/>
      </c>
      <c r="F228" s="24"/>
      <c r="G228" s="26" t="str">
        <f>IFERROR(VLOOKUP(F228,'05_Master KPI'!$B$5:$G$100,2,FALSE)&amp;" ("&amp;VLOOKUP(F228,'05_Master KPI'!$B$5:$G$100,3,FALSE)&amp;")","")</f>
        <v/>
      </c>
      <c r="H228" s="26">
        <f>IFERROR(IF(B228&lt;&gt;'06_Target KPI'!$B$3,0,IF(VLOOKUP(F228,'05_Master KPI'!$B$5:$G$100,6,FALSE)="Kumulatif",INDEX('06_Target KPI'!$E$5:$P$100,MATCH(F228,'06_Target KPI'!$B$5:$B$100,0),MATCH(A228,'06_Target KPI'!$E$4:$P$4,0))*DAY(C228)/DAY(EOMONTH(C228,0)),INDEX('06_Target KPI'!$E$5:$P$100,MATCH(F228,'06_Target KPI'!$B$5:$B$100,0),MATCH(A228,'06_Target KPI'!$E$4:$P$4,0)))),0)</f>
        <v>0</v>
      </c>
      <c r="I228" s="24"/>
      <c r="J228" s="27">
        <f>IFERROR(MIN(IF(VLOOKUP(F228,'05_Master KPI'!$B$5:$G$100,5,FALSE)="Lower",H228/I228,I228/H228),1),0)</f>
        <v>0</v>
      </c>
      <c r="K228" s="26">
        <f>IFERROR(VLOOKUP(F228,'05_Master KPI'!$B$5:$G$100,4,FALSE),0)</f>
        <v>0</v>
      </c>
      <c r="L228" s="28">
        <f t="shared" si="3"/>
        <v>0</v>
      </c>
      <c r="M228" s="26" t="str">
        <f>IF(D228="","",IF(J228&gt;='13_Setting'!$H$7,"Tercapai",IF(J228&gt;='13_Setting'!$H$6,"On Track","Tertinggal")))</f>
        <v/>
      </c>
      <c r="N228" s="24"/>
    </row>
    <row r="229" spans="1:14">
      <c r="A229" s="24"/>
      <c r="B229" s="24"/>
      <c r="C229" s="25"/>
      <c r="D229" s="24"/>
      <c r="E229" s="26" t="str">
        <f>IFERROR(VLOOKUP(D229,'04_Master Karyawan'!$A$5:$F$50,2,FALSE),"")</f>
        <v/>
      </c>
      <c r="F229" s="24"/>
      <c r="G229" s="26" t="str">
        <f>IFERROR(VLOOKUP(F229,'05_Master KPI'!$B$5:$G$100,2,FALSE)&amp;" ("&amp;VLOOKUP(F229,'05_Master KPI'!$B$5:$G$100,3,FALSE)&amp;")","")</f>
        <v/>
      </c>
      <c r="H229" s="26">
        <f>IFERROR(IF(B229&lt;&gt;'06_Target KPI'!$B$3,0,IF(VLOOKUP(F229,'05_Master KPI'!$B$5:$G$100,6,FALSE)="Kumulatif",INDEX('06_Target KPI'!$E$5:$P$100,MATCH(F229,'06_Target KPI'!$B$5:$B$100,0),MATCH(A229,'06_Target KPI'!$E$4:$P$4,0))*DAY(C229)/DAY(EOMONTH(C229,0)),INDEX('06_Target KPI'!$E$5:$P$100,MATCH(F229,'06_Target KPI'!$B$5:$B$100,0),MATCH(A229,'06_Target KPI'!$E$4:$P$4,0)))),0)</f>
        <v>0</v>
      </c>
      <c r="I229" s="24"/>
      <c r="J229" s="27">
        <f>IFERROR(MIN(IF(VLOOKUP(F229,'05_Master KPI'!$B$5:$G$100,5,FALSE)="Lower",H229/I229,I229/H229),1),0)</f>
        <v>0</v>
      </c>
      <c r="K229" s="26">
        <f>IFERROR(VLOOKUP(F229,'05_Master KPI'!$B$5:$G$100,4,FALSE),0)</f>
        <v>0</v>
      </c>
      <c r="L229" s="28">
        <f t="shared" si="3"/>
        <v>0</v>
      </c>
      <c r="M229" s="26" t="str">
        <f>IF(D229="","",IF(J229&gt;='13_Setting'!$H$7,"Tercapai",IF(J229&gt;='13_Setting'!$H$6,"On Track","Tertinggal")))</f>
        <v/>
      </c>
      <c r="N229" s="24"/>
    </row>
    <row r="230" spans="1:14">
      <c r="A230" s="24"/>
      <c r="B230" s="24"/>
      <c r="C230" s="25"/>
      <c r="D230" s="24"/>
      <c r="E230" s="26" t="str">
        <f>IFERROR(VLOOKUP(D230,'04_Master Karyawan'!$A$5:$F$50,2,FALSE),"")</f>
        <v/>
      </c>
      <c r="F230" s="24"/>
      <c r="G230" s="26" t="str">
        <f>IFERROR(VLOOKUP(F230,'05_Master KPI'!$B$5:$G$100,2,FALSE)&amp;" ("&amp;VLOOKUP(F230,'05_Master KPI'!$B$5:$G$100,3,FALSE)&amp;")","")</f>
        <v/>
      </c>
      <c r="H230" s="26">
        <f>IFERROR(IF(B230&lt;&gt;'06_Target KPI'!$B$3,0,IF(VLOOKUP(F230,'05_Master KPI'!$B$5:$G$100,6,FALSE)="Kumulatif",INDEX('06_Target KPI'!$E$5:$P$100,MATCH(F230,'06_Target KPI'!$B$5:$B$100,0),MATCH(A230,'06_Target KPI'!$E$4:$P$4,0))*DAY(C230)/DAY(EOMONTH(C230,0)),INDEX('06_Target KPI'!$E$5:$P$100,MATCH(F230,'06_Target KPI'!$B$5:$B$100,0),MATCH(A230,'06_Target KPI'!$E$4:$P$4,0)))),0)</f>
        <v>0</v>
      </c>
      <c r="I230" s="24"/>
      <c r="J230" s="27">
        <f>IFERROR(MIN(IF(VLOOKUP(F230,'05_Master KPI'!$B$5:$G$100,5,FALSE)="Lower",H230/I230,I230/H230),1),0)</f>
        <v>0</v>
      </c>
      <c r="K230" s="26">
        <f>IFERROR(VLOOKUP(F230,'05_Master KPI'!$B$5:$G$100,4,FALSE),0)</f>
        <v>0</v>
      </c>
      <c r="L230" s="28">
        <f t="shared" si="3"/>
        <v>0</v>
      </c>
      <c r="M230" s="26" t="str">
        <f>IF(D230="","",IF(J230&gt;='13_Setting'!$H$7,"Tercapai",IF(J230&gt;='13_Setting'!$H$6,"On Track","Tertinggal")))</f>
        <v/>
      </c>
      <c r="N230" s="24"/>
    </row>
    <row r="231" spans="1:14">
      <c r="A231" s="24"/>
      <c r="B231" s="24"/>
      <c r="C231" s="25"/>
      <c r="D231" s="24"/>
      <c r="E231" s="26" t="str">
        <f>IFERROR(VLOOKUP(D231,'04_Master Karyawan'!$A$5:$F$50,2,FALSE),"")</f>
        <v/>
      </c>
      <c r="F231" s="24"/>
      <c r="G231" s="26" t="str">
        <f>IFERROR(VLOOKUP(F231,'05_Master KPI'!$B$5:$G$100,2,FALSE)&amp;" ("&amp;VLOOKUP(F231,'05_Master KPI'!$B$5:$G$100,3,FALSE)&amp;")","")</f>
        <v/>
      </c>
      <c r="H231" s="26">
        <f>IFERROR(IF(B231&lt;&gt;'06_Target KPI'!$B$3,0,IF(VLOOKUP(F231,'05_Master KPI'!$B$5:$G$100,6,FALSE)="Kumulatif",INDEX('06_Target KPI'!$E$5:$P$100,MATCH(F231,'06_Target KPI'!$B$5:$B$100,0),MATCH(A231,'06_Target KPI'!$E$4:$P$4,0))*DAY(C231)/DAY(EOMONTH(C231,0)),INDEX('06_Target KPI'!$E$5:$P$100,MATCH(F231,'06_Target KPI'!$B$5:$B$100,0),MATCH(A231,'06_Target KPI'!$E$4:$P$4,0)))),0)</f>
        <v>0</v>
      </c>
      <c r="I231" s="24"/>
      <c r="J231" s="27">
        <f>IFERROR(MIN(IF(VLOOKUP(F231,'05_Master KPI'!$B$5:$G$100,5,FALSE)="Lower",H231/I231,I231/H231),1),0)</f>
        <v>0</v>
      </c>
      <c r="K231" s="26">
        <f>IFERROR(VLOOKUP(F231,'05_Master KPI'!$B$5:$G$100,4,FALSE),0)</f>
        <v>0</v>
      </c>
      <c r="L231" s="28">
        <f t="shared" si="3"/>
        <v>0</v>
      </c>
      <c r="M231" s="26" t="str">
        <f>IF(D231="","",IF(J231&gt;='13_Setting'!$H$7,"Tercapai",IF(J231&gt;='13_Setting'!$H$6,"On Track","Tertinggal")))</f>
        <v/>
      </c>
      <c r="N231" s="24"/>
    </row>
    <row r="232" spans="1:14">
      <c r="A232" s="24"/>
      <c r="B232" s="24"/>
      <c r="C232" s="25"/>
      <c r="D232" s="24"/>
      <c r="E232" s="26" t="str">
        <f>IFERROR(VLOOKUP(D232,'04_Master Karyawan'!$A$5:$F$50,2,FALSE),"")</f>
        <v/>
      </c>
      <c r="F232" s="24"/>
      <c r="G232" s="26" t="str">
        <f>IFERROR(VLOOKUP(F232,'05_Master KPI'!$B$5:$G$100,2,FALSE)&amp;" ("&amp;VLOOKUP(F232,'05_Master KPI'!$B$5:$G$100,3,FALSE)&amp;")","")</f>
        <v/>
      </c>
      <c r="H232" s="26">
        <f>IFERROR(IF(B232&lt;&gt;'06_Target KPI'!$B$3,0,IF(VLOOKUP(F232,'05_Master KPI'!$B$5:$G$100,6,FALSE)="Kumulatif",INDEX('06_Target KPI'!$E$5:$P$100,MATCH(F232,'06_Target KPI'!$B$5:$B$100,0),MATCH(A232,'06_Target KPI'!$E$4:$P$4,0))*DAY(C232)/DAY(EOMONTH(C232,0)),INDEX('06_Target KPI'!$E$5:$P$100,MATCH(F232,'06_Target KPI'!$B$5:$B$100,0),MATCH(A232,'06_Target KPI'!$E$4:$P$4,0)))),0)</f>
        <v>0</v>
      </c>
      <c r="I232" s="24"/>
      <c r="J232" s="27">
        <f>IFERROR(MIN(IF(VLOOKUP(F232,'05_Master KPI'!$B$5:$G$100,5,FALSE)="Lower",H232/I232,I232/H232),1),0)</f>
        <v>0</v>
      </c>
      <c r="K232" s="26">
        <f>IFERROR(VLOOKUP(F232,'05_Master KPI'!$B$5:$G$100,4,FALSE),0)</f>
        <v>0</v>
      </c>
      <c r="L232" s="28">
        <f t="shared" si="3"/>
        <v>0</v>
      </c>
      <c r="M232" s="26" t="str">
        <f>IF(D232="","",IF(J232&gt;='13_Setting'!$H$7,"Tercapai",IF(J232&gt;='13_Setting'!$H$6,"On Track","Tertinggal")))</f>
        <v/>
      </c>
      <c r="N232" s="24"/>
    </row>
    <row r="233" spans="1:14">
      <c r="A233" s="24"/>
      <c r="B233" s="24"/>
      <c r="C233" s="25"/>
      <c r="D233" s="24"/>
      <c r="E233" s="26" t="str">
        <f>IFERROR(VLOOKUP(D233,'04_Master Karyawan'!$A$5:$F$50,2,FALSE),"")</f>
        <v/>
      </c>
      <c r="F233" s="24"/>
      <c r="G233" s="26" t="str">
        <f>IFERROR(VLOOKUP(F233,'05_Master KPI'!$B$5:$G$100,2,FALSE)&amp;" ("&amp;VLOOKUP(F233,'05_Master KPI'!$B$5:$G$100,3,FALSE)&amp;")","")</f>
        <v/>
      </c>
      <c r="H233" s="26">
        <f>IFERROR(IF(B233&lt;&gt;'06_Target KPI'!$B$3,0,IF(VLOOKUP(F233,'05_Master KPI'!$B$5:$G$100,6,FALSE)="Kumulatif",INDEX('06_Target KPI'!$E$5:$P$100,MATCH(F233,'06_Target KPI'!$B$5:$B$100,0),MATCH(A233,'06_Target KPI'!$E$4:$P$4,0))*DAY(C233)/DAY(EOMONTH(C233,0)),INDEX('06_Target KPI'!$E$5:$P$100,MATCH(F233,'06_Target KPI'!$B$5:$B$100,0),MATCH(A233,'06_Target KPI'!$E$4:$P$4,0)))),0)</f>
        <v>0</v>
      </c>
      <c r="I233" s="24"/>
      <c r="J233" s="27">
        <f>IFERROR(MIN(IF(VLOOKUP(F233,'05_Master KPI'!$B$5:$G$100,5,FALSE)="Lower",H233/I233,I233/H233),1),0)</f>
        <v>0</v>
      </c>
      <c r="K233" s="26">
        <f>IFERROR(VLOOKUP(F233,'05_Master KPI'!$B$5:$G$100,4,FALSE),0)</f>
        <v>0</v>
      </c>
      <c r="L233" s="28">
        <f t="shared" si="3"/>
        <v>0</v>
      </c>
      <c r="M233" s="26" t="str">
        <f>IF(D233="","",IF(J233&gt;='13_Setting'!$H$7,"Tercapai",IF(J233&gt;='13_Setting'!$H$6,"On Track","Tertinggal")))</f>
        <v/>
      </c>
      <c r="N233" s="24"/>
    </row>
    <row r="234" spans="1:14">
      <c r="A234" s="24"/>
      <c r="B234" s="24"/>
      <c r="C234" s="25"/>
      <c r="D234" s="24"/>
      <c r="E234" s="26" t="str">
        <f>IFERROR(VLOOKUP(D234,'04_Master Karyawan'!$A$5:$F$50,2,FALSE),"")</f>
        <v/>
      </c>
      <c r="F234" s="24"/>
      <c r="G234" s="26" t="str">
        <f>IFERROR(VLOOKUP(F234,'05_Master KPI'!$B$5:$G$100,2,FALSE)&amp;" ("&amp;VLOOKUP(F234,'05_Master KPI'!$B$5:$G$100,3,FALSE)&amp;")","")</f>
        <v/>
      </c>
      <c r="H234" s="26">
        <f>IFERROR(IF(B234&lt;&gt;'06_Target KPI'!$B$3,0,IF(VLOOKUP(F234,'05_Master KPI'!$B$5:$G$100,6,FALSE)="Kumulatif",INDEX('06_Target KPI'!$E$5:$P$100,MATCH(F234,'06_Target KPI'!$B$5:$B$100,0),MATCH(A234,'06_Target KPI'!$E$4:$P$4,0))*DAY(C234)/DAY(EOMONTH(C234,0)),INDEX('06_Target KPI'!$E$5:$P$100,MATCH(F234,'06_Target KPI'!$B$5:$B$100,0),MATCH(A234,'06_Target KPI'!$E$4:$P$4,0)))),0)</f>
        <v>0</v>
      </c>
      <c r="I234" s="24"/>
      <c r="J234" s="27">
        <f>IFERROR(MIN(IF(VLOOKUP(F234,'05_Master KPI'!$B$5:$G$100,5,FALSE)="Lower",H234/I234,I234/H234),1),0)</f>
        <v>0</v>
      </c>
      <c r="K234" s="26">
        <f>IFERROR(VLOOKUP(F234,'05_Master KPI'!$B$5:$G$100,4,FALSE),0)</f>
        <v>0</v>
      </c>
      <c r="L234" s="28">
        <f t="shared" si="3"/>
        <v>0</v>
      </c>
      <c r="M234" s="26" t="str">
        <f>IF(D234="","",IF(J234&gt;='13_Setting'!$H$7,"Tercapai",IF(J234&gt;='13_Setting'!$H$6,"On Track","Tertinggal")))</f>
        <v/>
      </c>
      <c r="N234" s="24"/>
    </row>
    <row r="235" spans="1:14">
      <c r="A235" s="24"/>
      <c r="B235" s="24"/>
      <c r="C235" s="25"/>
      <c r="D235" s="24"/>
      <c r="E235" s="26" t="str">
        <f>IFERROR(VLOOKUP(D235,'04_Master Karyawan'!$A$5:$F$50,2,FALSE),"")</f>
        <v/>
      </c>
      <c r="F235" s="24"/>
      <c r="G235" s="26" t="str">
        <f>IFERROR(VLOOKUP(F235,'05_Master KPI'!$B$5:$G$100,2,FALSE)&amp;" ("&amp;VLOOKUP(F235,'05_Master KPI'!$B$5:$G$100,3,FALSE)&amp;")","")</f>
        <v/>
      </c>
      <c r="H235" s="26">
        <f>IFERROR(IF(B235&lt;&gt;'06_Target KPI'!$B$3,0,IF(VLOOKUP(F235,'05_Master KPI'!$B$5:$G$100,6,FALSE)="Kumulatif",INDEX('06_Target KPI'!$E$5:$P$100,MATCH(F235,'06_Target KPI'!$B$5:$B$100,0),MATCH(A235,'06_Target KPI'!$E$4:$P$4,0))*DAY(C235)/DAY(EOMONTH(C235,0)),INDEX('06_Target KPI'!$E$5:$P$100,MATCH(F235,'06_Target KPI'!$B$5:$B$100,0),MATCH(A235,'06_Target KPI'!$E$4:$P$4,0)))),0)</f>
        <v>0</v>
      </c>
      <c r="I235" s="24"/>
      <c r="J235" s="27">
        <f>IFERROR(MIN(IF(VLOOKUP(F235,'05_Master KPI'!$B$5:$G$100,5,FALSE)="Lower",H235/I235,I235/H235),1),0)</f>
        <v>0</v>
      </c>
      <c r="K235" s="26">
        <f>IFERROR(VLOOKUP(F235,'05_Master KPI'!$B$5:$G$100,4,FALSE),0)</f>
        <v>0</v>
      </c>
      <c r="L235" s="28">
        <f t="shared" si="3"/>
        <v>0</v>
      </c>
      <c r="M235" s="26" t="str">
        <f>IF(D235="","",IF(J235&gt;='13_Setting'!$H$7,"Tercapai",IF(J235&gt;='13_Setting'!$H$6,"On Track","Tertinggal")))</f>
        <v/>
      </c>
      <c r="N235" s="24"/>
    </row>
    <row r="236" spans="1:14">
      <c r="A236" s="24"/>
      <c r="B236" s="24"/>
      <c r="C236" s="25"/>
      <c r="D236" s="24"/>
      <c r="E236" s="26" t="str">
        <f>IFERROR(VLOOKUP(D236,'04_Master Karyawan'!$A$5:$F$50,2,FALSE),"")</f>
        <v/>
      </c>
      <c r="F236" s="24"/>
      <c r="G236" s="26" t="str">
        <f>IFERROR(VLOOKUP(F236,'05_Master KPI'!$B$5:$G$100,2,FALSE)&amp;" ("&amp;VLOOKUP(F236,'05_Master KPI'!$B$5:$G$100,3,FALSE)&amp;")","")</f>
        <v/>
      </c>
      <c r="H236" s="26">
        <f>IFERROR(IF(B236&lt;&gt;'06_Target KPI'!$B$3,0,IF(VLOOKUP(F236,'05_Master KPI'!$B$5:$G$100,6,FALSE)="Kumulatif",INDEX('06_Target KPI'!$E$5:$P$100,MATCH(F236,'06_Target KPI'!$B$5:$B$100,0),MATCH(A236,'06_Target KPI'!$E$4:$P$4,0))*DAY(C236)/DAY(EOMONTH(C236,0)),INDEX('06_Target KPI'!$E$5:$P$100,MATCH(F236,'06_Target KPI'!$B$5:$B$100,0),MATCH(A236,'06_Target KPI'!$E$4:$P$4,0)))),0)</f>
        <v>0</v>
      </c>
      <c r="I236" s="24"/>
      <c r="J236" s="27">
        <f>IFERROR(MIN(IF(VLOOKUP(F236,'05_Master KPI'!$B$5:$G$100,5,FALSE)="Lower",H236/I236,I236/H236),1),0)</f>
        <v>0</v>
      </c>
      <c r="K236" s="26">
        <f>IFERROR(VLOOKUP(F236,'05_Master KPI'!$B$5:$G$100,4,FALSE),0)</f>
        <v>0</v>
      </c>
      <c r="L236" s="28">
        <f t="shared" si="3"/>
        <v>0</v>
      </c>
      <c r="M236" s="26" t="str">
        <f>IF(D236="","",IF(J236&gt;='13_Setting'!$H$7,"Tercapai",IF(J236&gt;='13_Setting'!$H$6,"On Track","Tertinggal")))</f>
        <v/>
      </c>
      <c r="N236" s="24"/>
    </row>
    <row r="237" spans="1:14">
      <c r="A237" s="24"/>
      <c r="B237" s="24"/>
      <c r="C237" s="25"/>
      <c r="D237" s="24"/>
      <c r="E237" s="26" t="str">
        <f>IFERROR(VLOOKUP(D237,'04_Master Karyawan'!$A$5:$F$50,2,FALSE),"")</f>
        <v/>
      </c>
      <c r="F237" s="24"/>
      <c r="G237" s="26" t="str">
        <f>IFERROR(VLOOKUP(F237,'05_Master KPI'!$B$5:$G$100,2,FALSE)&amp;" ("&amp;VLOOKUP(F237,'05_Master KPI'!$B$5:$G$100,3,FALSE)&amp;")","")</f>
        <v/>
      </c>
      <c r="H237" s="26">
        <f>IFERROR(IF(B237&lt;&gt;'06_Target KPI'!$B$3,0,IF(VLOOKUP(F237,'05_Master KPI'!$B$5:$G$100,6,FALSE)="Kumulatif",INDEX('06_Target KPI'!$E$5:$P$100,MATCH(F237,'06_Target KPI'!$B$5:$B$100,0),MATCH(A237,'06_Target KPI'!$E$4:$P$4,0))*DAY(C237)/DAY(EOMONTH(C237,0)),INDEX('06_Target KPI'!$E$5:$P$100,MATCH(F237,'06_Target KPI'!$B$5:$B$100,0),MATCH(A237,'06_Target KPI'!$E$4:$P$4,0)))),0)</f>
        <v>0</v>
      </c>
      <c r="I237" s="24"/>
      <c r="J237" s="27">
        <f>IFERROR(MIN(IF(VLOOKUP(F237,'05_Master KPI'!$B$5:$G$100,5,FALSE)="Lower",H237/I237,I237/H237),1),0)</f>
        <v>0</v>
      </c>
      <c r="K237" s="26">
        <f>IFERROR(VLOOKUP(F237,'05_Master KPI'!$B$5:$G$100,4,FALSE),0)</f>
        <v>0</v>
      </c>
      <c r="L237" s="28">
        <f t="shared" si="3"/>
        <v>0</v>
      </c>
      <c r="M237" s="26" t="str">
        <f>IF(D237="","",IF(J237&gt;='13_Setting'!$H$7,"Tercapai",IF(J237&gt;='13_Setting'!$H$6,"On Track","Tertinggal")))</f>
        <v/>
      </c>
      <c r="N237" s="24"/>
    </row>
    <row r="238" spans="1:14">
      <c r="A238" s="24"/>
      <c r="B238" s="24"/>
      <c r="C238" s="25"/>
      <c r="D238" s="24"/>
      <c r="E238" s="26" t="str">
        <f>IFERROR(VLOOKUP(D238,'04_Master Karyawan'!$A$5:$F$50,2,FALSE),"")</f>
        <v/>
      </c>
      <c r="F238" s="24"/>
      <c r="G238" s="26" t="str">
        <f>IFERROR(VLOOKUP(F238,'05_Master KPI'!$B$5:$G$100,2,FALSE)&amp;" ("&amp;VLOOKUP(F238,'05_Master KPI'!$B$5:$G$100,3,FALSE)&amp;")","")</f>
        <v/>
      </c>
      <c r="H238" s="26">
        <f>IFERROR(IF(B238&lt;&gt;'06_Target KPI'!$B$3,0,IF(VLOOKUP(F238,'05_Master KPI'!$B$5:$G$100,6,FALSE)="Kumulatif",INDEX('06_Target KPI'!$E$5:$P$100,MATCH(F238,'06_Target KPI'!$B$5:$B$100,0),MATCH(A238,'06_Target KPI'!$E$4:$P$4,0))*DAY(C238)/DAY(EOMONTH(C238,0)),INDEX('06_Target KPI'!$E$5:$P$100,MATCH(F238,'06_Target KPI'!$B$5:$B$100,0),MATCH(A238,'06_Target KPI'!$E$4:$P$4,0)))),0)</f>
        <v>0</v>
      </c>
      <c r="I238" s="24"/>
      <c r="J238" s="27">
        <f>IFERROR(MIN(IF(VLOOKUP(F238,'05_Master KPI'!$B$5:$G$100,5,FALSE)="Lower",H238/I238,I238/H238),1),0)</f>
        <v>0</v>
      </c>
      <c r="K238" s="26">
        <f>IFERROR(VLOOKUP(F238,'05_Master KPI'!$B$5:$G$100,4,FALSE),0)</f>
        <v>0</v>
      </c>
      <c r="L238" s="28">
        <f t="shared" si="3"/>
        <v>0</v>
      </c>
      <c r="M238" s="26" t="str">
        <f>IF(D238="","",IF(J238&gt;='13_Setting'!$H$7,"Tercapai",IF(J238&gt;='13_Setting'!$H$6,"On Track","Tertinggal")))</f>
        <v/>
      </c>
      <c r="N238" s="24"/>
    </row>
    <row r="239" spans="1:14">
      <c r="A239" s="24"/>
      <c r="B239" s="24"/>
      <c r="C239" s="25"/>
      <c r="D239" s="24"/>
      <c r="E239" s="26" t="str">
        <f>IFERROR(VLOOKUP(D239,'04_Master Karyawan'!$A$5:$F$50,2,FALSE),"")</f>
        <v/>
      </c>
      <c r="F239" s="24"/>
      <c r="G239" s="26" t="str">
        <f>IFERROR(VLOOKUP(F239,'05_Master KPI'!$B$5:$G$100,2,FALSE)&amp;" ("&amp;VLOOKUP(F239,'05_Master KPI'!$B$5:$G$100,3,FALSE)&amp;")","")</f>
        <v/>
      </c>
      <c r="H239" s="26">
        <f>IFERROR(IF(B239&lt;&gt;'06_Target KPI'!$B$3,0,IF(VLOOKUP(F239,'05_Master KPI'!$B$5:$G$100,6,FALSE)="Kumulatif",INDEX('06_Target KPI'!$E$5:$P$100,MATCH(F239,'06_Target KPI'!$B$5:$B$100,0),MATCH(A239,'06_Target KPI'!$E$4:$P$4,0))*DAY(C239)/DAY(EOMONTH(C239,0)),INDEX('06_Target KPI'!$E$5:$P$100,MATCH(F239,'06_Target KPI'!$B$5:$B$100,0),MATCH(A239,'06_Target KPI'!$E$4:$P$4,0)))),0)</f>
        <v>0</v>
      </c>
      <c r="I239" s="24"/>
      <c r="J239" s="27">
        <f>IFERROR(MIN(IF(VLOOKUP(F239,'05_Master KPI'!$B$5:$G$100,5,FALSE)="Lower",H239/I239,I239/H239),1),0)</f>
        <v>0</v>
      </c>
      <c r="K239" s="26">
        <f>IFERROR(VLOOKUP(F239,'05_Master KPI'!$B$5:$G$100,4,FALSE),0)</f>
        <v>0</v>
      </c>
      <c r="L239" s="28">
        <f t="shared" si="3"/>
        <v>0</v>
      </c>
      <c r="M239" s="26" t="str">
        <f>IF(D239="","",IF(J239&gt;='13_Setting'!$H$7,"Tercapai",IF(J239&gt;='13_Setting'!$H$6,"On Track","Tertinggal")))</f>
        <v/>
      </c>
      <c r="N239" s="24"/>
    </row>
    <row r="240" spans="1:14">
      <c r="A240" s="24"/>
      <c r="B240" s="24"/>
      <c r="C240" s="25"/>
      <c r="D240" s="24"/>
      <c r="E240" s="26" t="str">
        <f>IFERROR(VLOOKUP(D240,'04_Master Karyawan'!$A$5:$F$50,2,FALSE),"")</f>
        <v/>
      </c>
      <c r="F240" s="24"/>
      <c r="G240" s="26" t="str">
        <f>IFERROR(VLOOKUP(F240,'05_Master KPI'!$B$5:$G$100,2,FALSE)&amp;" ("&amp;VLOOKUP(F240,'05_Master KPI'!$B$5:$G$100,3,FALSE)&amp;")","")</f>
        <v/>
      </c>
      <c r="H240" s="26">
        <f>IFERROR(IF(B240&lt;&gt;'06_Target KPI'!$B$3,0,IF(VLOOKUP(F240,'05_Master KPI'!$B$5:$G$100,6,FALSE)="Kumulatif",INDEX('06_Target KPI'!$E$5:$P$100,MATCH(F240,'06_Target KPI'!$B$5:$B$100,0),MATCH(A240,'06_Target KPI'!$E$4:$P$4,0))*DAY(C240)/DAY(EOMONTH(C240,0)),INDEX('06_Target KPI'!$E$5:$P$100,MATCH(F240,'06_Target KPI'!$B$5:$B$100,0),MATCH(A240,'06_Target KPI'!$E$4:$P$4,0)))),0)</f>
        <v>0</v>
      </c>
      <c r="I240" s="24"/>
      <c r="J240" s="27">
        <f>IFERROR(MIN(IF(VLOOKUP(F240,'05_Master KPI'!$B$5:$G$100,5,FALSE)="Lower",H240/I240,I240/H240),1),0)</f>
        <v>0</v>
      </c>
      <c r="K240" s="26">
        <f>IFERROR(VLOOKUP(F240,'05_Master KPI'!$B$5:$G$100,4,FALSE),0)</f>
        <v>0</v>
      </c>
      <c r="L240" s="28">
        <f t="shared" si="3"/>
        <v>0</v>
      </c>
      <c r="M240" s="26" t="str">
        <f>IF(D240="","",IF(J240&gt;='13_Setting'!$H$7,"Tercapai",IF(J240&gt;='13_Setting'!$H$6,"On Track","Tertinggal")))</f>
        <v/>
      </c>
      <c r="N240" s="24"/>
    </row>
    <row r="241" spans="1:14">
      <c r="A241" s="24"/>
      <c r="B241" s="24"/>
      <c r="C241" s="25"/>
      <c r="D241" s="24"/>
      <c r="E241" s="26" t="str">
        <f>IFERROR(VLOOKUP(D241,'04_Master Karyawan'!$A$5:$F$50,2,FALSE),"")</f>
        <v/>
      </c>
      <c r="F241" s="24"/>
      <c r="G241" s="26" t="str">
        <f>IFERROR(VLOOKUP(F241,'05_Master KPI'!$B$5:$G$100,2,FALSE)&amp;" ("&amp;VLOOKUP(F241,'05_Master KPI'!$B$5:$G$100,3,FALSE)&amp;")","")</f>
        <v/>
      </c>
      <c r="H241" s="26">
        <f>IFERROR(IF(B241&lt;&gt;'06_Target KPI'!$B$3,0,IF(VLOOKUP(F241,'05_Master KPI'!$B$5:$G$100,6,FALSE)="Kumulatif",INDEX('06_Target KPI'!$E$5:$P$100,MATCH(F241,'06_Target KPI'!$B$5:$B$100,0),MATCH(A241,'06_Target KPI'!$E$4:$P$4,0))*DAY(C241)/DAY(EOMONTH(C241,0)),INDEX('06_Target KPI'!$E$5:$P$100,MATCH(F241,'06_Target KPI'!$B$5:$B$100,0),MATCH(A241,'06_Target KPI'!$E$4:$P$4,0)))),0)</f>
        <v>0</v>
      </c>
      <c r="I241" s="24"/>
      <c r="J241" s="27">
        <f>IFERROR(MIN(IF(VLOOKUP(F241,'05_Master KPI'!$B$5:$G$100,5,FALSE)="Lower",H241/I241,I241/H241),1),0)</f>
        <v>0</v>
      </c>
      <c r="K241" s="26">
        <f>IFERROR(VLOOKUP(F241,'05_Master KPI'!$B$5:$G$100,4,FALSE),0)</f>
        <v>0</v>
      </c>
      <c r="L241" s="28">
        <f t="shared" si="3"/>
        <v>0</v>
      </c>
      <c r="M241" s="26" t="str">
        <f>IF(D241="","",IF(J241&gt;='13_Setting'!$H$7,"Tercapai",IF(J241&gt;='13_Setting'!$H$6,"On Track","Tertinggal")))</f>
        <v/>
      </c>
      <c r="N241" s="24"/>
    </row>
    <row r="242" spans="1:14">
      <c r="A242" s="24"/>
      <c r="B242" s="24"/>
      <c r="C242" s="25"/>
      <c r="D242" s="24"/>
      <c r="E242" s="26" t="str">
        <f>IFERROR(VLOOKUP(D242,'04_Master Karyawan'!$A$5:$F$50,2,FALSE),"")</f>
        <v/>
      </c>
      <c r="F242" s="24"/>
      <c r="G242" s="26" t="str">
        <f>IFERROR(VLOOKUP(F242,'05_Master KPI'!$B$5:$G$100,2,FALSE)&amp;" ("&amp;VLOOKUP(F242,'05_Master KPI'!$B$5:$G$100,3,FALSE)&amp;")","")</f>
        <v/>
      </c>
      <c r="H242" s="26">
        <f>IFERROR(IF(B242&lt;&gt;'06_Target KPI'!$B$3,0,IF(VLOOKUP(F242,'05_Master KPI'!$B$5:$G$100,6,FALSE)="Kumulatif",INDEX('06_Target KPI'!$E$5:$P$100,MATCH(F242,'06_Target KPI'!$B$5:$B$100,0),MATCH(A242,'06_Target KPI'!$E$4:$P$4,0))*DAY(C242)/DAY(EOMONTH(C242,0)),INDEX('06_Target KPI'!$E$5:$P$100,MATCH(F242,'06_Target KPI'!$B$5:$B$100,0),MATCH(A242,'06_Target KPI'!$E$4:$P$4,0)))),0)</f>
        <v>0</v>
      </c>
      <c r="I242" s="24"/>
      <c r="J242" s="27">
        <f>IFERROR(MIN(IF(VLOOKUP(F242,'05_Master KPI'!$B$5:$G$100,5,FALSE)="Lower",H242/I242,I242/H242),1),0)</f>
        <v>0</v>
      </c>
      <c r="K242" s="26">
        <f>IFERROR(VLOOKUP(F242,'05_Master KPI'!$B$5:$G$100,4,FALSE),0)</f>
        <v>0</v>
      </c>
      <c r="L242" s="28">
        <f t="shared" si="3"/>
        <v>0</v>
      </c>
      <c r="M242" s="26" t="str">
        <f>IF(D242="","",IF(J242&gt;='13_Setting'!$H$7,"Tercapai",IF(J242&gt;='13_Setting'!$H$6,"On Track","Tertinggal")))</f>
        <v/>
      </c>
      <c r="N242" s="24"/>
    </row>
    <row r="243" spans="1:14">
      <c r="A243" s="24"/>
      <c r="B243" s="24"/>
      <c r="C243" s="25"/>
      <c r="D243" s="24"/>
      <c r="E243" s="26" t="str">
        <f>IFERROR(VLOOKUP(D243,'04_Master Karyawan'!$A$5:$F$50,2,FALSE),"")</f>
        <v/>
      </c>
      <c r="F243" s="24"/>
      <c r="G243" s="26" t="str">
        <f>IFERROR(VLOOKUP(F243,'05_Master KPI'!$B$5:$G$100,2,FALSE)&amp;" ("&amp;VLOOKUP(F243,'05_Master KPI'!$B$5:$G$100,3,FALSE)&amp;")","")</f>
        <v/>
      </c>
      <c r="H243" s="26">
        <f>IFERROR(IF(B243&lt;&gt;'06_Target KPI'!$B$3,0,IF(VLOOKUP(F243,'05_Master KPI'!$B$5:$G$100,6,FALSE)="Kumulatif",INDEX('06_Target KPI'!$E$5:$P$100,MATCH(F243,'06_Target KPI'!$B$5:$B$100,0),MATCH(A243,'06_Target KPI'!$E$4:$P$4,0))*DAY(C243)/DAY(EOMONTH(C243,0)),INDEX('06_Target KPI'!$E$5:$P$100,MATCH(F243,'06_Target KPI'!$B$5:$B$100,0),MATCH(A243,'06_Target KPI'!$E$4:$P$4,0)))),0)</f>
        <v>0</v>
      </c>
      <c r="I243" s="24"/>
      <c r="J243" s="27">
        <f>IFERROR(MIN(IF(VLOOKUP(F243,'05_Master KPI'!$B$5:$G$100,5,FALSE)="Lower",H243/I243,I243/H243),1),0)</f>
        <v>0</v>
      </c>
      <c r="K243" s="26">
        <f>IFERROR(VLOOKUP(F243,'05_Master KPI'!$B$5:$G$100,4,FALSE),0)</f>
        <v>0</v>
      </c>
      <c r="L243" s="28">
        <f t="shared" si="3"/>
        <v>0</v>
      </c>
      <c r="M243" s="26" t="str">
        <f>IF(D243="","",IF(J243&gt;='13_Setting'!$H$7,"Tercapai",IF(J243&gt;='13_Setting'!$H$6,"On Track","Tertinggal")))</f>
        <v/>
      </c>
      <c r="N243" s="24"/>
    </row>
    <row r="244" spans="1:14">
      <c r="A244" s="24"/>
      <c r="B244" s="24"/>
      <c r="C244" s="25"/>
      <c r="D244" s="24"/>
      <c r="E244" s="26" t="str">
        <f>IFERROR(VLOOKUP(D244,'04_Master Karyawan'!$A$5:$F$50,2,FALSE),"")</f>
        <v/>
      </c>
      <c r="F244" s="24"/>
      <c r="G244" s="26" t="str">
        <f>IFERROR(VLOOKUP(F244,'05_Master KPI'!$B$5:$G$100,2,FALSE)&amp;" ("&amp;VLOOKUP(F244,'05_Master KPI'!$B$5:$G$100,3,FALSE)&amp;")","")</f>
        <v/>
      </c>
      <c r="H244" s="26">
        <f>IFERROR(IF(B244&lt;&gt;'06_Target KPI'!$B$3,0,IF(VLOOKUP(F244,'05_Master KPI'!$B$5:$G$100,6,FALSE)="Kumulatif",INDEX('06_Target KPI'!$E$5:$P$100,MATCH(F244,'06_Target KPI'!$B$5:$B$100,0),MATCH(A244,'06_Target KPI'!$E$4:$P$4,0))*DAY(C244)/DAY(EOMONTH(C244,0)),INDEX('06_Target KPI'!$E$5:$P$100,MATCH(F244,'06_Target KPI'!$B$5:$B$100,0),MATCH(A244,'06_Target KPI'!$E$4:$P$4,0)))),0)</f>
        <v>0</v>
      </c>
      <c r="I244" s="24"/>
      <c r="J244" s="27">
        <f>IFERROR(MIN(IF(VLOOKUP(F244,'05_Master KPI'!$B$5:$G$100,5,FALSE)="Lower",H244/I244,I244/H244),1),0)</f>
        <v>0</v>
      </c>
      <c r="K244" s="26">
        <f>IFERROR(VLOOKUP(F244,'05_Master KPI'!$B$5:$G$100,4,FALSE),0)</f>
        <v>0</v>
      </c>
      <c r="L244" s="28">
        <f t="shared" si="3"/>
        <v>0</v>
      </c>
      <c r="M244" s="26" t="str">
        <f>IF(D244="","",IF(J244&gt;='13_Setting'!$H$7,"Tercapai",IF(J244&gt;='13_Setting'!$H$6,"On Track","Tertinggal")))</f>
        <v/>
      </c>
      <c r="N244" s="24"/>
    </row>
    <row r="245" spans="1:14">
      <c r="A245" s="24"/>
      <c r="B245" s="24"/>
      <c r="C245" s="25"/>
      <c r="D245" s="24"/>
      <c r="E245" s="26" t="str">
        <f>IFERROR(VLOOKUP(D245,'04_Master Karyawan'!$A$5:$F$50,2,FALSE),"")</f>
        <v/>
      </c>
      <c r="F245" s="24"/>
      <c r="G245" s="26" t="str">
        <f>IFERROR(VLOOKUP(F245,'05_Master KPI'!$B$5:$G$100,2,FALSE)&amp;" ("&amp;VLOOKUP(F245,'05_Master KPI'!$B$5:$G$100,3,FALSE)&amp;")","")</f>
        <v/>
      </c>
      <c r="H245" s="26">
        <f>IFERROR(IF(B245&lt;&gt;'06_Target KPI'!$B$3,0,IF(VLOOKUP(F245,'05_Master KPI'!$B$5:$G$100,6,FALSE)="Kumulatif",INDEX('06_Target KPI'!$E$5:$P$100,MATCH(F245,'06_Target KPI'!$B$5:$B$100,0),MATCH(A245,'06_Target KPI'!$E$4:$P$4,0))*DAY(C245)/DAY(EOMONTH(C245,0)),INDEX('06_Target KPI'!$E$5:$P$100,MATCH(F245,'06_Target KPI'!$B$5:$B$100,0),MATCH(A245,'06_Target KPI'!$E$4:$P$4,0)))),0)</f>
        <v>0</v>
      </c>
      <c r="I245" s="24"/>
      <c r="J245" s="27">
        <f>IFERROR(MIN(IF(VLOOKUP(F245,'05_Master KPI'!$B$5:$G$100,5,FALSE)="Lower",H245/I245,I245/H245),1),0)</f>
        <v>0</v>
      </c>
      <c r="K245" s="26">
        <f>IFERROR(VLOOKUP(F245,'05_Master KPI'!$B$5:$G$100,4,FALSE),0)</f>
        <v>0</v>
      </c>
      <c r="L245" s="28">
        <f t="shared" si="3"/>
        <v>0</v>
      </c>
      <c r="M245" s="26" t="str">
        <f>IF(D245="","",IF(J245&gt;='13_Setting'!$H$7,"Tercapai",IF(J245&gt;='13_Setting'!$H$6,"On Track","Tertinggal")))</f>
        <v/>
      </c>
      <c r="N245" s="24"/>
    </row>
    <row r="246" spans="1:14">
      <c r="A246" s="24"/>
      <c r="B246" s="24"/>
      <c r="C246" s="25"/>
      <c r="D246" s="24"/>
      <c r="E246" s="26" t="str">
        <f>IFERROR(VLOOKUP(D246,'04_Master Karyawan'!$A$5:$F$50,2,FALSE),"")</f>
        <v/>
      </c>
      <c r="F246" s="24"/>
      <c r="G246" s="26" t="str">
        <f>IFERROR(VLOOKUP(F246,'05_Master KPI'!$B$5:$G$100,2,FALSE)&amp;" ("&amp;VLOOKUP(F246,'05_Master KPI'!$B$5:$G$100,3,FALSE)&amp;")","")</f>
        <v/>
      </c>
      <c r="H246" s="26">
        <f>IFERROR(IF(B246&lt;&gt;'06_Target KPI'!$B$3,0,IF(VLOOKUP(F246,'05_Master KPI'!$B$5:$G$100,6,FALSE)="Kumulatif",INDEX('06_Target KPI'!$E$5:$P$100,MATCH(F246,'06_Target KPI'!$B$5:$B$100,0),MATCH(A246,'06_Target KPI'!$E$4:$P$4,0))*DAY(C246)/DAY(EOMONTH(C246,0)),INDEX('06_Target KPI'!$E$5:$P$100,MATCH(F246,'06_Target KPI'!$B$5:$B$100,0),MATCH(A246,'06_Target KPI'!$E$4:$P$4,0)))),0)</f>
        <v>0</v>
      </c>
      <c r="I246" s="24"/>
      <c r="J246" s="27">
        <f>IFERROR(MIN(IF(VLOOKUP(F246,'05_Master KPI'!$B$5:$G$100,5,FALSE)="Lower",H246/I246,I246/H246),1),0)</f>
        <v>0</v>
      </c>
      <c r="K246" s="26">
        <f>IFERROR(VLOOKUP(F246,'05_Master KPI'!$B$5:$G$100,4,FALSE),0)</f>
        <v>0</v>
      </c>
      <c r="L246" s="28">
        <f t="shared" si="3"/>
        <v>0</v>
      </c>
      <c r="M246" s="26" t="str">
        <f>IF(D246="","",IF(J246&gt;='13_Setting'!$H$7,"Tercapai",IF(J246&gt;='13_Setting'!$H$6,"On Track","Tertinggal")))</f>
        <v/>
      </c>
      <c r="N246" s="24"/>
    </row>
    <row r="247" spans="1:14">
      <c r="A247" s="24"/>
      <c r="B247" s="24"/>
      <c r="C247" s="25"/>
      <c r="D247" s="24"/>
      <c r="E247" s="26" t="str">
        <f>IFERROR(VLOOKUP(D247,'04_Master Karyawan'!$A$5:$F$50,2,FALSE),"")</f>
        <v/>
      </c>
      <c r="F247" s="24"/>
      <c r="G247" s="26" t="str">
        <f>IFERROR(VLOOKUP(F247,'05_Master KPI'!$B$5:$G$100,2,FALSE)&amp;" ("&amp;VLOOKUP(F247,'05_Master KPI'!$B$5:$G$100,3,FALSE)&amp;")","")</f>
        <v/>
      </c>
      <c r="H247" s="26">
        <f>IFERROR(IF(B247&lt;&gt;'06_Target KPI'!$B$3,0,IF(VLOOKUP(F247,'05_Master KPI'!$B$5:$G$100,6,FALSE)="Kumulatif",INDEX('06_Target KPI'!$E$5:$P$100,MATCH(F247,'06_Target KPI'!$B$5:$B$100,0),MATCH(A247,'06_Target KPI'!$E$4:$P$4,0))*DAY(C247)/DAY(EOMONTH(C247,0)),INDEX('06_Target KPI'!$E$5:$P$100,MATCH(F247,'06_Target KPI'!$B$5:$B$100,0),MATCH(A247,'06_Target KPI'!$E$4:$P$4,0)))),0)</f>
        <v>0</v>
      </c>
      <c r="I247" s="24"/>
      <c r="J247" s="27">
        <f>IFERROR(MIN(IF(VLOOKUP(F247,'05_Master KPI'!$B$5:$G$100,5,FALSE)="Lower",H247/I247,I247/H247),1),0)</f>
        <v>0</v>
      </c>
      <c r="K247" s="26">
        <f>IFERROR(VLOOKUP(F247,'05_Master KPI'!$B$5:$G$100,4,FALSE),0)</f>
        <v>0</v>
      </c>
      <c r="L247" s="28">
        <f t="shared" si="3"/>
        <v>0</v>
      </c>
      <c r="M247" s="26" t="str">
        <f>IF(D247="","",IF(J247&gt;='13_Setting'!$H$7,"Tercapai",IF(J247&gt;='13_Setting'!$H$6,"On Track","Tertinggal")))</f>
        <v/>
      </c>
      <c r="N247" s="24"/>
    </row>
    <row r="248" spans="1:14">
      <c r="A248" s="24"/>
      <c r="B248" s="24"/>
      <c r="C248" s="25"/>
      <c r="D248" s="24"/>
      <c r="E248" s="26" t="str">
        <f>IFERROR(VLOOKUP(D248,'04_Master Karyawan'!$A$5:$F$50,2,FALSE),"")</f>
        <v/>
      </c>
      <c r="F248" s="24"/>
      <c r="G248" s="26" t="str">
        <f>IFERROR(VLOOKUP(F248,'05_Master KPI'!$B$5:$G$100,2,FALSE)&amp;" ("&amp;VLOOKUP(F248,'05_Master KPI'!$B$5:$G$100,3,FALSE)&amp;")","")</f>
        <v/>
      </c>
      <c r="H248" s="26">
        <f>IFERROR(IF(B248&lt;&gt;'06_Target KPI'!$B$3,0,IF(VLOOKUP(F248,'05_Master KPI'!$B$5:$G$100,6,FALSE)="Kumulatif",INDEX('06_Target KPI'!$E$5:$P$100,MATCH(F248,'06_Target KPI'!$B$5:$B$100,0),MATCH(A248,'06_Target KPI'!$E$4:$P$4,0))*DAY(C248)/DAY(EOMONTH(C248,0)),INDEX('06_Target KPI'!$E$5:$P$100,MATCH(F248,'06_Target KPI'!$B$5:$B$100,0),MATCH(A248,'06_Target KPI'!$E$4:$P$4,0)))),0)</f>
        <v>0</v>
      </c>
      <c r="I248" s="24"/>
      <c r="J248" s="27">
        <f>IFERROR(MIN(IF(VLOOKUP(F248,'05_Master KPI'!$B$5:$G$100,5,FALSE)="Lower",H248/I248,I248/H248),1),0)</f>
        <v>0</v>
      </c>
      <c r="K248" s="26">
        <f>IFERROR(VLOOKUP(F248,'05_Master KPI'!$B$5:$G$100,4,FALSE),0)</f>
        <v>0</v>
      </c>
      <c r="L248" s="28">
        <f t="shared" si="3"/>
        <v>0</v>
      </c>
      <c r="M248" s="26" t="str">
        <f>IF(D248="","",IF(J248&gt;='13_Setting'!$H$7,"Tercapai",IF(J248&gt;='13_Setting'!$H$6,"On Track","Tertinggal")))</f>
        <v/>
      </c>
      <c r="N248" s="24"/>
    </row>
    <row r="249" spans="1:14">
      <c r="A249" s="24"/>
      <c r="B249" s="24"/>
      <c r="C249" s="25"/>
      <c r="D249" s="24"/>
      <c r="E249" s="26" t="str">
        <f>IFERROR(VLOOKUP(D249,'04_Master Karyawan'!$A$5:$F$50,2,FALSE),"")</f>
        <v/>
      </c>
      <c r="F249" s="24"/>
      <c r="G249" s="26" t="str">
        <f>IFERROR(VLOOKUP(F249,'05_Master KPI'!$B$5:$G$100,2,FALSE)&amp;" ("&amp;VLOOKUP(F249,'05_Master KPI'!$B$5:$G$100,3,FALSE)&amp;")","")</f>
        <v/>
      </c>
      <c r="H249" s="26">
        <f>IFERROR(IF(B249&lt;&gt;'06_Target KPI'!$B$3,0,IF(VLOOKUP(F249,'05_Master KPI'!$B$5:$G$100,6,FALSE)="Kumulatif",INDEX('06_Target KPI'!$E$5:$P$100,MATCH(F249,'06_Target KPI'!$B$5:$B$100,0),MATCH(A249,'06_Target KPI'!$E$4:$P$4,0))*DAY(C249)/DAY(EOMONTH(C249,0)),INDEX('06_Target KPI'!$E$5:$P$100,MATCH(F249,'06_Target KPI'!$B$5:$B$100,0),MATCH(A249,'06_Target KPI'!$E$4:$P$4,0)))),0)</f>
        <v>0</v>
      </c>
      <c r="I249" s="24"/>
      <c r="J249" s="27">
        <f>IFERROR(MIN(IF(VLOOKUP(F249,'05_Master KPI'!$B$5:$G$100,5,FALSE)="Lower",H249/I249,I249/H249),1),0)</f>
        <v>0</v>
      </c>
      <c r="K249" s="26">
        <f>IFERROR(VLOOKUP(F249,'05_Master KPI'!$B$5:$G$100,4,FALSE),0)</f>
        <v>0</v>
      </c>
      <c r="L249" s="28">
        <f t="shared" si="3"/>
        <v>0</v>
      </c>
      <c r="M249" s="26" t="str">
        <f>IF(D249="","",IF(J249&gt;='13_Setting'!$H$7,"Tercapai",IF(J249&gt;='13_Setting'!$H$6,"On Track","Tertinggal")))</f>
        <v/>
      </c>
      <c r="N249" s="24"/>
    </row>
    <row r="250" spans="1:14">
      <c r="A250" s="24"/>
      <c r="B250" s="24"/>
      <c r="C250" s="25"/>
      <c r="D250" s="24"/>
      <c r="E250" s="26" t="str">
        <f>IFERROR(VLOOKUP(D250,'04_Master Karyawan'!$A$5:$F$50,2,FALSE),"")</f>
        <v/>
      </c>
      <c r="F250" s="24"/>
      <c r="G250" s="26" t="str">
        <f>IFERROR(VLOOKUP(F250,'05_Master KPI'!$B$5:$G$100,2,FALSE)&amp;" ("&amp;VLOOKUP(F250,'05_Master KPI'!$B$5:$G$100,3,FALSE)&amp;")","")</f>
        <v/>
      </c>
      <c r="H250" s="26">
        <f>IFERROR(IF(B250&lt;&gt;'06_Target KPI'!$B$3,0,IF(VLOOKUP(F250,'05_Master KPI'!$B$5:$G$100,6,FALSE)="Kumulatif",INDEX('06_Target KPI'!$E$5:$P$100,MATCH(F250,'06_Target KPI'!$B$5:$B$100,0),MATCH(A250,'06_Target KPI'!$E$4:$P$4,0))*DAY(C250)/DAY(EOMONTH(C250,0)),INDEX('06_Target KPI'!$E$5:$P$100,MATCH(F250,'06_Target KPI'!$B$5:$B$100,0),MATCH(A250,'06_Target KPI'!$E$4:$P$4,0)))),0)</f>
        <v>0</v>
      </c>
      <c r="I250" s="24"/>
      <c r="J250" s="27">
        <f>IFERROR(MIN(IF(VLOOKUP(F250,'05_Master KPI'!$B$5:$G$100,5,FALSE)="Lower",H250/I250,I250/H250),1),0)</f>
        <v>0</v>
      </c>
      <c r="K250" s="26">
        <f>IFERROR(VLOOKUP(F250,'05_Master KPI'!$B$5:$G$100,4,FALSE),0)</f>
        <v>0</v>
      </c>
      <c r="L250" s="28">
        <f t="shared" si="3"/>
        <v>0</v>
      </c>
      <c r="M250" s="26" t="str">
        <f>IF(D250="","",IF(J250&gt;='13_Setting'!$H$7,"Tercapai",IF(J250&gt;='13_Setting'!$H$6,"On Track","Tertinggal")))</f>
        <v/>
      </c>
      <c r="N250" s="24"/>
    </row>
    <row r="251" spans="1:14">
      <c r="A251" s="24"/>
      <c r="B251" s="24"/>
      <c r="C251" s="25"/>
      <c r="D251" s="24"/>
      <c r="E251" s="26" t="str">
        <f>IFERROR(VLOOKUP(D251,'04_Master Karyawan'!$A$5:$F$50,2,FALSE),"")</f>
        <v/>
      </c>
      <c r="F251" s="24"/>
      <c r="G251" s="26" t="str">
        <f>IFERROR(VLOOKUP(F251,'05_Master KPI'!$B$5:$G$100,2,FALSE)&amp;" ("&amp;VLOOKUP(F251,'05_Master KPI'!$B$5:$G$100,3,FALSE)&amp;")","")</f>
        <v/>
      </c>
      <c r="H251" s="26">
        <f>IFERROR(IF(B251&lt;&gt;'06_Target KPI'!$B$3,0,IF(VLOOKUP(F251,'05_Master KPI'!$B$5:$G$100,6,FALSE)="Kumulatif",INDEX('06_Target KPI'!$E$5:$P$100,MATCH(F251,'06_Target KPI'!$B$5:$B$100,0),MATCH(A251,'06_Target KPI'!$E$4:$P$4,0))*DAY(C251)/DAY(EOMONTH(C251,0)),INDEX('06_Target KPI'!$E$5:$P$100,MATCH(F251,'06_Target KPI'!$B$5:$B$100,0),MATCH(A251,'06_Target KPI'!$E$4:$P$4,0)))),0)</f>
        <v>0</v>
      </c>
      <c r="I251" s="24"/>
      <c r="J251" s="27">
        <f>IFERROR(MIN(IF(VLOOKUP(F251,'05_Master KPI'!$B$5:$G$100,5,FALSE)="Lower",H251/I251,I251/H251),1),0)</f>
        <v>0</v>
      </c>
      <c r="K251" s="26">
        <f>IFERROR(VLOOKUP(F251,'05_Master KPI'!$B$5:$G$100,4,FALSE),0)</f>
        <v>0</v>
      </c>
      <c r="L251" s="28">
        <f t="shared" si="3"/>
        <v>0</v>
      </c>
      <c r="M251" s="26" t="str">
        <f>IF(D251="","",IF(J251&gt;='13_Setting'!$H$7,"Tercapai",IF(J251&gt;='13_Setting'!$H$6,"On Track","Tertinggal")))</f>
        <v/>
      </c>
      <c r="N251" s="24"/>
    </row>
    <row r="252" spans="1:14">
      <c r="A252" s="24"/>
      <c r="B252" s="24"/>
      <c r="C252" s="25"/>
      <c r="D252" s="24"/>
      <c r="E252" s="26" t="str">
        <f>IFERROR(VLOOKUP(D252,'04_Master Karyawan'!$A$5:$F$50,2,FALSE),"")</f>
        <v/>
      </c>
      <c r="F252" s="24"/>
      <c r="G252" s="26" t="str">
        <f>IFERROR(VLOOKUP(F252,'05_Master KPI'!$B$5:$G$100,2,FALSE)&amp;" ("&amp;VLOOKUP(F252,'05_Master KPI'!$B$5:$G$100,3,FALSE)&amp;")","")</f>
        <v/>
      </c>
      <c r="H252" s="26">
        <f>IFERROR(IF(B252&lt;&gt;'06_Target KPI'!$B$3,0,IF(VLOOKUP(F252,'05_Master KPI'!$B$5:$G$100,6,FALSE)="Kumulatif",INDEX('06_Target KPI'!$E$5:$P$100,MATCH(F252,'06_Target KPI'!$B$5:$B$100,0),MATCH(A252,'06_Target KPI'!$E$4:$P$4,0))*DAY(C252)/DAY(EOMONTH(C252,0)),INDEX('06_Target KPI'!$E$5:$P$100,MATCH(F252,'06_Target KPI'!$B$5:$B$100,0),MATCH(A252,'06_Target KPI'!$E$4:$P$4,0)))),0)</f>
        <v>0</v>
      </c>
      <c r="I252" s="24"/>
      <c r="J252" s="27">
        <f>IFERROR(MIN(IF(VLOOKUP(F252,'05_Master KPI'!$B$5:$G$100,5,FALSE)="Lower",H252/I252,I252/H252),1),0)</f>
        <v>0</v>
      </c>
      <c r="K252" s="26">
        <f>IFERROR(VLOOKUP(F252,'05_Master KPI'!$B$5:$G$100,4,FALSE),0)</f>
        <v>0</v>
      </c>
      <c r="L252" s="28">
        <f t="shared" si="3"/>
        <v>0</v>
      </c>
      <c r="M252" s="26" t="str">
        <f>IF(D252="","",IF(J252&gt;='13_Setting'!$H$7,"Tercapai",IF(J252&gt;='13_Setting'!$H$6,"On Track","Tertinggal")))</f>
        <v/>
      </c>
      <c r="N252" s="24"/>
    </row>
    <row r="253" spans="1:14">
      <c r="A253" s="24"/>
      <c r="B253" s="24"/>
      <c r="C253" s="25"/>
      <c r="D253" s="24"/>
      <c r="E253" s="26" t="str">
        <f>IFERROR(VLOOKUP(D253,'04_Master Karyawan'!$A$5:$F$50,2,FALSE),"")</f>
        <v/>
      </c>
      <c r="F253" s="24"/>
      <c r="G253" s="26" t="str">
        <f>IFERROR(VLOOKUP(F253,'05_Master KPI'!$B$5:$G$100,2,FALSE)&amp;" ("&amp;VLOOKUP(F253,'05_Master KPI'!$B$5:$G$100,3,FALSE)&amp;")","")</f>
        <v/>
      </c>
      <c r="H253" s="26">
        <f>IFERROR(IF(B253&lt;&gt;'06_Target KPI'!$B$3,0,IF(VLOOKUP(F253,'05_Master KPI'!$B$5:$G$100,6,FALSE)="Kumulatif",INDEX('06_Target KPI'!$E$5:$P$100,MATCH(F253,'06_Target KPI'!$B$5:$B$100,0),MATCH(A253,'06_Target KPI'!$E$4:$P$4,0))*DAY(C253)/DAY(EOMONTH(C253,0)),INDEX('06_Target KPI'!$E$5:$P$100,MATCH(F253,'06_Target KPI'!$B$5:$B$100,0),MATCH(A253,'06_Target KPI'!$E$4:$P$4,0)))),0)</f>
        <v>0</v>
      </c>
      <c r="I253" s="24"/>
      <c r="J253" s="27">
        <f>IFERROR(MIN(IF(VLOOKUP(F253,'05_Master KPI'!$B$5:$G$100,5,FALSE)="Lower",H253/I253,I253/H253),1),0)</f>
        <v>0</v>
      </c>
      <c r="K253" s="26">
        <f>IFERROR(VLOOKUP(F253,'05_Master KPI'!$B$5:$G$100,4,FALSE),0)</f>
        <v>0</v>
      </c>
      <c r="L253" s="28">
        <f t="shared" si="3"/>
        <v>0</v>
      </c>
      <c r="M253" s="26" t="str">
        <f>IF(D253="","",IF(J253&gt;='13_Setting'!$H$7,"Tercapai",IF(J253&gt;='13_Setting'!$H$6,"On Track","Tertinggal")))</f>
        <v/>
      </c>
      <c r="N253" s="24"/>
    </row>
    <row r="254" spans="1:14">
      <c r="A254" s="24"/>
      <c r="B254" s="24"/>
      <c r="C254" s="25"/>
      <c r="D254" s="24"/>
      <c r="E254" s="26" t="str">
        <f>IFERROR(VLOOKUP(D254,'04_Master Karyawan'!$A$5:$F$50,2,FALSE),"")</f>
        <v/>
      </c>
      <c r="F254" s="24"/>
      <c r="G254" s="26" t="str">
        <f>IFERROR(VLOOKUP(F254,'05_Master KPI'!$B$5:$G$100,2,FALSE)&amp;" ("&amp;VLOOKUP(F254,'05_Master KPI'!$B$5:$G$100,3,FALSE)&amp;")","")</f>
        <v/>
      </c>
      <c r="H254" s="26">
        <f>IFERROR(IF(B254&lt;&gt;'06_Target KPI'!$B$3,0,IF(VLOOKUP(F254,'05_Master KPI'!$B$5:$G$100,6,FALSE)="Kumulatif",INDEX('06_Target KPI'!$E$5:$P$100,MATCH(F254,'06_Target KPI'!$B$5:$B$100,0),MATCH(A254,'06_Target KPI'!$E$4:$P$4,0))*DAY(C254)/DAY(EOMONTH(C254,0)),INDEX('06_Target KPI'!$E$5:$P$100,MATCH(F254,'06_Target KPI'!$B$5:$B$100,0),MATCH(A254,'06_Target KPI'!$E$4:$P$4,0)))),0)</f>
        <v>0</v>
      </c>
      <c r="I254" s="24"/>
      <c r="J254" s="27">
        <f>IFERROR(MIN(IF(VLOOKUP(F254,'05_Master KPI'!$B$5:$G$100,5,FALSE)="Lower",H254/I254,I254/H254),1),0)</f>
        <v>0</v>
      </c>
      <c r="K254" s="26">
        <f>IFERROR(VLOOKUP(F254,'05_Master KPI'!$B$5:$G$100,4,FALSE),0)</f>
        <v>0</v>
      </c>
      <c r="L254" s="28">
        <f t="shared" si="3"/>
        <v>0</v>
      </c>
      <c r="M254" s="26" t="str">
        <f>IF(D254="","",IF(J254&gt;='13_Setting'!$H$7,"Tercapai",IF(J254&gt;='13_Setting'!$H$6,"On Track","Tertinggal")))</f>
        <v/>
      </c>
      <c r="N254" s="24"/>
    </row>
    <row r="255" spans="1:14">
      <c r="A255" s="24"/>
      <c r="B255" s="24"/>
      <c r="C255" s="25"/>
      <c r="D255" s="24"/>
      <c r="E255" s="26" t="str">
        <f>IFERROR(VLOOKUP(D255,'04_Master Karyawan'!$A$5:$F$50,2,FALSE),"")</f>
        <v/>
      </c>
      <c r="F255" s="24"/>
      <c r="G255" s="26" t="str">
        <f>IFERROR(VLOOKUP(F255,'05_Master KPI'!$B$5:$G$100,2,FALSE)&amp;" ("&amp;VLOOKUP(F255,'05_Master KPI'!$B$5:$G$100,3,FALSE)&amp;")","")</f>
        <v/>
      </c>
      <c r="H255" s="26">
        <f>IFERROR(IF(B255&lt;&gt;'06_Target KPI'!$B$3,0,IF(VLOOKUP(F255,'05_Master KPI'!$B$5:$G$100,6,FALSE)="Kumulatif",INDEX('06_Target KPI'!$E$5:$P$100,MATCH(F255,'06_Target KPI'!$B$5:$B$100,0),MATCH(A255,'06_Target KPI'!$E$4:$P$4,0))*DAY(C255)/DAY(EOMONTH(C255,0)),INDEX('06_Target KPI'!$E$5:$P$100,MATCH(F255,'06_Target KPI'!$B$5:$B$100,0),MATCH(A255,'06_Target KPI'!$E$4:$P$4,0)))),0)</f>
        <v>0</v>
      </c>
      <c r="I255" s="24"/>
      <c r="J255" s="27">
        <f>IFERROR(MIN(IF(VLOOKUP(F255,'05_Master KPI'!$B$5:$G$100,5,FALSE)="Lower",H255/I255,I255/H255),1),0)</f>
        <v>0</v>
      </c>
      <c r="K255" s="26">
        <f>IFERROR(VLOOKUP(F255,'05_Master KPI'!$B$5:$G$100,4,FALSE),0)</f>
        <v>0</v>
      </c>
      <c r="L255" s="28">
        <f t="shared" si="3"/>
        <v>0</v>
      </c>
      <c r="M255" s="26" t="str">
        <f>IF(D255="","",IF(J255&gt;='13_Setting'!$H$7,"Tercapai",IF(J255&gt;='13_Setting'!$H$6,"On Track","Tertinggal")))</f>
        <v/>
      </c>
      <c r="N255" s="24"/>
    </row>
    <row r="256" spans="1:14">
      <c r="A256" s="24"/>
      <c r="B256" s="24"/>
      <c r="C256" s="25"/>
      <c r="D256" s="24"/>
      <c r="E256" s="26" t="str">
        <f>IFERROR(VLOOKUP(D256,'04_Master Karyawan'!$A$5:$F$50,2,FALSE),"")</f>
        <v/>
      </c>
      <c r="F256" s="24"/>
      <c r="G256" s="26" t="str">
        <f>IFERROR(VLOOKUP(F256,'05_Master KPI'!$B$5:$G$100,2,FALSE)&amp;" ("&amp;VLOOKUP(F256,'05_Master KPI'!$B$5:$G$100,3,FALSE)&amp;")","")</f>
        <v/>
      </c>
      <c r="H256" s="26">
        <f>IFERROR(IF(B256&lt;&gt;'06_Target KPI'!$B$3,0,IF(VLOOKUP(F256,'05_Master KPI'!$B$5:$G$100,6,FALSE)="Kumulatif",INDEX('06_Target KPI'!$E$5:$P$100,MATCH(F256,'06_Target KPI'!$B$5:$B$100,0),MATCH(A256,'06_Target KPI'!$E$4:$P$4,0))*DAY(C256)/DAY(EOMONTH(C256,0)),INDEX('06_Target KPI'!$E$5:$P$100,MATCH(F256,'06_Target KPI'!$B$5:$B$100,0),MATCH(A256,'06_Target KPI'!$E$4:$P$4,0)))),0)</f>
        <v>0</v>
      </c>
      <c r="I256" s="24"/>
      <c r="J256" s="27">
        <f>IFERROR(MIN(IF(VLOOKUP(F256,'05_Master KPI'!$B$5:$G$100,5,FALSE)="Lower",H256/I256,I256/H256),1),0)</f>
        <v>0</v>
      </c>
      <c r="K256" s="26">
        <f>IFERROR(VLOOKUP(F256,'05_Master KPI'!$B$5:$G$100,4,FALSE),0)</f>
        <v>0</v>
      </c>
      <c r="L256" s="28">
        <f t="shared" si="3"/>
        <v>0</v>
      </c>
      <c r="M256" s="26" t="str">
        <f>IF(D256="","",IF(J256&gt;='13_Setting'!$H$7,"Tercapai",IF(J256&gt;='13_Setting'!$H$6,"On Track","Tertinggal")))</f>
        <v/>
      </c>
      <c r="N256" s="24"/>
    </row>
    <row r="257" spans="1:14">
      <c r="A257" s="24"/>
      <c r="B257" s="24"/>
      <c r="C257" s="25"/>
      <c r="D257" s="24"/>
      <c r="E257" s="26" t="str">
        <f>IFERROR(VLOOKUP(D257,'04_Master Karyawan'!$A$5:$F$50,2,FALSE),"")</f>
        <v/>
      </c>
      <c r="F257" s="24"/>
      <c r="G257" s="26" t="str">
        <f>IFERROR(VLOOKUP(F257,'05_Master KPI'!$B$5:$G$100,2,FALSE)&amp;" ("&amp;VLOOKUP(F257,'05_Master KPI'!$B$5:$G$100,3,FALSE)&amp;")","")</f>
        <v/>
      </c>
      <c r="H257" s="26">
        <f>IFERROR(IF(B257&lt;&gt;'06_Target KPI'!$B$3,0,IF(VLOOKUP(F257,'05_Master KPI'!$B$5:$G$100,6,FALSE)="Kumulatif",INDEX('06_Target KPI'!$E$5:$P$100,MATCH(F257,'06_Target KPI'!$B$5:$B$100,0),MATCH(A257,'06_Target KPI'!$E$4:$P$4,0))*DAY(C257)/DAY(EOMONTH(C257,0)),INDEX('06_Target KPI'!$E$5:$P$100,MATCH(F257,'06_Target KPI'!$B$5:$B$100,0),MATCH(A257,'06_Target KPI'!$E$4:$P$4,0)))),0)</f>
        <v>0</v>
      </c>
      <c r="I257" s="24"/>
      <c r="J257" s="27">
        <f>IFERROR(MIN(IF(VLOOKUP(F257,'05_Master KPI'!$B$5:$G$100,5,FALSE)="Lower",H257/I257,I257/H257),1),0)</f>
        <v>0</v>
      </c>
      <c r="K257" s="26">
        <f>IFERROR(VLOOKUP(F257,'05_Master KPI'!$B$5:$G$100,4,FALSE),0)</f>
        <v>0</v>
      </c>
      <c r="L257" s="28">
        <f t="shared" si="3"/>
        <v>0</v>
      </c>
      <c r="M257" s="26" t="str">
        <f>IF(D257="","",IF(J257&gt;='13_Setting'!$H$7,"Tercapai",IF(J257&gt;='13_Setting'!$H$6,"On Track","Tertinggal")))</f>
        <v/>
      </c>
      <c r="N257" s="24"/>
    </row>
    <row r="258" spans="1:14">
      <c r="A258" s="24"/>
      <c r="B258" s="24"/>
      <c r="C258" s="25"/>
      <c r="D258" s="24"/>
      <c r="E258" s="26" t="str">
        <f>IFERROR(VLOOKUP(D258,'04_Master Karyawan'!$A$5:$F$50,2,FALSE),"")</f>
        <v/>
      </c>
      <c r="F258" s="24"/>
      <c r="G258" s="26" t="str">
        <f>IFERROR(VLOOKUP(F258,'05_Master KPI'!$B$5:$G$100,2,FALSE)&amp;" ("&amp;VLOOKUP(F258,'05_Master KPI'!$B$5:$G$100,3,FALSE)&amp;")","")</f>
        <v/>
      </c>
      <c r="H258" s="26">
        <f>IFERROR(IF(B258&lt;&gt;'06_Target KPI'!$B$3,0,IF(VLOOKUP(F258,'05_Master KPI'!$B$5:$G$100,6,FALSE)="Kumulatif",INDEX('06_Target KPI'!$E$5:$P$100,MATCH(F258,'06_Target KPI'!$B$5:$B$100,0),MATCH(A258,'06_Target KPI'!$E$4:$P$4,0))*DAY(C258)/DAY(EOMONTH(C258,0)),INDEX('06_Target KPI'!$E$5:$P$100,MATCH(F258,'06_Target KPI'!$B$5:$B$100,0),MATCH(A258,'06_Target KPI'!$E$4:$P$4,0)))),0)</f>
        <v>0</v>
      </c>
      <c r="I258" s="24"/>
      <c r="J258" s="27">
        <f>IFERROR(MIN(IF(VLOOKUP(F258,'05_Master KPI'!$B$5:$G$100,5,FALSE)="Lower",H258/I258,I258/H258),1),0)</f>
        <v>0</v>
      </c>
      <c r="K258" s="26">
        <f>IFERROR(VLOOKUP(F258,'05_Master KPI'!$B$5:$G$100,4,FALSE),0)</f>
        <v>0</v>
      </c>
      <c r="L258" s="28">
        <f t="shared" si="3"/>
        <v>0</v>
      </c>
      <c r="M258" s="26" t="str">
        <f>IF(D258="","",IF(J258&gt;='13_Setting'!$H$7,"Tercapai",IF(J258&gt;='13_Setting'!$H$6,"On Track","Tertinggal")))</f>
        <v/>
      </c>
      <c r="N258" s="24"/>
    </row>
    <row r="259" spans="1:14">
      <c r="A259" s="24"/>
      <c r="B259" s="24"/>
      <c r="C259" s="25"/>
      <c r="D259" s="24"/>
      <c r="E259" s="26" t="str">
        <f>IFERROR(VLOOKUP(D259,'04_Master Karyawan'!$A$5:$F$50,2,FALSE),"")</f>
        <v/>
      </c>
      <c r="F259" s="24"/>
      <c r="G259" s="26" t="str">
        <f>IFERROR(VLOOKUP(F259,'05_Master KPI'!$B$5:$G$100,2,FALSE)&amp;" ("&amp;VLOOKUP(F259,'05_Master KPI'!$B$5:$G$100,3,FALSE)&amp;")","")</f>
        <v/>
      </c>
      <c r="H259" s="26">
        <f>IFERROR(IF(B259&lt;&gt;'06_Target KPI'!$B$3,0,IF(VLOOKUP(F259,'05_Master KPI'!$B$5:$G$100,6,FALSE)="Kumulatif",INDEX('06_Target KPI'!$E$5:$P$100,MATCH(F259,'06_Target KPI'!$B$5:$B$100,0),MATCH(A259,'06_Target KPI'!$E$4:$P$4,0))*DAY(C259)/DAY(EOMONTH(C259,0)),INDEX('06_Target KPI'!$E$5:$P$100,MATCH(F259,'06_Target KPI'!$B$5:$B$100,0),MATCH(A259,'06_Target KPI'!$E$4:$P$4,0)))),0)</f>
        <v>0</v>
      </c>
      <c r="I259" s="24"/>
      <c r="J259" s="27">
        <f>IFERROR(MIN(IF(VLOOKUP(F259,'05_Master KPI'!$B$5:$G$100,5,FALSE)="Lower",H259/I259,I259/H259),1),0)</f>
        <v>0</v>
      </c>
      <c r="K259" s="26">
        <f>IFERROR(VLOOKUP(F259,'05_Master KPI'!$B$5:$G$100,4,FALSE),0)</f>
        <v>0</v>
      </c>
      <c r="L259" s="28">
        <f t="shared" si="3"/>
        <v>0</v>
      </c>
      <c r="M259" s="26" t="str">
        <f>IF(D259="","",IF(J259&gt;='13_Setting'!$H$7,"Tercapai",IF(J259&gt;='13_Setting'!$H$6,"On Track","Tertinggal")))</f>
        <v/>
      </c>
      <c r="N259" s="24"/>
    </row>
    <row r="260" spans="1:14">
      <c r="A260" s="24"/>
      <c r="B260" s="24"/>
      <c r="C260" s="25"/>
      <c r="D260" s="24"/>
      <c r="E260" s="26" t="str">
        <f>IFERROR(VLOOKUP(D260,'04_Master Karyawan'!$A$5:$F$50,2,FALSE),"")</f>
        <v/>
      </c>
      <c r="F260" s="24"/>
      <c r="G260" s="26" t="str">
        <f>IFERROR(VLOOKUP(F260,'05_Master KPI'!$B$5:$G$100,2,FALSE)&amp;" ("&amp;VLOOKUP(F260,'05_Master KPI'!$B$5:$G$100,3,FALSE)&amp;")","")</f>
        <v/>
      </c>
      <c r="H260" s="26">
        <f>IFERROR(IF(B260&lt;&gt;'06_Target KPI'!$B$3,0,IF(VLOOKUP(F260,'05_Master KPI'!$B$5:$G$100,6,FALSE)="Kumulatif",INDEX('06_Target KPI'!$E$5:$P$100,MATCH(F260,'06_Target KPI'!$B$5:$B$100,0),MATCH(A260,'06_Target KPI'!$E$4:$P$4,0))*DAY(C260)/DAY(EOMONTH(C260,0)),INDEX('06_Target KPI'!$E$5:$P$100,MATCH(F260,'06_Target KPI'!$B$5:$B$100,0),MATCH(A260,'06_Target KPI'!$E$4:$P$4,0)))),0)</f>
        <v>0</v>
      </c>
      <c r="I260" s="24"/>
      <c r="J260" s="27">
        <f>IFERROR(MIN(IF(VLOOKUP(F260,'05_Master KPI'!$B$5:$G$100,5,FALSE)="Lower",H260/I260,I260/H260),1),0)</f>
        <v>0</v>
      </c>
      <c r="K260" s="26">
        <f>IFERROR(VLOOKUP(F260,'05_Master KPI'!$B$5:$G$100,4,FALSE),0)</f>
        <v>0</v>
      </c>
      <c r="L260" s="28">
        <f t="shared" si="3"/>
        <v>0</v>
      </c>
      <c r="M260" s="26" t="str">
        <f>IF(D260="","",IF(J260&gt;='13_Setting'!$H$7,"Tercapai",IF(J260&gt;='13_Setting'!$H$6,"On Track","Tertinggal")))</f>
        <v/>
      </c>
      <c r="N260" s="24"/>
    </row>
    <row r="261" spans="1:14">
      <c r="A261" s="24"/>
      <c r="B261" s="24"/>
      <c r="C261" s="25"/>
      <c r="D261" s="24"/>
      <c r="E261" s="26" t="str">
        <f>IFERROR(VLOOKUP(D261,'04_Master Karyawan'!$A$5:$F$50,2,FALSE),"")</f>
        <v/>
      </c>
      <c r="F261" s="24"/>
      <c r="G261" s="26" t="str">
        <f>IFERROR(VLOOKUP(F261,'05_Master KPI'!$B$5:$G$100,2,FALSE)&amp;" ("&amp;VLOOKUP(F261,'05_Master KPI'!$B$5:$G$100,3,FALSE)&amp;")","")</f>
        <v/>
      </c>
      <c r="H261" s="26">
        <f>IFERROR(IF(B261&lt;&gt;'06_Target KPI'!$B$3,0,IF(VLOOKUP(F261,'05_Master KPI'!$B$5:$G$100,6,FALSE)="Kumulatif",INDEX('06_Target KPI'!$E$5:$P$100,MATCH(F261,'06_Target KPI'!$B$5:$B$100,0),MATCH(A261,'06_Target KPI'!$E$4:$P$4,0))*DAY(C261)/DAY(EOMONTH(C261,0)),INDEX('06_Target KPI'!$E$5:$P$100,MATCH(F261,'06_Target KPI'!$B$5:$B$100,0),MATCH(A261,'06_Target KPI'!$E$4:$P$4,0)))),0)</f>
        <v>0</v>
      </c>
      <c r="I261" s="24"/>
      <c r="J261" s="27">
        <f>IFERROR(MIN(IF(VLOOKUP(F261,'05_Master KPI'!$B$5:$G$100,5,FALSE)="Lower",H261/I261,I261/H261),1),0)</f>
        <v>0</v>
      </c>
      <c r="K261" s="26">
        <f>IFERROR(VLOOKUP(F261,'05_Master KPI'!$B$5:$G$100,4,FALSE),0)</f>
        <v>0</v>
      </c>
      <c r="L261" s="28">
        <f t="shared" ref="L261:L304" si="4">J261*K261</f>
        <v>0</v>
      </c>
      <c r="M261" s="26" t="str">
        <f>IF(D261="","",IF(J261&gt;='13_Setting'!$H$7,"Tercapai",IF(J261&gt;='13_Setting'!$H$6,"On Track","Tertinggal")))</f>
        <v/>
      </c>
      <c r="N261" s="24"/>
    </row>
    <row r="262" spans="1:14">
      <c r="A262" s="24"/>
      <c r="B262" s="24"/>
      <c r="C262" s="25"/>
      <c r="D262" s="24"/>
      <c r="E262" s="26" t="str">
        <f>IFERROR(VLOOKUP(D262,'04_Master Karyawan'!$A$5:$F$50,2,FALSE),"")</f>
        <v/>
      </c>
      <c r="F262" s="24"/>
      <c r="G262" s="26" t="str">
        <f>IFERROR(VLOOKUP(F262,'05_Master KPI'!$B$5:$G$100,2,FALSE)&amp;" ("&amp;VLOOKUP(F262,'05_Master KPI'!$B$5:$G$100,3,FALSE)&amp;")","")</f>
        <v/>
      </c>
      <c r="H262" s="26">
        <f>IFERROR(IF(B262&lt;&gt;'06_Target KPI'!$B$3,0,IF(VLOOKUP(F262,'05_Master KPI'!$B$5:$G$100,6,FALSE)="Kumulatif",INDEX('06_Target KPI'!$E$5:$P$100,MATCH(F262,'06_Target KPI'!$B$5:$B$100,0),MATCH(A262,'06_Target KPI'!$E$4:$P$4,0))*DAY(C262)/DAY(EOMONTH(C262,0)),INDEX('06_Target KPI'!$E$5:$P$100,MATCH(F262,'06_Target KPI'!$B$5:$B$100,0),MATCH(A262,'06_Target KPI'!$E$4:$P$4,0)))),0)</f>
        <v>0</v>
      </c>
      <c r="I262" s="24"/>
      <c r="J262" s="27">
        <f>IFERROR(MIN(IF(VLOOKUP(F262,'05_Master KPI'!$B$5:$G$100,5,FALSE)="Lower",H262/I262,I262/H262),1),0)</f>
        <v>0</v>
      </c>
      <c r="K262" s="26">
        <f>IFERROR(VLOOKUP(F262,'05_Master KPI'!$B$5:$G$100,4,FALSE),0)</f>
        <v>0</v>
      </c>
      <c r="L262" s="28">
        <f t="shared" si="4"/>
        <v>0</v>
      </c>
      <c r="M262" s="26" t="str">
        <f>IF(D262="","",IF(J262&gt;='13_Setting'!$H$7,"Tercapai",IF(J262&gt;='13_Setting'!$H$6,"On Track","Tertinggal")))</f>
        <v/>
      </c>
      <c r="N262" s="24"/>
    </row>
    <row r="263" spans="1:14">
      <c r="A263" s="24"/>
      <c r="B263" s="24"/>
      <c r="C263" s="25"/>
      <c r="D263" s="24"/>
      <c r="E263" s="26" t="str">
        <f>IFERROR(VLOOKUP(D263,'04_Master Karyawan'!$A$5:$F$50,2,FALSE),"")</f>
        <v/>
      </c>
      <c r="F263" s="24"/>
      <c r="G263" s="26" t="str">
        <f>IFERROR(VLOOKUP(F263,'05_Master KPI'!$B$5:$G$100,2,FALSE)&amp;" ("&amp;VLOOKUP(F263,'05_Master KPI'!$B$5:$G$100,3,FALSE)&amp;")","")</f>
        <v/>
      </c>
      <c r="H263" s="26">
        <f>IFERROR(IF(B263&lt;&gt;'06_Target KPI'!$B$3,0,IF(VLOOKUP(F263,'05_Master KPI'!$B$5:$G$100,6,FALSE)="Kumulatif",INDEX('06_Target KPI'!$E$5:$P$100,MATCH(F263,'06_Target KPI'!$B$5:$B$100,0),MATCH(A263,'06_Target KPI'!$E$4:$P$4,0))*DAY(C263)/DAY(EOMONTH(C263,0)),INDEX('06_Target KPI'!$E$5:$P$100,MATCH(F263,'06_Target KPI'!$B$5:$B$100,0),MATCH(A263,'06_Target KPI'!$E$4:$P$4,0)))),0)</f>
        <v>0</v>
      </c>
      <c r="I263" s="24"/>
      <c r="J263" s="27">
        <f>IFERROR(MIN(IF(VLOOKUP(F263,'05_Master KPI'!$B$5:$G$100,5,FALSE)="Lower",H263/I263,I263/H263),1),0)</f>
        <v>0</v>
      </c>
      <c r="K263" s="26">
        <f>IFERROR(VLOOKUP(F263,'05_Master KPI'!$B$5:$G$100,4,FALSE),0)</f>
        <v>0</v>
      </c>
      <c r="L263" s="28">
        <f t="shared" si="4"/>
        <v>0</v>
      </c>
      <c r="M263" s="26" t="str">
        <f>IF(D263="","",IF(J263&gt;='13_Setting'!$H$7,"Tercapai",IF(J263&gt;='13_Setting'!$H$6,"On Track","Tertinggal")))</f>
        <v/>
      </c>
      <c r="N263" s="24"/>
    </row>
    <row r="264" spans="1:14">
      <c r="A264" s="24"/>
      <c r="B264" s="24"/>
      <c r="C264" s="25"/>
      <c r="D264" s="24"/>
      <c r="E264" s="26" t="str">
        <f>IFERROR(VLOOKUP(D264,'04_Master Karyawan'!$A$5:$F$50,2,FALSE),"")</f>
        <v/>
      </c>
      <c r="F264" s="24"/>
      <c r="G264" s="26" t="str">
        <f>IFERROR(VLOOKUP(F264,'05_Master KPI'!$B$5:$G$100,2,FALSE)&amp;" ("&amp;VLOOKUP(F264,'05_Master KPI'!$B$5:$G$100,3,FALSE)&amp;")","")</f>
        <v/>
      </c>
      <c r="H264" s="26">
        <f>IFERROR(IF(B264&lt;&gt;'06_Target KPI'!$B$3,0,IF(VLOOKUP(F264,'05_Master KPI'!$B$5:$G$100,6,FALSE)="Kumulatif",INDEX('06_Target KPI'!$E$5:$P$100,MATCH(F264,'06_Target KPI'!$B$5:$B$100,0),MATCH(A264,'06_Target KPI'!$E$4:$P$4,0))*DAY(C264)/DAY(EOMONTH(C264,0)),INDEX('06_Target KPI'!$E$5:$P$100,MATCH(F264,'06_Target KPI'!$B$5:$B$100,0),MATCH(A264,'06_Target KPI'!$E$4:$P$4,0)))),0)</f>
        <v>0</v>
      </c>
      <c r="I264" s="24"/>
      <c r="J264" s="27">
        <f>IFERROR(MIN(IF(VLOOKUP(F264,'05_Master KPI'!$B$5:$G$100,5,FALSE)="Lower",H264/I264,I264/H264),1),0)</f>
        <v>0</v>
      </c>
      <c r="K264" s="26">
        <f>IFERROR(VLOOKUP(F264,'05_Master KPI'!$B$5:$G$100,4,FALSE),0)</f>
        <v>0</v>
      </c>
      <c r="L264" s="28">
        <f t="shared" si="4"/>
        <v>0</v>
      </c>
      <c r="M264" s="26" t="str">
        <f>IF(D264="","",IF(J264&gt;='13_Setting'!$H$7,"Tercapai",IF(J264&gt;='13_Setting'!$H$6,"On Track","Tertinggal")))</f>
        <v/>
      </c>
      <c r="N264" s="24"/>
    </row>
    <row r="265" spans="1:14">
      <c r="A265" s="24"/>
      <c r="B265" s="24"/>
      <c r="C265" s="25"/>
      <c r="D265" s="24"/>
      <c r="E265" s="26" t="str">
        <f>IFERROR(VLOOKUP(D265,'04_Master Karyawan'!$A$5:$F$50,2,FALSE),"")</f>
        <v/>
      </c>
      <c r="F265" s="24"/>
      <c r="G265" s="26" t="str">
        <f>IFERROR(VLOOKUP(F265,'05_Master KPI'!$B$5:$G$100,2,FALSE)&amp;" ("&amp;VLOOKUP(F265,'05_Master KPI'!$B$5:$G$100,3,FALSE)&amp;")","")</f>
        <v/>
      </c>
      <c r="H265" s="26">
        <f>IFERROR(IF(B265&lt;&gt;'06_Target KPI'!$B$3,0,IF(VLOOKUP(F265,'05_Master KPI'!$B$5:$G$100,6,FALSE)="Kumulatif",INDEX('06_Target KPI'!$E$5:$P$100,MATCH(F265,'06_Target KPI'!$B$5:$B$100,0),MATCH(A265,'06_Target KPI'!$E$4:$P$4,0))*DAY(C265)/DAY(EOMONTH(C265,0)),INDEX('06_Target KPI'!$E$5:$P$100,MATCH(F265,'06_Target KPI'!$B$5:$B$100,0),MATCH(A265,'06_Target KPI'!$E$4:$P$4,0)))),0)</f>
        <v>0</v>
      </c>
      <c r="I265" s="24"/>
      <c r="J265" s="27">
        <f>IFERROR(MIN(IF(VLOOKUP(F265,'05_Master KPI'!$B$5:$G$100,5,FALSE)="Lower",H265/I265,I265/H265),1),0)</f>
        <v>0</v>
      </c>
      <c r="K265" s="26">
        <f>IFERROR(VLOOKUP(F265,'05_Master KPI'!$B$5:$G$100,4,FALSE),0)</f>
        <v>0</v>
      </c>
      <c r="L265" s="28">
        <f t="shared" si="4"/>
        <v>0</v>
      </c>
      <c r="M265" s="26" t="str">
        <f>IF(D265="","",IF(J265&gt;='13_Setting'!$H$7,"Tercapai",IF(J265&gt;='13_Setting'!$H$6,"On Track","Tertinggal")))</f>
        <v/>
      </c>
      <c r="N265" s="24"/>
    </row>
    <row r="266" spans="1:14">
      <c r="A266" s="24"/>
      <c r="B266" s="24"/>
      <c r="C266" s="25"/>
      <c r="D266" s="24"/>
      <c r="E266" s="26" t="str">
        <f>IFERROR(VLOOKUP(D266,'04_Master Karyawan'!$A$5:$F$50,2,FALSE),"")</f>
        <v/>
      </c>
      <c r="F266" s="24"/>
      <c r="G266" s="26" t="str">
        <f>IFERROR(VLOOKUP(F266,'05_Master KPI'!$B$5:$G$100,2,FALSE)&amp;" ("&amp;VLOOKUP(F266,'05_Master KPI'!$B$5:$G$100,3,FALSE)&amp;")","")</f>
        <v/>
      </c>
      <c r="H266" s="26">
        <f>IFERROR(IF(B266&lt;&gt;'06_Target KPI'!$B$3,0,IF(VLOOKUP(F266,'05_Master KPI'!$B$5:$G$100,6,FALSE)="Kumulatif",INDEX('06_Target KPI'!$E$5:$P$100,MATCH(F266,'06_Target KPI'!$B$5:$B$100,0),MATCH(A266,'06_Target KPI'!$E$4:$P$4,0))*DAY(C266)/DAY(EOMONTH(C266,0)),INDEX('06_Target KPI'!$E$5:$P$100,MATCH(F266,'06_Target KPI'!$B$5:$B$100,0),MATCH(A266,'06_Target KPI'!$E$4:$P$4,0)))),0)</f>
        <v>0</v>
      </c>
      <c r="I266" s="24"/>
      <c r="J266" s="27">
        <f>IFERROR(MIN(IF(VLOOKUP(F266,'05_Master KPI'!$B$5:$G$100,5,FALSE)="Lower",H266/I266,I266/H266),1),0)</f>
        <v>0</v>
      </c>
      <c r="K266" s="26">
        <f>IFERROR(VLOOKUP(F266,'05_Master KPI'!$B$5:$G$100,4,FALSE),0)</f>
        <v>0</v>
      </c>
      <c r="L266" s="28">
        <f t="shared" si="4"/>
        <v>0</v>
      </c>
      <c r="M266" s="26" t="str">
        <f>IF(D266="","",IF(J266&gt;='13_Setting'!$H$7,"Tercapai",IF(J266&gt;='13_Setting'!$H$6,"On Track","Tertinggal")))</f>
        <v/>
      </c>
      <c r="N266" s="24"/>
    </row>
    <row r="267" spans="1:14">
      <c r="A267" s="24"/>
      <c r="B267" s="24"/>
      <c r="C267" s="25"/>
      <c r="D267" s="24"/>
      <c r="E267" s="26" t="str">
        <f>IFERROR(VLOOKUP(D267,'04_Master Karyawan'!$A$5:$F$50,2,FALSE),"")</f>
        <v/>
      </c>
      <c r="F267" s="24"/>
      <c r="G267" s="26" t="str">
        <f>IFERROR(VLOOKUP(F267,'05_Master KPI'!$B$5:$G$100,2,FALSE)&amp;" ("&amp;VLOOKUP(F267,'05_Master KPI'!$B$5:$G$100,3,FALSE)&amp;")","")</f>
        <v/>
      </c>
      <c r="H267" s="26">
        <f>IFERROR(IF(B267&lt;&gt;'06_Target KPI'!$B$3,0,IF(VLOOKUP(F267,'05_Master KPI'!$B$5:$G$100,6,FALSE)="Kumulatif",INDEX('06_Target KPI'!$E$5:$P$100,MATCH(F267,'06_Target KPI'!$B$5:$B$100,0),MATCH(A267,'06_Target KPI'!$E$4:$P$4,0))*DAY(C267)/DAY(EOMONTH(C267,0)),INDEX('06_Target KPI'!$E$5:$P$100,MATCH(F267,'06_Target KPI'!$B$5:$B$100,0),MATCH(A267,'06_Target KPI'!$E$4:$P$4,0)))),0)</f>
        <v>0</v>
      </c>
      <c r="I267" s="24"/>
      <c r="J267" s="27">
        <f>IFERROR(MIN(IF(VLOOKUP(F267,'05_Master KPI'!$B$5:$G$100,5,FALSE)="Lower",H267/I267,I267/H267),1),0)</f>
        <v>0</v>
      </c>
      <c r="K267" s="26">
        <f>IFERROR(VLOOKUP(F267,'05_Master KPI'!$B$5:$G$100,4,FALSE),0)</f>
        <v>0</v>
      </c>
      <c r="L267" s="28">
        <f t="shared" si="4"/>
        <v>0</v>
      </c>
      <c r="M267" s="26" t="str">
        <f>IF(D267="","",IF(J267&gt;='13_Setting'!$H$7,"Tercapai",IF(J267&gt;='13_Setting'!$H$6,"On Track","Tertinggal")))</f>
        <v/>
      </c>
      <c r="N267" s="24"/>
    </row>
    <row r="268" spans="1:14">
      <c r="A268" s="24"/>
      <c r="B268" s="24"/>
      <c r="C268" s="25"/>
      <c r="D268" s="24"/>
      <c r="E268" s="26" t="str">
        <f>IFERROR(VLOOKUP(D268,'04_Master Karyawan'!$A$5:$F$50,2,FALSE),"")</f>
        <v/>
      </c>
      <c r="F268" s="24"/>
      <c r="G268" s="26" t="str">
        <f>IFERROR(VLOOKUP(F268,'05_Master KPI'!$B$5:$G$100,2,FALSE)&amp;" ("&amp;VLOOKUP(F268,'05_Master KPI'!$B$5:$G$100,3,FALSE)&amp;")","")</f>
        <v/>
      </c>
      <c r="H268" s="26">
        <f>IFERROR(IF(B268&lt;&gt;'06_Target KPI'!$B$3,0,IF(VLOOKUP(F268,'05_Master KPI'!$B$5:$G$100,6,FALSE)="Kumulatif",INDEX('06_Target KPI'!$E$5:$P$100,MATCH(F268,'06_Target KPI'!$B$5:$B$100,0),MATCH(A268,'06_Target KPI'!$E$4:$P$4,0))*DAY(C268)/DAY(EOMONTH(C268,0)),INDEX('06_Target KPI'!$E$5:$P$100,MATCH(F268,'06_Target KPI'!$B$5:$B$100,0),MATCH(A268,'06_Target KPI'!$E$4:$P$4,0)))),0)</f>
        <v>0</v>
      </c>
      <c r="I268" s="24"/>
      <c r="J268" s="27">
        <f>IFERROR(MIN(IF(VLOOKUP(F268,'05_Master KPI'!$B$5:$G$100,5,FALSE)="Lower",H268/I268,I268/H268),1),0)</f>
        <v>0</v>
      </c>
      <c r="K268" s="26">
        <f>IFERROR(VLOOKUP(F268,'05_Master KPI'!$B$5:$G$100,4,FALSE),0)</f>
        <v>0</v>
      </c>
      <c r="L268" s="28">
        <f t="shared" si="4"/>
        <v>0</v>
      </c>
      <c r="M268" s="26" t="str">
        <f>IF(D268="","",IF(J268&gt;='13_Setting'!$H$7,"Tercapai",IF(J268&gt;='13_Setting'!$H$6,"On Track","Tertinggal")))</f>
        <v/>
      </c>
      <c r="N268" s="24"/>
    </row>
    <row r="269" spans="1:14">
      <c r="A269" s="24"/>
      <c r="B269" s="24"/>
      <c r="C269" s="25"/>
      <c r="D269" s="24"/>
      <c r="E269" s="26" t="str">
        <f>IFERROR(VLOOKUP(D269,'04_Master Karyawan'!$A$5:$F$50,2,FALSE),"")</f>
        <v/>
      </c>
      <c r="F269" s="24"/>
      <c r="G269" s="26" t="str">
        <f>IFERROR(VLOOKUP(F269,'05_Master KPI'!$B$5:$G$100,2,FALSE)&amp;" ("&amp;VLOOKUP(F269,'05_Master KPI'!$B$5:$G$100,3,FALSE)&amp;")","")</f>
        <v/>
      </c>
      <c r="H269" s="26">
        <f>IFERROR(IF(B269&lt;&gt;'06_Target KPI'!$B$3,0,IF(VLOOKUP(F269,'05_Master KPI'!$B$5:$G$100,6,FALSE)="Kumulatif",INDEX('06_Target KPI'!$E$5:$P$100,MATCH(F269,'06_Target KPI'!$B$5:$B$100,0),MATCH(A269,'06_Target KPI'!$E$4:$P$4,0))*DAY(C269)/DAY(EOMONTH(C269,0)),INDEX('06_Target KPI'!$E$5:$P$100,MATCH(F269,'06_Target KPI'!$B$5:$B$100,0),MATCH(A269,'06_Target KPI'!$E$4:$P$4,0)))),0)</f>
        <v>0</v>
      </c>
      <c r="I269" s="24"/>
      <c r="J269" s="27">
        <f>IFERROR(MIN(IF(VLOOKUP(F269,'05_Master KPI'!$B$5:$G$100,5,FALSE)="Lower",H269/I269,I269/H269),1),0)</f>
        <v>0</v>
      </c>
      <c r="K269" s="26">
        <f>IFERROR(VLOOKUP(F269,'05_Master KPI'!$B$5:$G$100,4,FALSE),0)</f>
        <v>0</v>
      </c>
      <c r="L269" s="28">
        <f t="shared" si="4"/>
        <v>0</v>
      </c>
      <c r="M269" s="26" t="str">
        <f>IF(D269="","",IF(J269&gt;='13_Setting'!$H$7,"Tercapai",IF(J269&gt;='13_Setting'!$H$6,"On Track","Tertinggal")))</f>
        <v/>
      </c>
      <c r="N269" s="24"/>
    </row>
    <row r="270" spans="1:14">
      <c r="A270" s="24"/>
      <c r="B270" s="24"/>
      <c r="C270" s="25"/>
      <c r="D270" s="24"/>
      <c r="E270" s="26" t="str">
        <f>IFERROR(VLOOKUP(D270,'04_Master Karyawan'!$A$5:$F$50,2,FALSE),"")</f>
        <v/>
      </c>
      <c r="F270" s="24"/>
      <c r="G270" s="26" t="str">
        <f>IFERROR(VLOOKUP(F270,'05_Master KPI'!$B$5:$G$100,2,FALSE)&amp;" ("&amp;VLOOKUP(F270,'05_Master KPI'!$B$5:$G$100,3,FALSE)&amp;")","")</f>
        <v/>
      </c>
      <c r="H270" s="26">
        <f>IFERROR(IF(B270&lt;&gt;'06_Target KPI'!$B$3,0,IF(VLOOKUP(F270,'05_Master KPI'!$B$5:$G$100,6,FALSE)="Kumulatif",INDEX('06_Target KPI'!$E$5:$P$100,MATCH(F270,'06_Target KPI'!$B$5:$B$100,0),MATCH(A270,'06_Target KPI'!$E$4:$P$4,0))*DAY(C270)/DAY(EOMONTH(C270,0)),INDEX('06_Target KPI'!$E$5:$P$100,MATCH(F270,'06_Target KPI'!$B$5:$B$100,0),MATCH(A270,'06_Target KPI'!$E$4:$P$4,0)))),0)</f>
        <v>0</v>
      </c>
      <c r="I270" s="24"/>
      <c r="J270" s="27">
        <f>IFERROR(MIN(IF(VLOOKUP(F270,'05_Master KPI'!$B$5:$G$100,5,FALSE)="Lower",H270/I270,I270/H270),1),0)</f>
        <v>0</v>
      </c>
      <c r="K270" s="26">
        <f>IFERROR(VLOOKUP(F270,'05_Master KPI'!$B$5:$G$100,4,FALSE),0)</f>
        <v>0</v>
      </c>
      <c r="L270" s="28">
        <f t="shared" si="4"/>
        <v>0</v>
      </c>
      <c r="M270" s="26" t="str">
        <f>IF(D270="","",IF(J270&gt;='13_Setting'!$H$7,"Tercapai",IF(J270&gt;='13_Setting'!$H$6,"On Track","Tertinggal")))</f>
        <v/>
      </c>
      <c r="N270" s="24"/>
    </row>
    <row r="271" spans="1:14">
      <c r="A271" s="24"/>
      <c r="B271" s="24"/>
      <c r="C271" s="25"/>
      <c r="D271" s="24"/>
      <c r="E271" s="26" t="str">
        <f>IFERROR(VLOOKUP(D271,'04_Master Karyawan'!$A$5:$F$50,2,FALSE),"")</f>
        <v/>
      </c>
      <c r="F271" s="24"/>
      <c r="G271" s="26" t="str">
        <f>IFERROR(VLOOKUP(F271,'05_Master KPI'!$B$5:$G$100,2,FALSE)&amp;" ("&amp;VLOOKUP(F271,'05_Master KPI'!$B$5:$G$100,3,FALSE)&amp;")","")</f>
        <v/>
      </c>
      <c r="H271" s="26">
        <f>IFERROR(IF(B271&lt;&gt;'06_Target KPI'!$B$3,0,IF(VLOOKUP(F271,'05_Master KPI'!$B$5:$G$100,6,FALSE)="Kumulatif",INDEX('06_Target KPI'!$E$5:$P$100,MATCH(F271,'06_Target KPI'!$B$5:$B$100,0),MATCH(A271,'06_Target KPI'!$E$4:$P$4,0))*DAY(C271)/DAY(EOMONTH(C271,0)),INDEX('06_Target KPI'!$E$5:$P$100,MATCH(F271,'06_Target KPI'!$B$5:$B$100,0),MATCH(A271,'06_Target KPI'!$E$4:$P$4,0)))),0)</f>
        <v>0</v>
      </c>
      <c r="I271" s="24"/>
      <c r="J271" s="27">
        <f>IFERROR(MIN(IF(VLOOKUP(F271,'05_Master KPI'!$B$5:$G$100,5,FALSE)="Lower",H271/I271,I271/H271),1),0)</f>
        <v>0</v>
      </c>
      <c r="K271" s="26">
        <f>IFERROR(VLOOKUP(F271,'05_Master KPI'!$B$5:$G$100,4,FALSE),0)</f>
        <v>0</v>
      </c>
      <c r="L271" s="28">
        <f t="shared" si="4"/>
        <v>0</v>
      </c>
      <c r="M271" s="26" t="str">
        <f>IF(D271="","",IF(J271&gt;='13_Setting'!$H$7,"Tercapai",IF(J271&gt;='13_Setting'!$H$6,"On Track","Tertinggal")))</f>
        <v/>
      </c>
      <c r="N271" s="24"/>
    </row>
    <row r="272" spans="1:14">
      <c r="A272" s="24"/>
      <c r="B272" s="24"/>
      <c r="C272" s="25"/>
      <c r="D272" s="24"/>
      <c r="E272" s="26" t="str">
        <f>IFERROR(VLOOKUP(D272,'04_Master Karyawan'!$A$5:$F$50,2,FALSE),"")</f>
        <v/>
      </c>
      <c r="F272" s="24"/>
      <c r="G272" s="26" t="str">
        <f>IFERROR(VLOOKUP(F272,'05_Master KPI'!$B$5:$G$100,2,FALSE)&amp;" ("&amp;VLOOKUP(F272,'05_Master KPI'!$B$5:$G$100,3,FALSE)&amp;")","")</f>
        <v/>
      </c>
      <c r="H272" s="26">
        <f>IFERROR(IF(B272&lt;&gt;'06_Target KPI'!$B$3,0,IF(VLOOKUP(F272,'05_Master KPI'!$B$5:$G$100,6,FALSE)="Kumulatif",INDEX('06_Target KPI'!$E$5:$P$100,MATCH(F272,'06_Target KPI'!$B$5:$B$100,0),MATCH(A272,'06_Target KPI'!$E$4:$P$4,0))*DAY(C272)/DAY(EOMONTH(C272,0)),INDEX('06_Target KPI'!$E$5:$P$100,MATCH(F272,'06_Target KPI'!$B$5:$B$100,0),MATCH(A272,'06_Target KPI'!$E$4:$P$4,0)))),0)</f>
        <v>0</v>
      </c>
      <c r="I272" s="24"/>
      <c r="J272" s="27">
        <f>IFERROR(MIN(IF(VLOOKUP(F272,'05_Master KPI'!$B$5:$G$100,5,FALSE)="Lower",H272/I272,I272/H272),1),0)</f>
        <v>0</v>
      </c>
      <c r="K272" s="26">
        <f>IFERROR(VLOOKUP(F272,'05_Master KPI'!$B$5:$G$100,4,FALSE),0)</f>
        <v>0</v>
      </c>
      <c r="L272" s="28">
        <f t="shared" si="4"/>
        <v>0</v>
      </c>
      <c r="M272" s="26" t="str">
        <f>IF(D272="","",IF(J272&gt;='13_Setting'!$H$7,"Tercapai",IF(J272&gt;='13_Setting'!$H$6,"On Track","Tertinggal")))</f>
        <v/>
      </c>
      <c r="N272" s="24"/>
    </row>
    <row r="273" spans="1:14">
      <c r="A273" s="24"/>
      <c r="B273" s="24"/>
      <c r="C273" s="25"/>
      <c r="D273" s="24"/>
      <c r="E273" s="26" t="str">
        <f>IFERROR(VLOOKUP(D273,'04_Master Karyawan'!$A$5:$F$50,2,FALSE),"")</f>
        <v/>
      </c>
      <c r="F273" s="24"/>
      <c r="G273" s="26" t="str">
        <f>IFERROR(VLOOKUP(F273,'05_Master KPI'!$B$5:$G$100,2,FALSE)&amp;" ("&amp;VLOOKUP(F273,'05_Master KPI'!$B$5:$G$100,3,FALSE)&amp;")","")</f>
        <v/>
      </c>
      <c r="H273" s="26">
        <f>IFERROR(IF(B273&lt;&gt;'06_Target KPI'!$B$3,0,IF(VLOOKUP(F273,'05_Master KPI'!$B$5:$G$100,6,FALSE)="Kumulatif",INDEX('06_Target KPI'!$E$5:$P$100,MATCH(F273,'06_Target KPI'!$B$5:$B$100,0),MATCH(A273,'06_Target KPI'!$E$4:$P$4,0))*DAY(C273)/DAY(EOMONTH(C273,0)),INDEX('06_Target KPI'!$E$5:$P$100,MATCH(F273,'06_Target KPI'!$B$5:$B$100,0),MATCH(A273,'06_Target KPI'!$E$4:$P$4,0)))),0)</f>
        <v>0</v>
      </c>
      <c r="I273" s="24"/>
      <c r="J273" s="27">
        <f>IFERROR(MIN(IF(VLOOKUP(F273,'05_Master KPI'!$B$5:$G$100,5,FALSE)="Lower",H273/I273,I273/H273),1),0)</f>
        <v>0</v>
      </c>
      <c r="K273" s="26">
        <f>IFERROR(VLOOKUP(F273,'05_Master KPI'!$B$5:$G$100,4,FALSE),0)</f>
        <v>0</v>
      </c>
      <c r="L273" s="28">
        <f t="shared" si="4"/>
        <v>0</v>
      </c>
      <c r="M273" s="26" t="str">
        <f>IF(D273="","",IF(J273&gt;='13_Setting'!$H$7,"Tercapai",IF(J273&gt;='13_Setting'!$H$6,"On Track","Tertinggal")))</f>
        <v/>
      </c>
      <c r="N273" s="24"/>
    </row>
    <row r="274" spans="1:14">
      <c r="A274" s="24"/>
      <c r="B274" s="24"/>
      <c r="C274" s="25"/>
      <c r="D274" s="24"/>
      <c r="E274" s="26" t="str">
        <f>IFERROR(VLOOKUP(D274,'04_Master Karyawan'!$A$5:$F$50,2,FALSE),"")</f>
        <v/>
      </c>
      <c r="F274" s="24"/>
      <c r="G274" s="26" t="str">
        <f>IFERROR(VLOOKUP(F274,'05_Master KPI'!$B$5:$G$100,2,FALSE)&amp;" ("&amp;VLOOKUP(F274,'05_Master KPI'!$B$5:$G$100,3,FALSE)&amp;")","")</f>
        <v/>
      </c>
      <c r="H274" s="26">
        <f>IFERROR(IF(B274&lt;&gt;'06_Target KPI'!$B$3,0,IF(VLOOKUP(F274,'05_Master KPI'!$B$5:$G$100,6,FALSE)="Kumulatif",INDEX('06_Target KPI'!$E$5:$P$100,MATCH(F274,'06_Target KPI'!$B$5:$B$100,0),MATCH(A274,'06_Target KPI'!$E$4:$P$4,0))*DAY(C274)/DAY(EOMONTH(C274,0)),INDEX('06_Target KPI'!$E$5:$P$100,MATCH(F274,'06_Target KPI'!$B$5:$B$100,0),MATCH(A274,'06_Target KPI'!$E$4:$P$4,0)))),0)</f>
        <v>0</v>
      </c>
      <c r="I274" s="24"/>
      <c r="J274" s="27">
        <f>IFERROR(MIN(IF(VLOOKUP(F274,'05_Master KPI'!$B$5:$G$100,5,FALSE)="Lower",H274/I274,I274/H274),1),0)</f>
        <v>0</v>
      </c>
      <c r="K274" s="26">
        <f>IFERROR(VLOOKUP(F274,'05_Master KPI'!$B$5:$G$100,4,FALSE),0)</f>
        <v>0</v>
      </c>
      <c r="L274" s="28">
        <f t="shared" si="4"/>
        <v>0</v>
      </c>
      <c r="M274" s="26" t="str">
        <f>IF(D274="","",IF(J274&gt;='13_Setting'!$H$7,"Tercapai",IF(J274&gt;='13_Setting'!$H$6,"On Track","Tertinggal")))</f>
        <v/>
      </c>
      <c r="N274" s="24"/>
    </row>
    <row r="275" spans="1:14">
      <c r="A275" s="24"/>
      <c r="B275" s="24"/>
      <c r="C275" s="25"/>
      <c r="D275" s="24"/>
      <c r="E275" s="26" t="str">
        <f>IFERROR(VLOOKUP(D275,'04_Master Karyawan'!$A$5:$F$50,2,FALSE),"")</f>
        <v/>
      </c>
      <c r="F275" s="24"/>
      <c r="G275" s="26" t="str">
        <f>IFERROR(VLOOKUP(F275,'05_Master KPI'!$B$5:$G$100,2,FALSE)&amp;" ("&amp;VLOOKUP(F275,'05_Master KPI'!$B$5:$G$100,3,FALSE)&amp;")","")</f>
        <v/>
      </c>
      <c r="H275" s="26">
        <f>IFERROR(IF(B275&lt;&gt;'06_Target KPI'!$B$3,0,IF(VLOOKUP(F275,'05_Master KPI'!$B$5:$G$100,6,FALSE)="Kumulatif",INDEX('06_Target KPI'!$E$5:$P$100,MATCH(F275,'06_Target KPI'!$B$5:$B$100,0),MATCH(A275,'06_Target KPI'!$E$4:$P$4,0))*DAY(C275)/DAY(EOMONTH(C275,0)),INDEX('06_Target KPI'!$E$5:$P$100,MATCH(F275,'06_Target KPI'!$B$5:$B$100,0),MATCH(A275,'06_Target KPI'!$E$4:$P$4,0)))),0)</f>
        <v>0</v>
      </c>
      <c r="I275" s="24"/>
      <c r="J275" s="27">
        <f>IFERROR(MIN(IF(VLOOKUP(F275,'05_Master KPI'!$B$5:$G$100,5,FALSE)="Lower",H275/I275,I275/H275),1),0)</f>
        <v>0</v>
      </c>
      <c r="K275" s="26">
        <f>IFERROR(VLOOKUP(F275,'05_Master KPI'!$B$5:$G$100,4,FALSE),0)</f>
        <v>0</v>
      </c>
      <c r="L275" s="28">
        <f t="shared" si="4"/>
        <v>0</v>
      </c>
      <c r="M275" s="26" t="str">
        <f>IF(D275="","",IF(J275&gt;='13_Setting'!$H$7,"Tercapai",IF(J275&gt;='13_Setting'!$H$6,"On Track","Tertinggal")))</f>
        <v/>
      </c>
      <c r="N275" s="24"/>
    </row>
    <row r="276" spans="1:14">
      <c r="A276" s="24"/>
      <c r="B276" s="24"/>
      <c r="C276" s="25"/>
      <c r="D276" s="24"/>
      <c r="E276" s="26" t="str">
        <f>IFERROR(VLOOKUP(D276,'04_Master Karyawan'!$A$5:$F$50,2,FALSE),"")</f>
        <v/>
      </c>
      <c r="F276" s="24"/>
      <c r="G276" s="26" t="str">
        <f>IFERROR(VLOOKUP(F276,'05_Master KPI'!$B$5:$G$100,2,FALSE)&amp;" ("&amp;VLOOKUP(F276,'05_Master KPI'!$B$5:$G$100,3,FALSE)&amp;")","")</f>
        <v/>
      </c>
      <c r="H276" s="26">
        <f>IFERROR(IF(B276&lt;&gt;'06_Target KPI'!$B$3,0,IF(VLOOKUP(F276,'05_Master KPI'!$B$5:$G$100,6,FALSE)="Kumulatif",INDEX('06_Target KPI'!$E$5:$P$100,MATCH(F276,'06_Target KPI'!$B$5:$B$100,0),MATCH(A276,'06_Target KPI'!$E$4:$P$4,0))*DAY(C276)/DAY(EOMONTH(C276,0)),INDEX('06_Target KPI'!$E$5:$P$100,MATCH(F276,'06_Target KPI'!$B$5:$B$100,0),MATCH(A276,'06_Target KPI'!$E$4:$P$4,0)))),0)</f>
        <v>0</v>
      </c>
      <c r="I276" s="24"/>
      <c r="J276" s="27">
        <f>IFERROR(MIN(IF(VLOOKUP(F276,'05_Master KPI'!$B$5:$G$100,5,FALSE)="Lower",H276/I276,I276/H276),1),0)</f>
        <v>0</v>
      </c>
      <c r="K276" s="26">
        <f>IFERROR(VLOOKUP(F276,'05_Master KPI'!$B$5:$G$100,4,FALSE),0)</f>
        <v>0</v>
      </c>
      <c r="L276" s="28">
        <f t="shared" si="4"/>
        <v>0</v>
      </c>
      <c r="M276" s="26" t="str">
        <f>IF(D276="","",IF(J276&gt;='13_Setting'!$H$7,"Tercapai",IF(J276&gt;='13_Setting'!$H$6,"On Track","Tertinggal")))</f>
        <v/>
      </c>
      <c r="N276" s="24"/>
    </row>
    <row r="277" spans="1:14">
      <c r="A277" s="24"/>
      <c r="B277" s="24"/>
      <c r="C277" s="25"/>
      <c r="D277" s="24"/>
      <c r="E277" s="26" t="str">
        <f>IFERROR(VLOOKUP(D277,'04_Master Karyawan'!$A$5:$F$50,2,FALSE),"")</f>
        <v/>
      </c>
      <c r="F277" s="24"/>
      <c r="G277" s="26" t="str">
        <f>IFERROR(VLOOKUP(F277,'05_Master KPI'!$B$5:$G$100,2,FALSE)&amp;" ("&amp;VLOOKUP(F277,'05_Master KPI'!$B$5:$G$100,3,FALSE)&amp;")","")</f>
        <v/>
      </c>
      <c r="H277" s="26">
        <f>IFERROR(IF(B277&lt;&gt;'06_Target KPI'!$B$3,0,IF(VLOOKUP(F277,'05_Master KPI'!$B$5:$G$100,6,FALSE)="Kumulatif",INDEX('06_Target KPI'!$E$5:$P$100,MATCH(F277,'06_Target KPI'!$B$5:$B$100,0),MATCH(A277,'06_Target KPI'!$E$4:$P$4,0))*DAY(C277)/DAY(EOMONTH(C277,0)),INDEX('06_Target KPI'!$E$5:$P$100,MATCH(F277,'06_Target KPI'!$B$5:$B$100,0),MATCH(A277,'06_Target KPI'!$E$4:$P$4,0)))),0)</f>
        <v>0</v>
      </c>
      <c r="I277" s="24"/>
      <c r="J277" s="27">
        <f>IFERROR(MIN(IF(VLOOKUP(F277,'05_Master KPI'!$B$5:$G$100,5,FALSE)="Lower",H277/I277,I277/H277),1),0)</f>
        <v>0</v>
      </c>
      <c r="K277" s="26">
        <f>IFERROR(VLOOKUP(F277,'05_Master KPI'!$B$5:$G$100,4,FALSE),0)</f>
        <v>0</v>
      </c>
      <c r="L277" s="28">
        <f t="shared" si="4"/>
        <v>0</v>
      </c>
      <c r="M277" s="26" t="str">
        <f>IF(D277="","",IF(J277&gt;='13_Setting'!$H$7,"Tercapai",IF(J277&gt;='13_Setting'!$H$6,"On Track","Tertinggal")))</f>
        <v/>
      </c>
      <c r="N277" s="24"/>
    </row>
    <row r="278" spans="1:14">
      <c r="A278" s="24"/>
      <c r="B278" s="24"/>
      <c r="C278" s="25"/>
      <c r="D278" s="24"/>
      <c r="E278" s="26" t="str">
        <f>IFERROR(VLOOKUP(D278,'04_Master Karyawan'!$A$5:$F$50,2,FALSE),"")</f>
        <v/>
      </c>
      <c r="F278" s="24"/>
      <c r="G278" s="26" t="str">
        <f>IFERROR(VLOOKUP(F278,'05_Master KPI'!$B$5:$G$100,2,FALSE)&amp;" ("&amp;VLOOKUP(F278,'05_Master KPI'!$B$5:$G$100,3,FALSE)&amp;")","")</f>
        <v/>
      </c>
      <c r="H278" s="26">
        <f>IFERROR(IF(B278&lt;&gt;'06_Target KPI'!$B$3,0,IF(VLOOKUP(F278,'05_Master KPI'!$B$5:$G$100,6,FALSE)="Kumulatif",INDEX('06_Target KPI'!$E$5:$P$100,MATCH(F278,'06_Target KPI'!$B$5:$B$100,0),MATCH(A278,'06_Target KPI'!$E$4:$P$4,0))*DAY(C278)/DAY(EOMONTH(C278,0)),INDEX('06_Target KPI'!$E$5:$P$100,MATCH(F278,'06_Target KPI'!$B$5:$B$100,0),MATCH(A278,'06_Target KPI'!$E$4:$P$4,0)))),0)</f>
        <v>0</v>
      </c>
      <c r="I278" s="24"/>
      <c r="J278" s="27">
        <f>IFERROR(MIN(IF(VLOOKUP(F278,'05_Master KPI'!$B$5:$G$100,5,FALSE)="Lower",H278/I278,I278/H278),1),0)</f>
        <v>0</v>
      </c>
      <c r="K278" s="26">
        <f>IFERROR(VLOOKUP(F278,'05_Master KPI'!$B$5:$G$100,4,FALSE),0)</f>
        <v>0</v>
      </c>
      <c r="L278" s="28">
        <f t="shared" si="4"/>
        <v>0</v>
      </c>
      <c r="M278" s="26" t="str">
        <f>IF(D278="","",IF(J278&gt;='13_Setting'!$H$7,"Tercapai",IF(J278&gt;='13_Setting'!$H$6,"On Track","Tertinggal")))</f>
        <v/>
      </c>
      <c r="N278" s="24"/>
    </row>
    <row r="279" spans="1:14">
      <c r="A279" s="24"/>
      <c r="B279" s="24"/>
      <c r="C279" s="25"/>
      <c r="D279" s="24"/>
      <c r="E279" s="26" t="str">
        <f>IFERROR(VLOOKUP(D279,'04_Master Karyawan'!$A$5:$F$50,2,FALSE),"")</f>
        <v/>
      </c>
      <c r="F279" s="24"/>
      <c r="G279" s="26" t="str">
        <f>IFERROR(VLOOKUP(F279,'05_Master KPI'!$B$5:$G$100,2,FALSE)&amp;" ("&amp;VLOOKUP(F279,'05_Master KPI'!$B$5:$G$100,3,FALSE)&amp;")","")</f>
        <v/>
      </c>
      <c r="H279" s="26">
        <f>IFERROR(IF(B279&lt;&gt;'06_Target KPI'!$B$3,0,IF(VLOOKUP(F279,'05_Master KPI'!$B$5:$G$100,6,FALSE)="Kumulatif",INDEX('06_Target KPI'!$E$5:$P$100,MATCH(F279,'06_Target KPI'!$B$5:$B$100,0),MATCH(A279,'06_Target KPI'!$E$4:$P$4,0))*DAY(C279)/DAY(EOMONTH(C279,0)),INDEX('06_Target KPI'!$E$5:$P$100,MATCH(F279,'06_Target KPI'!$B$5:$B$100,0),MATCH(A279,'06_Target KPI'!$E$4:$P$4,0)))),0)</f>
        <v>0</v>
      </c>
      <c r="I279" s="24"/>
      <c r="J279" s="27">
        <f>IFERROR(MIN(IF(VLOOKUP(F279,'05_Master KPI'!$B$5:$G$100,5,FALSE)="Lower",H279/I279,I279/H279),1),0)</f>
        <v>0</v>
      </c>
      <c r="K279" s="26">
        <f>IFERROR(VLOOKUP(F279,'05_Master KPI'!$B$5:$G$100,4,FALSE),0)</f>
        <v>0</v>
      </c>
      <c r="L279" s="28">
        <f t="shared" si="4"/>
        <v>0</v>
      </c>
      <c r="M279" s="26" t="str">
        <f>IF(D279="","",IF(J279&gt;='13_Setting'!$H$7,"Tercapai",IF(J279&gt;='13_Setting'!$H$6,"On Track","Tertinggal")))</f>
        <v/>
      </c>
      <c r="N279" s="24"/>
    </row>
    <row r="280" spans="1:14">
      <c r="A280" s="24"/>
      <c r="B280" s="24"/>
      <c r="C280" s="25"/>
      <c r="D280" s="24"/>
      <c r="E280" s="26" t="str">
        <f>IFERROR(VLOOKUP(D280,'04_Master Karyawan'!$A$5:$F$50,2,FALSE),"")</f>
        <v/>
      </c>
      <c r="F280" s="24"/>
      <c r="G280" s="26" t="str">
        <f>IFERROR(VLOOKUP(F280,'05_Master KPI'!$B$5:$G$100,2,FALSE)&amp;" ("&amp;VLOOKUP(F280,'05_Master KPI'!$B$5:$G$100,3,FALSE)&amp;")","")</f>
        <v/>
      </c>
      <c r="H280" s="26">
        <f>IFERROR(IF(B280&lt;&gt;'06_Target KPI'!$B$3,0,IF(VLOOKUP(F280,'05_Master KPI'!$B$5:$G$100,6,FALSE)="Kumulatif",INDEX('06_Target KPI'!$E$5:$P$100,MATCH(F280,'06_Target KPI'!$B$5:$B$100,0),MATCH(A280,'06_Target KPI'!$E$4:$P$4,0))*DAY(C280)/DAY(EOMONTH(C280,0)),INDEX('06_Target KPI'!$E$5:$P$100,MATCH(F280,'06_Target KPI'!$B$5:$B$100,0),MATCH(A280,'06_Target KPI'!$E$4:$P$4,0)))),0)</f>
        <v>0</v>
      </c>
      <c r="I280" s="24"/>
      <c r="J280" s="27">
        <f>IFERROR(MIN(IF(VLOOKUP(F280,'05_Master KPI'!$B$5:$G$100,5,FALSE)="Lower",H280/I280,I280/H280),1),0)</f>
        <v>0</v>
      </c>
      <c r="K280" s="26">
        <f>IFERROR(VLOOKUP(F280,'05_Master KPI'!$B$5:$G$100,4,FALSE),0)</f>
        <v>0</v>
      </c>
      <c r="L280" s="28">
        <f t="shared" si="4"/>
        <v>0</v>
      </c>
      <c r="M280" s="26" t="str">
        <f>IF(D280="","",IF(J280&gt;='13_Setting'!$H$7,"Tercapai",IF(J280&gt;='13_Setting'!$H$6,"On Track","Tertinggal")))</f>
        <v/>
      </c>
      <c r="N280" s="24"/>
    </row>
    <row r="281" spans="1:14">
      <c r="A281" s="24"/>
      <c r="B281" s="24"/>
      <c r="C281" s="25"/>
      <c r="D281" s="24"/>
      <c r="E281" s="26" t="str">
        <f>IFERROR(VLOOKUP(D281,'04_Master Karyawan'!$A$5:$F$50,2,FALSE),"")</f>
        <v/>
      </c>
      <c r="F281" s="24"/>
      <c r="G281" s="26" t="str">
        <f>IFERROR(VLOOKUP(F281,'05_Master KPI'!$B$5:$G$100,2,FALSE)&amp;" ("&amp;VLOOKUP(F281,'05_Master KPI'!$B$5:$G$100,3,FALSE)&amp;")","")</f>
        <v/>
      </c>
      <c r="H281" s="26">
        <f>IFERROR(IF(B281&lt;&gt;'06_Target KPI'!$B$3,0,IF(VLOOKUP(F281,'05_Master KPI'!$B$5:$G$100,6,FALSE)="Kumulatif",INDEX('06_Target KPI'!$E$5:$P$100,MATCH(F281,'06_Target KPI'!$B$5:$B$100,0),MATCH(A281,'06_Target KPI'!$E$4:$P$4,0))*DAY(C281)/DAY(EOMONTH(C281,0)),INDEX('06_Target KPI'!$E$5:$P$100,MATCH(F281,'06_Target KPI'!$B$5:$B$100,0),MATCH(A281,'06_Target KPI'!$E$4:$P$4,0)))),0)</f>
        <v>0</v>
      </c>
      <c r="I281" s="24"/>
      <c r="J281" s="27">
        <f>IFERROR(MIN(IF(VLOOKUP(F281,'05_Master KPI'!$B$5:$G$100,5,FALSE)="Lower",H281/I281,I281/H281),1),0)</f>
        <v>0</v>
      </c>
      <c r="K281" s="26">
        <f>IFERROR(VLOOKUP(F281,'05_Master KPI'!$B$5:$G$100,4,FALSE),0)</f>
        <v>0</v>
      </c>
      <c r="L281" s="28">
        <f t="shared" si="4"/>
        <v>0</v>
      </c>
      <c r="M281" s="26" t="str">
        <f>IF(D281="","",IF(J281&gt;='13_Setting'!$H$7,"Tercapai",IF(J281&gt;='13_Setting'!$H$6,"On Track","Tertinggal")))</f>
        <v/>
      </c>
      <c r="N281" s="24"/>
    </row>
    <row r="282" spans="1:14">
      <c r="A282" s="24"/>
      <c r="B282" s="24"/>
      <c r="C282" s="25"/>
      <c r="D282" s="24"/>
      <c r="E282" s="26" t="str">
        <f>IFERROR(VLOOKUP(D282,'04_Master Karyawan'!$A$5:$F$50,2,FALSE),"")</f>
        <v/>
      </c>
      <c r="F282" s="24"/>
      <c r="G282" s="26" t="str">
        <f>IFERROR(VLOOKUP(F282,'05_Master KPI'!$B$5:$G$100,2,FALSE)&amp;" ("&amp;VLOOKUP(F282,'05_Master KPI'!$B$5:$G$100,3,FALSE)&amp;")","")</f>
        <v/>
      </c>
      <c r="H282" s="26">
        <f>IFERROR(IF(B282&lt;&gt;'06_Target KPI'!$B$3,0,IF(VLOOKUP(F282,'05_Master KPI'!$B$5:$G$100,6,FALSE)="Kumulatif",INDEX('06_Target KPI'!$E$5:$P$100,MATCH(F282,'06_Target KPI'!$B$5:$B$100,0),MATCH(A282,'06_Target KPI'!$E$4:$P$4,0))*DAY(C282)/DAY(EOMONTH(C282,0)),INDEX('06_Target KPI'!$E$5:$P$100,MATCH(F282,'06_Target KPI'!$B$5:$B$100,0),MATCH(A282,'06_Target KPI'!$E$4:$P$4,0)))),0)</f>
        <v>0</v>
      </c>
      <c r="I282" s="24"/>
      <c r="J282" s="27">
        <f>IFERROR(MIN(IF(VLOOKUP(F282,'05_Master KPI'!$B$5:$G$100,5,FALSE)="Lower",H282/I282,I282/H282),1),0)</f>
        <v>0</v>
      </c>
      <c r="K282" s="26">
        <f>IFERROR(VLOOKUP(F282,'05_Master KPI'!$B$5:$G$100,4,FALSE),0)</f>
        <v>0</v>
      </c>
      <c r="L282" s="28">
        <f t="shared" si="4"/>
        <v>0</v>
      </c>
      <c r="M282" s="26" t="str">
        <f>IF(D282="","",IF(J282&gt;='13_Setting'!$H$7,"Tercapai",IF(J282&gt;='13_Setting'!$H$6,"On Track","Tertinggal")))</f>
        <v/>
      </c>
      <c r="N282" s="24"/>
    </row>
    <row r="283" spans="1:14">
      <c r="A283" s="24"/>
      <c r="B283" s="24"/>
      <c r="C283" s="25"/>
      <c r="D283" s="24"/>
      <c r="E283" s="26" t="str">
        <f>IFERROR(VLOOKUP(D283,'04_Master Karyawan'!$A$5:$F$50,2,FALSE),"")</f>
        <v/>
      </c>
      <c r="F283" s="24"/>
      <c r="G283" s="26" t="str">
        <f>IFERROR(VLOOKUP(F283,'05_Master KPI'!$B$5:$G$100,2,FALSE)&amp;" ("&amp;VLOOKUP(F283,'05_Master KPI'!$B$5:$G$100,3,FALSE)&amp;")","")</f>
        <v/>
      </c>
      <c r="H283" s="26">
        <f>IFERROR(IF(B283&lt;&gt;'06_Target KPI'!$B$3,0,IF(VLOOKUP(F283,'05_Master KPI'!$B$5:$G$100,6,FALSE)="Kumulatif",INDEX('06_Target KPI'!$E$5:$P$100,MATCH(F283,'06_Target KPI'!$B$5:$B$100,0),MATCH(A283,'06_Target KPI'!$E$4:$P$4,0))*DAY(C283)/DAY(EOMONTH(C283,0)),INDEX('06_Target KPI'!$E$5:$P$100,MATCH(F283,'06_Target KPI'!$B$5:$B$100,0),MATCH(A283,'06_Target KPI'!$E$4:$P$4,0)))),0)</f>
        <v>0</v>
      </c>
      <c r="I283" s="24"/>
      <c r="J283" s="27">
        <f>IFERROR(MIN(IF(VLOOKUP(F283,'05_Master KPI'!$B$5:$G$100,5,FALSE)="Lower",H283/I283,I283/H283),1),0)</f>
        <v>0</v>
      </c>
      <c r="K283" s="26">
        <f>IFERROR(VLOOKUP(F283,'05_Master KPI'!$B$5:$G$100,4,FALSE),0)</f>
        <v>0</v>
      </c>
      <c r="L283" s="28">
        <f t="shared" si="4"/>
        <v>0</v>
      </c>
      <c r="M283" s="26" t="str">
        <f>IF(D283="","",IF(J283&gt;='13_Setting'!$H$7,"Tercapai",IF(J283&gt;='13_Setting'!$H$6,"On Track","Tertinggal")))</f>
        <v/>
      </c>
      <c r="N283" s="24"/>
    </row>
    <row r="284" spans="1:14">
      <c r="A284" s="24"/>
      <c r="B284" s="24"/>
      <c r="C284" s="25"/>
      <c r="D284" s="24"/>
      <c r="E284" s="26" t="str">
        <f>IFERROR(VLOOKUP(D284,'04_Master Karyawan'!$A$5:$F$50,2,FALSE),"")</f>
        <v/>
      </c>
      <c r="F284" s="24"/>
      <c r="G284" s="26" t="str">
        <f>IFERROR(VLOOKUP(F284,'05_Master KPI'!$B$5:$G$100,2,FALSE)&amp;" ("&amp;VLOOKUP(F284,'05_Master KPI'!$B$5:$G$100,3,FALSE)&amp;")","")</f>
        <v/>
      </c>
      <c r="H284" s="26">
        <f>IFERROR(IF(B284&lt;&gt;'06_Target KPI'!$B$3,0,IF(VLOOKUP(F284,'05_Master KPI'!$B$5:$G$100,6,FALSE)="Kumulatif",INDEX('06_Target KPI'!$E$5:$P$100,MATCH(F284,'06_Target KPI'!$B$5:$B$100,0),MATCH(A284,'06_Target KPI'!$E$4:$P$4,0))*DAY(C284)/DAY(EOMONTH(C284,0)),INDEX('06_Target KPI'!$E$5:$P$100,MATCH(F284,'06_Target KPI'!$B$5:$B$100,0),MATCH(A284,'06_Target KPI'!$E$4:$P$4,0)))),0)</f>
        <v>0</v>
      </c>
      <c r="I284" s="24"/>
      <c r="J284" s="27">
        <f>IFERROR(MIN(IF(VLOOKUP(F284,'05_Master KPI'!$B$5:$G$100,5,FALSE)="Lower",H284/I284,I284/H284),1),0)</f>
        <v>0</v>
      </c>
      <c r="K284" s="26">
        <f>IFERROR(VLOOKUP(F284,'05_Master KPI'!$B$5:$G$100,4,FALSE),0)</f>
        <v>0</v>
      </c>
      <c r="L284" s="28">
        <f t="shared" si="4"/>
        <v>0</v>
      </c>
      <c r="M284" s="26" t="str">
        <f>IF(D284="","",IF(J284&gt;='13_Setting'!$H$7,"Tercapai",IF(J284&gt;='13_Setting'!$H$6,"On Track","Tertinggal")))</f>
        <v/>
      </c>
      <c r="N284" s="24"/>
    </row>
    <row r="285" spans="1:14">
      <c r="A285" s="24"/>
      <c r="B285" s="24"/>
      <c r="C285" s="25"/>
      <c r="D285" s="24"/>
      <c r="E285" s="26" t="str">
        <f>IFERROR(VLOOKUP(D285,'04_Master Karyawan'!$A$5:$F$50,2,FALSE),"")</f>
        <v/>
      </c>
      <c r="F285" s="24"/>
      <c r="G285" s="26" t="str">
        <f>IFERROR(VLOOKUP(F285,'05_Master KPI'!$B$5:$G$100,2,FALSE)&amp;" ("&amp;VLOOKUP(F285,'05_Master KPI'!$B$5:$G$100,3,FALSE)&amp;")","")</f>
        <v/>
      </c>
      <c r="H285" s="26">
        <f>IFERROR(IF(B285&lt;&gt;'06_Target KPI'!$B$3,0,IF(VLOOKUP(F285,'05_Master KPI'!$B$5:$G$100,6,FALSE)="Kumulatif",INDEX('06_Target KPI'!$E$5:$P$100,MATCH(F285,'06_Target KPI'!$B$5:$B$100,0),MATCH(A285,'06_Target KPI'!$E$4:$P$4,0))*DAY(C285)/DAY(EOMONTH(C285,0)),INDEX('06_Target KPI'!$E$5:$P$100,MATCH(F285,'06_Target KPI'!$B$5:$B$100,0),MATCH(A285,'06_Target KPI'!$E$4:$P$4,0)))),0)</f>
        <v>0</v>
      </c>
      <c r="I285" s="24"/>
      <c r="J285" s="27">
        <f>IFERROR(MIN(IF(VLOOKUP(F285,'05_Master KPI'!$B$5:$G$100,5,FALSE)="Lower",H285/I285,I285/H285),1),0)</f>
        <v>0</v>
      </c>
      <c r="K285" s="26">
        <f>IFERROR(VLOOKUP(F285,'05_Master KPI'!$B$5:$G$100,4,FALSE),0)</f>
        <v>0</v>
      </c>
      <c r="L285" s="28">
        <f t="shared" si="4"/>
        <v>0</v>
      </c>
      <c r="M285" s="26" t="str">
        <f>IF(D285="","",IF(J285&gt;='13_Setting'!$H$7,"Tercapai",IF(J285&gt;='13_Setting'!$H$6,"On Track","Tertinggal")))</f>
        <v/>
      </c>
      <c r="N285" s="24"/>
    </row>
    <row r="286" spans="1:14">
      <c r="A286" s="24"/>
      <c r="B286" s="24"/>
      <c r="C286" s="25"/>
      <c r="D286" s="24"/>
      <c r="E286" s="26" t="str">
        <f>IFERROR(VLOOKUP(D286,'04_Master Karyawan'!$A$5:$F$50,2,FALSE),"")</f>
        <v/>
      </c>
      <c r="F286" s="24"/>
      <c r="G286" s="26" t="str">
        <f>IFERROR(VLOOKUP(F286,'05_Master KPI'!$B$5:$G$100,2,FALSE)&amp;" ("&amp;VLOOKUP(F286,'05_Master KPI'!$B$5:$G$100,3,FALSE)&amp;")","")</f>
        <v/>
      </c>
      <c r="H286" s="26">
        <f>IFERROR(IF(B286&lt;&gt;'06_Target KPI'!$B$3,0,IF(VLOOKUP(F286,'05_Master KPI'!$B$5:$G$100,6,FALSE)="Kumulatif",INDEX('06_Target KPI'!$E$5:$P$100,MATCH(F286,'06_Target KPI'!$B$5:$B$100,0),MATCH(A286,'06_Target KPI'!$E$4:$P$4,0))*DAY(C286)/DAY(EOMONTH(C286,0)),INDEX('06_Target KPI'!$E$5:$P$100,MATCH(F286,'06_Target KPI'!$B$5:$B$100,0),MATCH(A286,'06_Target KPI'!$E$4:$P$4,0)))),0)</f>
        <v>0</v>
      </c>
      <c r="I286" s="24"/>
      <c r="J286" s="27">
        <f>IFERROR(MIN(IF(VLOOKUP(F286,'05_Master KPI'!$B$5:$G$100,5,FALSE)="Lower",H286/I286,I286/H286),1),0)</f>
        <v>0</v>
      </c>
      <c r="K286" s="26">
        <f>IFERROR(VLOOKUP(F286,'05_Master KPI'!$B$5:$G$100,4,FALSE),0)</f>
        <v>0</v>
      </c>
      <c r="L286" s="28">
        <f t="shared" si="4"/>
        <v>0</v>
      </c>
      <c r="M286" s="26" t="str">
        <f>IF(D286="","",IF(J286&gt;='13_Setting'!$H$7,"Tercapai",IF(J286&gt;='13_Setting'!$H$6,"On Track","Tertinggal")))</f>
        <v/>
      </c>
      <c r="N286" s="24"/>
    </row>
    <row r="287" spans="1:14">
      <c r="A287" s="24"/>
      <c r="B287" s="24"/>
      <c r="C287" s="25"/>
      <c r="D287" s="24"/>
      <c r="E287" s="26" t="str">
        <f>IFERROR(VLOOKUP(D287,'04_Master Karyawan'!$A$5:$F$50,2,FALSE),"")</f>
        <v/>
      </c>
      <c r="F287" s="24"/>
      <c r="G287" s="26" t="str">
        <f>IFERROR(VLOOKUP(F287,'05_Master KPI'!$B$5:$G$100,2,FALSE)&amp;" ("&amp;VLOOKUP(F287,'05_Master KPI'!$B$5:$G$100,3,FALSE)&amp;")","")</f>
        <v/>
      </c>
      <c r="H287" s="26">
        <f>IFERROR(IF(B287&lt;&gt;'06_Target KPI'!$B$3,0,IF(VLOOKUP(F287,'05_Master KPI'!$B$5:$G$100,6,FALSE)="Kumulatif",INDEX('06_Target KPI'!$E$5:$P$100,MATCH(F287,'06_Target KPI'!$B$5:$B$100,0),MATCH(A287,'06_Target KPI'!$E$4:$P$4,0))*DAY(C287)/DAY(EOMONTH(C287,0)),INDEX('06_Target KPI'!$E$5:$P$100,MATCH(F287,'06_Target KPI'!$B$5:$B$100,0),MATCH(A287,'06_Target KPI'!$E$4:$P$4,0)))),0)</f>
        <v>0</v>
      </c>
      <c r="I287" s="24"/>
      <c r="J287" s="27">
        <f>IFERROR(MIN(IF(VLOOKUP(F287,'05_Master KPI'!$B$5:$G$100,5,FALSE)="Lower",H287/I287,I287/H287),1),0)</f>
        <v>0</v>
      </c>
      <c r="K287" s="26">
        <f>IFERROR(VLOOKUP(F287,'05_Master KPI'!$B$5:$G$100,4,FALSE),0)</f>
        <v>0</v>
      </c>
      <c r="L287" s="28">
        <f t="shared" si="4"/>
        <v>0</v>
      </c>
      <c r="M287" s="26" t="str">
        <f>IF(D287="","",IF(J287&gt;='13_Setting'!$H$7,"Tercapai",IF(J287&gt;='13_Setting'!$H$6,"On Track","Tertinggal")))</f>
        <v/>
      </c>
      <c r="N287" s="24"/>
    </row>
    <row r="288" spans="1:14">
      <c r="A288" s="24"/>
      <c r="B288" s="24"/>
      <c r="C288" s="25"/>
      <c r="D288" s="24"/>
      <c r="E288" s="26" t="str">
        <f>IFERROR(VLOOKUP(D288,'04_Master Karyawan'!$A$5:$F$50,2,FALSE),"")</f>
        <v/>
      </c>
      <c r="F288" s="24"/>
      <c r="G288" s="26" t="str">
        <f>IFERROR(VLOOKUP(F288,'05_Master KPI'!$B$5:$G$100,2,FALSE)&amp;" ("&amp;VLOOKUP(F288,'05_Master KPI'!$B$5:$G$100,3,FALSE)&amp;")","")</f>
        <v/>
      </c>
      <c r="H288" s="26">
        <f>IFERROR(IF(B288&lt;&gt;'06_Target KPI'!$B$3,0,IF(VLOOKUP(F288,'05_Master KPI'!$B$5:$G$100,6,FALSE)="Kumulatif",INDEX('06_Target KPI'!$E$5:$P$100,MATCH(F288,'06_Target KPI'!$B$5:$B$100,0),MATCH(A288,'06_Target KPI'!$E$4:$P$4,0))*DAY(C288)/DAY(EOMONTH(C288,0)),INDEX('06_Target KPI'!$E$5:$P$100,MATCH(F288,'06_Target KPI'!$B$5:$B$100,0),MATCH(A288,'06_Target KPI'!$E$4:$P$4,0)))),0)</f>
        <v>0</v>
      </c>
      <c r="I288" s="24"/>
      <c r="J288" s="27">
        <f>IFERROR(MIN(IF(VLOOKUP(F288,'05_Master KPI'!$B$5:$G$100,5,FALSE)="Lower",H288/I288,I288/H288),1),0)</f>
        <v>0</v>
      </c>
      <c r="K288" s="26">
        <f>IFERROR(VLOOKUP(F288,'05_Master KPI'!$B$5:$G$100,4,FALSE),0)</f>
        <v>0</v>
      </c>
      <c r="L288" s="28">
        <f t="shared" si="4"/>
        <v>0</v>
      </c>
      <c r="M288" s="26" t="str">
        <f>IF(D288="","",IF(J288&gt;='13_Setting'!$H$7,"Tercapai",IF(J288&gt;='13_Setting'!$H$6,"On Track","Tertinggal")))</f>
        <v/>
      </c>
      <c r="N288" s="24"/>
    </row>
    <row r="289" spans="1:14">
      <c r="A289" s="24"/>
      <c r="B289" s="24"/>
      <c r="C289" s="25"/>
      <c r="D289" s="24"/>
      <c r="E289" s="26" t="str">
        <f>IFERROR(VLOOKUP(D289,'04_Master Karyawan'!$A$5:$F$50,2,FALSE),"")</f>
        <v/>
      </c>
      <c r="F289" s="24"/>
      <c r="G289" s="26" t="str">
        <f>IFERROR(VLOOKUP(F289,'05_Master KPI'!$B$5:$G$100,2,FALSE)&amp;" ("&amp;VLOOKUP(F289,'05_Master KPI'!$B$5:$G$100,3,FALSE)&amp;")","")</f>
        <v/>
      </c>
      <c r="H289" s="26">
        <f>IFERROR(IF(B289&lt;&gt;'06_Target KPI'!$B$3,0,IF(VLOOKUP(F289,'05_Master KPI'!$B$5:$G$100,6,FALSE)="Kumulatif",INDEX('06_Target KPI'!$E$5:$P$100,MATCH(F289,'06_Target KPI'!$B$5:$B$100,0),MATCH(A289,'06_Target KPI'!$E$4:$P$4,0))*DAY(C289)/DAY(EOMONTH(C289,0)),INDEX('06_Target KPI'!$E$5:$P$100,MATCH(F289,'06_Target KPI'!$B$5:$B$100,0),MATCH(A289,'06_Target KPI'!$E$4:$P$4,0)))),0)</f>
        <v>0</v>
      </c>
      <c r="I289" s="24"/>
      <c r="J289" s="27">
        <f>IFERROR(MIN(IF(VLOOKUP(F289,'05_Master KPI'!$B$5:$G$100,5,FALSE)="Lower",H289/I289,I289/H289),1),0)</f>
        <v>0</v>
      </c>
      <c r="K289" s="26">
        <f>IFERROR(VLOOKUP(F289,'05_Master KPI'!$B$5:$G$100,4,FALSE),0)</f>
        <v>0</v>
      </c>
      <c r="L289" s="28">
        <f t="shared" si="4"/>
        <v>0</v>
      </c>
      <c r="M289" s="26" t="str">
        <f>IF(D289="","",IF(J289&gt;='13_Setting'!$H$7,"Tercapai",IF(J289&gt;='13_Setting'!$H$6,"On Track","Tertinggal")))</f>
        <v/>
      </c>
      <c r="N289" s="24"/>
    </row>
    <row r="290" spans="1:14">
      <c r="A290" s="24"/>
      <c r="B290" s="24"/>
      <c r="C290" s="25"/>
      <c r="D290" s="24"/>
      <c r="E290" s="26" t="str">
        <f>IFERROR(VLOOKUP(D290,'04_Master Karyawan'!$A$5:$F$50,2,FALSE),"")</f>
        <v/>
      </c>
      <c r="F290" s="24"/>
      <c r="G290" s="26" t="str">
        <f>IFERROR(VLOOKUP(F290,'05_Master KPI'!$B$5:$G$100,2,FALSE)&amp;" ("&amp;VLOOKUP(F290,'05_Master KPI'!$B$5:$G$100,3,FALSE)&amp;")","")</f>
        <v/>
      </c>
      <c r="H290" s="26">
        <f>IFERROR(IF(B290&lt;&gt;'06_Target KPI'!$B$3,0,IF(VLOOKUP(F290,'05_Master KPI'!$B$5:$G$100,6,FALSE)="Kumulatif",INDEX('06_Target KPI'!$E$5:$P$100,MATCH(F290,'06_Target KPI'!$B$5:$B$100,0),MATCH(A290,'06_Target KPI'!$E$4:$P$4,0))*DAY(C290)/DAY(EOMONTH(C290,0)),INDEX('06_Target KPI'!$E$5:$P$100,MATCH(F290,'06_Target KPI'!$B$5:$B$100,0),MATCH(A290,'06_Target KPI'!$E$4:$P$4,0)))),0)</f>
        <v>0</v>
      </c>
      <c r="I290" s="24"/>
      <c r="J290" s="27">
        <f>IFERROR(MIN(IF(VLOOKUP(F290,'05_Master KPI'!$B$5:$G$100,5,FALSE)="Lower",H290/I290,I290/H290),1),0)</f>
        <v>0</v>
      </c>
      <c r="K290" s="26">
        <f>IFERROR(VLOOKUP(F290,'05_Master KPI'!$B$5:$G$100,4,FALSE),0)</f>
        <v>0</v>
      </c>
      <c r="L290" s="28">
        <f t="shared" si="4"/>
        <v>0</v>
      </c>
      <c r="M290" s="26" t="str">
        <f>IF(D290="","",IF(J290&gt;='13_Setting'!$H$7,"Tercapai",IF(J290&gt;='13_Setting'!$H$6,"On Track","Tertinggal")))</f>
        <v/>
      </c>
      <c r="N290" s="24"/>
    </row>
    <row r="291" spans="1:14">
      <c r="A291" s="24"/>
      <c r="B291" s="24"/>
      <c r="C291" s="25"/>
      <c r="D291" s="24"/>
      <c r="E291" s="26" t="str">
        <f>IFERROR(VLOOKUP(D291,'04_Master Karyawan'!$A$5:$F$50,2,FALSE),"")</f>
        <v/>
      </c>
      <c r="F291" s="24"/>
      <c r="G291" s="26" t="str">
        <f>IFERROR(VLOOKUP(F291,'05_Master KPI'!$B$5:$G$100,2,FALSE)&amp;" ("&amp;VLOOKUP(F291,'05_Master KPI'!$B$5:$G$100,3,FALSE)&amp;")","")</f>
        <v/>
      </c>
      <c r="H291" s="26">
        <f>IFERROR(IF(B291&lt;&gt;'06_Target KPI'!$B$3,0,IF(VLOOKUP(F291,'05_Master KPI'!$B$5:$G$100,6,FALSE)="Kumulatif",INDEX('06_Target KPI'!$E$5:$P$100,MATCH(F291,'06_Target KPI'!$B$5:$B$100,0),MATCH(A291,'06_Target KPI'!$E$4:$P$4,0))*DAY(C291)/DAY(EOMONTH(C291,0)),INDEX('06_Target KPI'!$E$5:$P$100,MATCH(F291,'06_Target KPI'!$B$5:$B$100,0),MATCH(A291,'06_Target KPI'!$E$4:$P$4,0)))),0)</f>
        <v>0</v>
      </c>
      <c r="I291" s="24"/>
      <c r="J291" s="27">
        <f>IFERROR(MIN(IF(VLOOKUP(F291,'05_Master KPI'!$B$5:$G$100,5,FALSE)="Lower",H291/I291,I291/H291),1),0)</f>
        <v>0</v>
      </c>
      <c r="K291" s="26">
        <f>IFERROR(VLOOKUP(F291,'05_Master KPI'!$B$5:$G$100,4,FALSE),0)</f>
        <v>0</v>
      </c>
      <c r="L291" s="28">
        <f t="shared" si="4"/>
        <v>0</v>
      </c>
      <c r="M291" s="26" t="str">
        <f>IF(D291="","",IF(J291&gt;='13_Setting'!$H$7,"Tercapai",IF(J291&gt;='13_Setting'!$H$6,"On Track","Tertinggal")))</f>
        <v/>
      </c>
      <c r="N291" s="24"/>
    </row>
    <row r="292" spans="1:14">
      <c r="A292" s="24"/>
      <c r="B292" s="24"/>
      <c r="C292" s="25"/>
      <c r="D292" s="24"/>
      <c r="E292" s="26" t="str">
        <f>IFERROR(VLOOKUP(D292,'04_Master Karyawan'!$A$5:$F$50,2,FALSE),"")</f>
        <v/>
      </c>
      <c r="F292" s="24"/>
      <c r="G292" s="26" t="str">
        <f>IFERROR(VLOOKUP(F292,'05_Master KPI'!$B$5:$G$100,2,FALSE)&amp;" ("&amp;VLOOKUP(F292,'05_Master KPI'!$B$5:$G$100,3,FALSE)&amp;")","")</f>
        <v/>
      </c>
      <c r="H292" s="26">
        <f>IFERROR(IF(B292&lt;&gt;'06_Target KPI'!$B$3,0,IF(VLOOKUP(F292,'05_Master KPI'!$B$5:$G$100,6,FALSE)="Kumulatif",INDEX('06_Target KPI'!$E$5:$P$100,MATCH(F292,'06_Target KPI'!$B$5:$B$100,0),MATCH(A292,'06_Target KPI'!$E$4:$P$4,0))*DAY(C292)/DAY(EOMONTH(C292,0)),INDEX('06_Target KPI'!$E$5:$P$100,MATCH(F292,'06_Target KPI'!$B$5:$B$100,0),MATCH(A292,'06_Target KPI'!$E$4:$P$4,0)))),0)</f>
        <v>0</v>
      </c>
      <c r="I292" s="24"/>
      <c r="J292" s="27">
        <f>IFERROR(MIN(IF(VLOOKUP(F292,'05_Master KPI'!$B$5:$G$100,5,FALSE)="Lower",H292/I292,I292/H292),1),0)</f>
        <v>0</v>
      </c>
      <c r="K292" s="26">
        <f>IFERROR(VLOOKUP(F292,'05_Master KPI'!$B$5:$G$100,4,FALSE),0)</f>
        <v>0</v>
      </c>
      <c r="L292" s="28">
        <f t="shared" si="4"/>
        <v>0</v>
      </c>
      <c r="M292" s="26" t="str">
        <f>IF(D292="","",IF(J292&gt;='13_Setting'!$H$7,"Tercapai",IF(J292&gt;='13_Setting'!$H$6,"On Track","Tertinggal")))</f>
        <v/>
      </c>
      <c r="N292" s="24"/>
    </row>
    <row r="293" spans="1:14">
      <c r="A293" s="24"/>
      <c r="B293" s="24"/>
      <c r="C293" s="25"/>
      <c r="D293" s="24"/>
      <c r="E293" s="26" t="str">
        <f>IFERROR(VLOOKUP(D293,'04_Master Karyawan'!$A$5:$F$50,2,FALSE),"")</f>
        <v/>
      </c>
      <c r="F293" s="24"/>
      <c r="G293" s="26" t="str">
        <f>IFERROR(VLOOKUP(F293,'05_Master KPI'!$B$5:$G$100,2,FALSE)&amp;" ("&amp;VLOOKUP(F293,'05_Master KPI'!$B$5:$G$100,3,FALSE)&amp;")","")</f>
        <v/>
      </c>
      <c r="H293" s="26">
        <f>IFERROR(IF(B293&lt;&gt;'06_Target KPI'!$B$3,0,IF(VLOOKUP(F293,'05_Master KPI'!$B$5:$G$100,6,FALSE)="Kumulatif",INDEX('06_Target KPI'!$E$5:$P$100,MATCH(F293,'06_Target KPI'!$B$5:$B$100,0),MATCH(A293,'06_Target KPI'!$E$4:$P$4,0))*DAY(C293)/DAY(EOMONTH(C293,0)),INDEX('06_Target KPI'!$E$5:$P$100,MATCH(F293,'06_Target KPI'!$B$5:$B$100,0),MATCH(A293,'06_Target KPI'!$E$4:$P$4,0)))),0)</f>
        <v>0</v>
      </c>
      <c r="I293" s="24"/>
      <c r="J293" s="27">
        <f>IFERROR(MIN(IF(VLOOKUP(F293,'05_Master KPI'!$B$5:$G$100,5,FALSE)="Lower",H293/I293,I293/H293),1),0)</f>
        <v>0</v>
      </c>
      <c r="K293" s="26">
        <f>IFERROR(VLOOKUP(F293,'05_Master KPI'!$B$5:$G$100,4,FALSE),0)</f>
        <v>0</v>
      </c>
      <c r="L293" s="28">
        <f t="shared" si="4"/>
        <v>0</v>
      </c>
      <c r="M293" s="26" t="str">
        <f>IF(D293="","",IF(J293&gt;='13_Setting'!$H$7,"Tercapai",IF(J293&gt;='13_Setting'!$H$6,"On Track","Tertinggal")))</f>
        <v/>
      </c>
      <c r="N293" s="24"/>
    </row>
    <row r="294" spans="1:14">
      <c r="A294" s="24"/>
      <c r="B294" s="24"/>
      <c r="C294" s="25"/>
      <c r="D294" s="24"/>
      <c r="E294" s="26" t="str">
        <f>IFERROR(VLOOKUP(D294,'04_Master Karyawan'!$A$5:$F$50,2,FALSE),"")</f>
        <v/>
      </c>
      <c r="F294" s="24"/>
      <c r="G294" s="26" t="str">
        <f>IFERROR(VLOOKUP(F294,'05_Master KPI'!$B$5:$G$100,2,FALSE)&amp;" ("&amp;VLOOKUP(F294,'05_Master KPI'!$B$5:$G$100,3,FALSE)&amp;")","")</f>
        <v/>
      </c>
      <c r="H294" s="26">
        <f>IFERROR(IF(B294&lt;&gt;'06_Target KPI'!$B$3,0,IF(VLOOKUP(F294,'05_Master KPI'!$B$5:$G$100,6,FALSE)="Kumulatif",INDEX('06_Target KPI'!$E$5:$P$100,MATCH(F294,'06_Target KPI'!$B$5:$B$100,0),MATCH(A294,'06_Target KPI'!$E$4:$P$4,0))*DAY(C294)/DAY(EOMONTH(C294,0)),INDEX('06_Target KPI'!$E$5:$P$100,MATCH(F294,'06_Target KPI'!$B$5:$B$100,0),MATCH(A294,'06_Target KPI'!$E$4:$P$4,0)))),0)</f>
        <v>0</v>
      </c>
      <c r="I294" s="24"/>
      <c r="J294" s="27">
        <f>IFERROR(MIN(IF(VLOOKUP(F294,'05_Master KPI'!$B$5:$G$100,5,FALSE)="Lower",H294/I294,I294/H294),1),0)</f>
        <v>0</v>
      </c>
      <c r="K294" s="26">
        <f>IFERROR(VLOOKUP(F294,'05_Master KPI'!$B$5:$G$100,4,FALSE),0)</f>
        <v>0</v>
      </c>
      <c r="L294" s="28">
        <f t="shared" si="4"/>
        <v>0</v>
      </c>
      <c r="M294" s="26" t="str">
        <f>IF(D294="","",IF(J294&gt;='13_Setting'!$H$7,"Tercapai",IF(J294&gt;='13_Setting'!$H$6,"On Track","Tertinggal")))</f>
        <v/>
      </c>
      <c r="N294" s="24"/>
    </row>
    <row r="295" spans="1:14">
      <c r="A295" s="24"/>
      <c r="B295" s="24"/>
      <c r="C295" s="25"/>
      <c r="D295" s="24"/>
      <c r="E295" s="26" t="str">
        <f>IFERROR(VLOOKUP(D295,'04_Master Karyawan'!$A$5:$F$50,2,FALSE),"")</f>
        <v/>
      </c>
      <c r="F295" s="24"/>
      <c r="G295" s="26" t="str">
        <f>IFERROR(VLOOKUP(F295,'05_Master KPI'!$B$5:$G$100,2,FALSE)&amp;" ("&amp;VLOOKUP(F295,'05_Master KPI'!$B$5:$G$100,3,FALSE)&amp;")","")</f>
        <v/>
      </c>
      <c r="H295" s="26">
        <f>IFERROR(IF(B295&lt;&gt;'06_Target KPI'!$B$3,0,IF(VLOOKUP(F295,'05_Master KPI'!$B$5:$G$100,6,FALSE)="Kumulatif",INDEX('06_Target KPI'!$E$5:$P$100,MATCH(F295,'06_Target KPI'!$B$5:$B$100,0),MATCH(A295,'06_Target KPI'!$E$4:$P$4,0))*DAY(C295)/DAY(EOMONTH(C295,0)),INDEX('06_Target KPI'!$E$5:$P$100,MATCH(F295,'06_Target KPI'!$B$5:$B$100,0),MATCH(A295,'06_Target KPI'!$E$4:$P$4,0)))),0)</f>
        <v>0</v>
      </c>
      <c r="I295" s="24"/>
      <c r="J295" s="27">
        <f>IFERROR(MIN(IF(VLOOKUP(F295,'05_Master KPI'!$B$5:$G$100,5,FALSE)="Lower",H295/I295,I295/H295),1),0)</f>
        <v>0</v>
      </c>
      <c r="K295" s="26">
        <f>IFERROR(VLOOKUP(F295,'05_Master KPI'!$B$5:$G$100,4,FALSE),0)</f>
        <v>0</v>
      </c>
      <c r="L295" s="28">
        <f t="shared" si="4"/>
        <v>0</v>
      </c>
      <c r="M295" s="26" t="str">
        <f>IF(D295="","",IF(J295&gt;='13_Setting'!$H$7,"Tercapai",IF(J295&gt;='13_Setting'!$H$6,"On Track","Tertinggal")))</f>
        <v/>
      </c>
      <c r="N295" s="24"/>
    </row>
    <row r="296" spans="1:14">
      <c r="A296" s="24"/>
      <c r="B296" s="24"/>
      <c r="C296" s="25"/>
      <c r="D296" s="24"/>
      <c r="E296" s="26" t="str">
        <f>IFERROR(VLOOKUP(D296,'04_Master Karyawan'!$A$5:$F$50,2,FALSE),"")</f>
        <v/>
      </c>
      <c r="F296" s="24"/>
      <c r="G296" s="26" t="str">
        <f>IFERROR(VLOOKUP(F296,'05_Master KPI'!$B$5:$G$100,2,FALSE)&amp;" ("&amp;VLOOKUP(F296,'05_Master KPI'!$B$5:$G$100,3,FALSE)&amp;")","")</f>
        <v/>
      </c>
      <c r="H296" s="26">
        <f>IFERROR(IF(B296&lt;&gt;'06_Target KPI'!$B$3,0,IF(VLOOKUP(F296,'05_Master KPI'!$B$5:$G$100,6,FALSE)="Kumulatif",INDEX('06_Target KPI'!$E$5:$P$100,MATCH(F296,'06_Target KPI'!$B$5:$B$100,0),MATCH(A296,'06_Target KPI'!$E$4:$P$4,0))*DAY(C296)/DAY(EOMONTH(C296,0)),INDEX('06_Target KPI'!$E$5:$P$100,MATCH(F296,'06_Target KPI'!$B$5:$B$100,0),MATCH(A296,'06_Target KPI'!$E$4:$P$4,0)))),0)</f>
        <v>0</v>
      </c>
      <c r="I296" s="24"/>
      <c r="J296" s="27">
        <f>IFERROR(MIN(IF(VLOOKUP(F296,'05_Master KPI'!$B$5:$G$100,5,FALSE)="Lower",H296/I296,I296/H296),1),0)</f>
        <v>0</v>
      </c>
      <c r="K296" s="26">
        <f>IFERROR(VLOOKUP(F296,'05_Master KPI'!$B$5:$G$100,4,FALSE),0)</f>
        <v>0</v>
      </c>
      <c r="L296" s="28">
        <f t="shared" si="4"/>
        <v>0</v>
      </c>
      <c r="M296" s="26" t="str">
        <f>IF(D296="","",IF(J296&gt;='13_Setting'!$H$7,"Tercapai",IF(J296&gt;='13_Setting'!$H$6,"On Track","Tertinggal")))</f>
        <v/>
      </c>
      <c r="N296" s="24"/>
    </row>
    <row r="297" spans="1:14">
      <c r="A297" s="24"/>
      <c r="B297" s="24"/>
      <c r="C297" s="25"/>
      <c r="D297" s="24"/>
      <c r="E297" s="26" t="str">
        <f>IFERROR(VLOOKUP(D297,'04_Master Karyawan'!$A$5:$F$50,2,FALSE),"")</f>
        <v/>
      </c>
      <c r="F297" s="24"/>
      <c r="G297" s="26" t="str">
        <f>IFERROR(VLOOKUP(F297,'05_Master KPI'!$B$5:$G$100,2,FALSE)&amp;" ("&amp;VLOOKUP(F297,'05_Master KPI'!$B$5:$G$100,3,FALSE)&amp;")","")</f>
        <v/>
      </c>
      <c r="H297" s="26">
        <f>IFERROR(IF(B297&lt;&gt;'06_Target KPI'!$B$3,0,IF(VLOOKUP(F297,'05_Master KPI'!$B$5:$G$100,6,FALSE)="Kumulatif",INDEX('06_Target KPI'!$E$5:$P$100,MATCH(F297,'06_Target KPI'!$B$5:$B$100,0),MATCH(A297,'06_Target KPI'!$E$4:$P$4,0))*DAY(C297)/DAY(EOMONTH(C297,0)),INDEX('06_Target KPI'!$E$5:$P$100,MATCH(F297,'06_Target KPI'!$B$5:$B$100,0),MATCH(A297,'06_Target KPI'!$E$4:$P$4,0)))),0)</f>
        <v>0</v>
      </c>
      <c r="I297" s="24"/>
      <c r="J297" s="27">
        <f>IFERROR(MIN(IF(VLOOKUP(F297,'05_Master KPI'!$B$5:$G$100,5,FALSE)="Lower",H297/I297,I297/H297),1),0)</f>
        <v>0</v>
      </c>
      <c r="K297" s="26">
        <f>IFERROR(VLOOKUP(F297,'05_Master KPI'!$B$5:$G$100,4,FALSE),0)</f>
        <v>0</v>
      </c>
      <c r="L297" s="28">
        <f t="shared" si="4"/>
        <v>0</v>
      </c>
      <c r="M297" s="26" t="str">
        <f>IF(D297="","",IF(J297&gt;='13_Setting'!$H$7,"Tercapai",IF(J297&gt;='13_Setting'!$H$6,"On Track","Tertinggal")))</f>
        <v/>
      </c>
      <c r="N297" s="24"/>
    </row>
    <row r="298" spans="1:14">
      <c r="A298" s="24"/>
      <c r="B298" s="24"/>
      <c r="C298" s="25"/>
      <c r="D298" s="24"/>
      <c r="E298" s="26" t="str">
        <f>IFERROR(VLOOKUP(D298,'04_Master Karyawan'!$A$5:$F$50,2,FALSE),"")</f>
        <v/>
      </c>
      <c r="F298" s="24"/>
      <c r="G298" s="26" t="str">
        <f>IFERROR(VLOOKUP(F298,'05_Master KPI'!$B$5:$G$100,2,FALSE)&amp;" ("&amp;VLOOKUP(F298,'05_Master KPI'!$B$5:$G$100,3,FALSE)&amp;")","")</f>
        <v/>
      </c>
      <c r="H298" s="26">
        <f>IFERROR(IF(B298&lt;&gt;'06_Target KPI'!$B$3,0,IF(VLOOKUP(F298,'05_Master KPI'!$B$5:$G$100,6,FALSE)="Kumulatif",INDEX('06_Target KPI'!$E$5:$P$100,MATCH(F298,'06_Target KPI'!$B$5:$B$100,0),MATCH(A298,'06_Target KPI'!$E$4:$P$4,0))*DAY(C298)/DAY(EOMONTH(C298,0)),INDEX('06_Target KPI'!$E$5:$P$100,MATCH(F298,'06_Target KPI'!$B$5:$B$100,0),MATCH(A298,'06_Target KPI'!$E$4:$P$4,0)))),0)</f>
        <v>0</v>
      </c>
      <c r="I298" s="24"/>
      <c r="J298" s="27">
        <f>IFERROR(MIN(IF(VLOOKUP(F298,'05_Master KPI'!$B$5:$G$100,5,FALSE)="Lower",H298/I298,I298/H298),1),0)</f>
        <v>0</v>
      </c>
      <c r="K298" s="26">
        <f>IFERROR(VLOOKUP(F298,'05_Master KPI'!$B$5:$G$100,4,FALSE),0)</f>
        <v>0</v>
      </c>
      <c r="L298" s="28">
        <f t="shared" si="4"/>
        <v>0</v>
      </c>
      <c r="M298" s="26" t="str">
        <f>IF(D298="","",IF(J298&gt;='13_Setting'!$H$7,"Tercapai",IF(J298&gt;='13_Setting'!$H$6,"On Track","Tertinggal")))</f>
        <v/>
      </c>
      <c r="N298" s="24"/>
    </row>
    <row r="299" spans="1:14">
      <c r="A299" s="24"/>
      <c r="B299" s="24"/>
      <c r="C299" s="25"/>
      <c r="D299" s="24"/>
      <c r="E299" s="26" t="str">
        <f>IFERROR(VLOOKUP(D299,'04_Master Karyawan'!$A$5:$F$50,2,FALSE),"")</f>
        <v/>
      </c>
      <c r="F299" s="24"/>
      <c r="G299" s="26" t="str">
        <f>IFERROR(VLOOKUP(F299,'05_Master KPI'!$B$5:$G$100,2,FALSE)&amp;" ("&amp;VLOOKUP(F299,'05_Master KPI'!$B$5:$G$100,3,FALSE)&amp;")","")</f>
        <v/>
      </c>
      <c r="H299" s="26">
        <f>IFERROR(IF(B299&lt;&gt;'06_Target KPI'!$B$3,0,IF(VLOOKUP(F299,'05_Master KPI'!$B$5:$G$100,6,FALSE)="Kumulatif",INDEX('06_Target KPI'!$E$5:$P$100,MATCH(F299,'06_Target KPI'!$B$5:$B$100,0),MATCH(A299,'06_Target KPI'!$E$4:$P$4,0))*DAY(C299)/DAY(EOMONTH(C299,0)),INDEX('06_Target KPI'!$E$5:$P$100,MATCH(F299,'06_Target KPI'!$B$5:$B$100,0),MATCH(A299,'06_Target KPI'!$E$4:$P$4,0)))),0)</f>
        <v>0</v>
      </c>
      <c r="I299" s="24"/>
      <c r="J299" s="27">
        <f>IFERROR(MIN(IF(VLOOKUP(F299,'05_Master KPI'!$B$5:$G$100,5,FALSE)="Lower",H299/I299,I299/H299),1),0)</f>
        <v>0</v>
      </c>
      <c r="K299" s="26">
        <f>IFERROR(VLOOKUP(F299,'05_Master KPI'!$B$5:$G$100,4,FALSE),0)</f>
        <v>0</v>
      </c>
      <c r="L299" s="28">
        <f t="shared" si="4"/>
        <v>0</v>
      </c>
      <c r="M299" s="26" t="str">
        <f>IF(D299="","",IF(J299&gt;='13_Setting'!$H$7,"Tercapai",IF(J299&gt;='13_Setting'!$H$6,"On Track","Tertinggal")))</f>
        <v/>
      </c>
      <c r="N299" s="24"/>
    </row>
    <row r="300" spans="1:14">
      <c r="A300" s="24"/>
      <c r="B300" s="24"/>
      <c r="C300" s="25"/>
      <c r="D300" s="24"/>
      <c r="E300" s="26" t="str">
        <f>IFERROR(VLOOKUP(D300,'04_Master Karyawan'!$A$5:$F$50,2,FALSE),"")</f>
        <v/>
      </c>
      <c r="F300" s="24"/>
      <c r="G300" s="26" t="str">
        <f>IFERROR(VLOOKUP(F300,'05_Master KPI'!$B$5:$G$100,2,FALSE)&amp;" ("&amp;VLOOKUP(F300,'05_Master KPI'!$B$5:$G$100,3,FALSE)&amp;")","")</f>
        <v/>
      </c>
      <c r="H300" s="26">
        <f>IFERROR(IF(B300&lt;&gt;'06_Target KPI'!$B$3,0,IF(VLOOKUP(F300,'05_Master KPI'!$B$5:$G$100,6,FALSE)="Kumulatif",INDEX('06_Target KPI'!$E$5:$P$100,MATCH(F300,'06_Target KPI'!$B$5:$B$100,0),MATCH(A300,'06_Target KPI'!$E$4:$P$4,0))*DAY(C300)/DAY(EOMONTH(C300,0)),INDEX('06_Target KPI'!$E$5:$P$100,MATCH(F300,'06_Target KPI'!$B$5:$B$100,0),MATCH(A300,'06_Target KPI'!$E$4:$P$4,0)))),0)</f>
        <v>0</v>
      </c>
      <c r="I300" s="24"/>
      <c r="J300" s="27">
        <f>IFERROR(MIN(IF(VLOOKUP(F300,'05_Master KPI'!$B$5:$G$100,5,FALSE)="Lower",H300/I300,I300/H300),1),0)</f>
        <v>0</v>
      </c>
      <c r="K300" s="26">
        <f>IFERROR(VLOOKUP(F300,'05_Master KPI'!$B$5:$G$100,4,FALSE),0)</f>
        <v>0</v>
      </c>
      <c r="L300" s="28">
        <f t="shared" si="4"/>
        <v>0</v>
      </c>
      <c r="M300" s="26" t="str">
        <f>IF(D300="","",IF(J300&gt;='13_Setting'!$H$7,"Tercapai",IF(J300&gt;='13_Setting'!$H$6,"On Track","Tertinggal")))</f>
        <v/>
      </c>
      <c r="N300" s="24"/>
    </row>
    <row r="301" spans="1:14">
      <c r="A301" s="24"/>
      <c r="B301" s="24"/>
      <c r="C301" s="25"/>
      <c r="D301" s="24"/>
      <c r="E301" s="26" t="str">
        <f>IFERROR(VLOOKUP(D301,'04_Master Karyawan'!$A$5:$F$50,2,FALSE),"")</f>
        <v/>
      </c>
      <c r="F301" s="24"/>
      <c r="G301" s="26" t="str">
        <f>IFERROR(VLOOKUP(F301,'05_Master KPI'!$B$5:$G$100,2,FALSE)&amp;" ("&amp;VLOOKUP(F301,'05_Master KPI'!$B$5:$G$100,3,FALSE)&amp;")","")</f>
        <v/>
      </c>
      <c r="H301" s="26">
        <f>IFERROR(IF(B301&lt;&gt;'06_Target KPI'!$B$3,0,IF(VLOOKUP(F301,'05_Master KPI'!$B$5:$G$100,6,FALSE)="Kumulatif",INDEX('06_Target KPI'!$E$5:$P$100,MATCH(F301,'06_Target KPI'!$B$5:$B$100,0),MATCH(A301,'06_Target KPI'!$E$4:$P$4,0))*DAY(C301)/DAY(EOMONTH(C301,0)),INDEX('06_Target KPI'!$E$5:$P$100,MATCH(F301,'06_Target KPI'!$B$5:$B$100,0),MATCH(A301,'06_Target KPI'!$E$4:$P$4,0)))),0)</f>
        <v>0</v>
      </c>
      <c r="I301" s="24"/>
      <c r="J301" s="27">
        <f>IFERROR(MIN(IF(VLOOKUP(F301,'05_Master KPI'!$B$5:$G$100,5,FALSE)="Lower",H301/I301,I301/H301),1),0)</f>
        <v>0</v>
      </c>
      <c r="K301" s="26">
        <f>IFERROR(VLOOKUP(F301,'05_Master KPI'!$B$5:$G$100,4,FALSE),0)</f>
        <v>0</v>
      </c>
      <c r="L301" s="28">
        <f t="shared" si="4"/>
        <v>0</v>
      </c>
      <c r="M301" s="26" t="str">
        <f>IF(D301="","",IF(J301&gt;='13_Setting'!$H$7,"Tercapai",IF(J301&gt;='13_Setting'!$H$6,"On Track","Tertinggal")))</f>
        <v/>
      </c>
      <c r="N301" s="24"/>
    </row>
    <row r="302" spans="1:14">
      <c r="A302" s="24"/>
      <c r="B302" s="24"/>
      <c r="C302" s="25"/>
      <c r="D302" s="24"/>
      <c r="E302" s="26" t="str">
        <f>IFERROR(VLOOKUP(D302,'04_Master Karyawan'!$A$5:$F$50,2,FALSE),"")</f>
        <v/>
      </c>
      <c r="F302" s="24"/>
      <c r="G302" s="26" t="str">
        <f>IFERROR(VLOOKUP(F302,'05_Master KPI'!$B$5:$G$100,2,FALSE)&amp;" ("&amp;VLOOKUP(F302,'05_Master KPI'!$B$5:$G$100,3,FALSE)&amp;")","")</f>
        <v/>
      </c>
      <c r="H302" s="26">
        <f>IFERROR(IF(B302&lt;&gt;'06_Target KPI'!$B$3,0,IF(VLOOKUP(F302,'05_Master KPI'!$B$5:$G$100,6,FALSE)="Kumulatif",INDEX('06_Target KPI'!$E$5:$P$100,MATCH(F302,'06_Target KPI'!$B$5:$B$100,0),MATCH(A302,'06_Target KPI'!$E$4:$P$4,0))*DAY(C302)/DAY(EOMONTH(C302,0)),INDEX('06_Target KPI'!$E$5:$P$100,MATCH(F302,'06_Target KPI'!$B$5:$B$100,0),MATCH(A302,'06_Target KPI'!$E$4:$P$4,0)))),0)</f>
        <v>0</v>
      </c>
      <c r="I302" s="24"/>
      <c r="J302" s="27">
        <f>IFERROR(MIN(IF(VLOOKUP(F302,'05_Master KPI'!$B$5:$G$100,5,FALSE)="Lower",H302/I302,I302/H302),1),0)</f>
        <v>0</v>
      </c>
      <c r="K302" s="26">
        <f>IFERROR(VLOOKUP(F302,'05_Master KPI'!$B$5:$G$100,4,FALSE),0)</f>
        <v>0</v>
      </c>
      <c r="L302" s="28">
        <f t="shared" si="4"/>
        <v>0</v>
      </c>
      <c r="M302" s="26" t="str">
        <f>IF(D302="","",IF(J302&gt;='13_Setting'!$H$7,"Tercapai",IF(J302&gt;='13_Setting'!$H$6,"On Track","Tertinggal")))</f>
        <v/>
      </c>
      <c r="N302" s="24"/>
    </row>
    <row r="303" spans="1:14">
      <c r="A303" s="24"/>
      <c r="B303" s="24"/>
      <c r="C303" s="25"/>
      <c r="D303" s="24"/>
      <c r="E303" s="26" t="str">
        <f>IFERROR(VLOOKUP(D303,'04_Master Karyawan'!$A$5:$F$50,2,FALSE),"")</f>
        <v/>
      </c>
      <c r="F303" s="24"/>
      <c r="G303" s="26" t="str">
        <f>IFERROR(VLOOKUP(F303,'05_Master KPI'!$B$5:$G$100,2,FALSE)&amp;" ("&amp;VLOOKUP(F303,'05_Master KPI'!$B$5:$G$100,3,FALSE)&amp;")","")</f>
        <v/>
      </c>
      <c r="H303" s="26">
        <f>IFERROR(IF(B303&lt;&gt;'06_Target KPI'!$B$3,0,IF(VLOOKUP(F303,'05_Master KPI'!$B$5:$G$100,6,FALSE)="Kumulatif",INDEX('06_Target KPI'!$E$5:$P$100,MATCH(F303,'06_Target KPI'!$B$5:$B$100,0),MATCH(A303,'06_Target KPI'!$E$4:$P$4,0))*DAY(C303)/DAY(EOMONTH(C303,0)),INDEX('06_Target KPI'!$E$5:$P$100,MATCH(F303,'06_Target KPI'!$B$5:$B$100,0),MATCH(A303,'06_Target KPI'!$E$4:$P$4,0)))),0)</f>
        <v>0</v>
      </c>
      <c r="I303" s="24"/>
      <c r="J303" s="27">
        <f>IFERROR(MIN(IF(VLOOKUP(F303,'05_Master KPI'!$B$5:$G$100,5,FALSE)="Lower",H303/I303,I303/H303),1),0)</f>
        <v>0</v>
      </c>
      <c r="K303" s="26">
        <f>IFERROR(VLOOKUP(F303,'05_Master KPI'!$B$5:$G$100,4,FALSE),0)</f>
        <v>0</v>
      </c>
      <c r="L303" s="28">
        <f t="shared" si="4"/>
        <v>0</v>
      </c>
      <c r="M303" s="26" t="str">
        <f>IF(D303="","",IF(J303&gt;='13_Setting'!$H$7,"Tercapai",IF(J303&gt;='13_Setting'!$H$6,"On Track","Tertinggal")))</f>
        <v/>
      </c>
      <c r="N303" s="24"/>
    </row>
    <row r="304" spans="1:14">
      <c r="A304" s="29"/>
      <c r="B304" s="29"/>
      <c r="C304" s="30"/>
      <c r="D304" s="29"/>
      <c r="E304" s="31" t="str">
        <f>IFERROR(VLOOKUP(D304,'04_Master Karyawan'!$A$5:$F$50,2,FALSE),"")</f>
        <v/>
      </c>
      <c r="F304" s="29"/>
      <c r="G304" s="31" t="str">
        <f>IFERROR(VLOOKUP(F304,'05_Master KPI'!$B$5:$G$100,2,FALSE)&amp;" ("&amp;VLOOKUP(F304,'05_Master KPI'!$B$5:$G$100,3,FALSE)&amp;")","")</f>
        <v/>
      </c>
      <c r="H304" s="31">
        <f>IFERROR(IF(B304&lt;&gt;'06_Target KPI'!$B$3,0,IF(VLOOKUP(F304,'05_Master KPI'!$B$5:$G$100,6,FALSE)="Kumulatif",INDEX('06_Target KPI'!$E$5:$P$100,MATCH(F304,'06_Target KPI'!$B$5:$B$100,0),MATCH(A304,'06_Target KPI'!$E$4:$P$4,0))*DAY(C304)/DAY(EOMONTH(C304,0)),INDEX('06_Target KPI'!$E$5:$P$100,MATCH(F304,'06_Target KPI'!$B$5:$B$100,0),MATCH(A304,'06_Target KPI'!$E$4:$P$4,0)))),0)</f>
        <v>0</v>
      </c>
      <c r="I304" s="29"/>
      <c r="J304" s="32">
        <f>IFERROR(MIN(IF(VLOOKUP(F304,'05_Master KPI'!$B$5:$G$100,5,FALSE)="Lower",H304/I304,I304/H304),1),0)</f>
        <v>0</v>
      </c>
      <c r="K304" s="31">
        <f>IFERROR(VLOOKUP(F304,'05_Master KPI'!$B$5:$G$100,4,FALSE),0)</f>
        <v>0</v>
      </c>
      <c r="L304" s="33">
        <f t="shared" si="4"/>
        <v>0</v>
      </c>
      <c r="M304" s="31" t="str">
        <f>IF(D304="","",IF(J304&gt;='13_Setting'!$H$7,"Tercapai",IF(J304&gt;='13_Setting'!$H$6,"On Track","Tertinggal")))</f>
        <v/>
      </c>
      <c r="N304" s="29"/>
    </row>
  </sheetData>
  <mergeCells count="2">
    <mergeCell ref="A1:N1"/>
    <mergeCell ref="A2:N2"/>
  </mergeCells>
  <conditionalFormatting sqref="M5:M304">
    <cfRule type="containsText" dxfId="3" priority="1" operator="containsText" text="Tercapai"/>
    <cfRule type="containsText" dxfId="2" priority="2" operator="containsText" text="On Track"/>
    <cfRule type="containsText" dxfId="1" priority="3" operator="containsText" text="Tertinggal"/>
  </conditionalFormatting>
  <dataValidations count="2">
    <dataValidation type="list" sqref="D5:D304" xr:uid="{00000000-0002-0000-0B00-000002000000}">
      <formula1>"EMP009"</formula1>
    </dataValidation>
    <dataValidation type="list" sqref="F5:F304" xr:uid="{00000000-0002-0000-0B00-000003000000}">
      <formula1>"FIN01,FIN02,FIN03,FIN04"</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xr:uid="{00000000-0002-0000-0B00-000000000000}">
          <x14:formula1>
            <xm:f>'13_Setting'!$A$5:$A$16</xm:f>
          </x14:formula1>
          <xm:sqref>A5:A304</xm:sqref>
        </x14:dataValidation>
        <x14:dataValidation type="list" xr:uid="{00000000-0002-0000-0B00-000001000000}">
          <x14:formula1>
            <xm:f>'13_Setting'!$D$5:$D$9</xm:f>
          </x14:formula1>
          <xm:sqref>B5:B304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Z80"/>
  <sheetViews>
    <sheetView showGridLines="0" workbookViewId="0"/>
  </sheetViews>
  <sheetFormatPr defaultRowHeight="13.8"/>
  <cols>
    <col min="1" max="1" width="14" customWidth="1"/>
    <col min="2" max="2" width="34" customWidth="1"/>
    <col min="3" max="3" width="16" customWidth="1"/>
    <col min="4" max="7" width="15" customWidth="1"/>
  </cols>
  <sheetData>
    <row r="1" spans="1:26" ht="34.049999999999997" customHeight="1">
      <c r="A1" s="55" t="s">
        <v>218</v>
      </c>
      <c r="B1" s="55" t="s">
        <v>218</v>
      </c>
      <c r="C1" s="55" t="s">
        <v>218</v>
      </c>
      <c r="D1" s="55" t="s">
        <v>218</v>
      </c>
      <c r="E1" s="55" t="s">
        <v>218</v>
      </c>
      <c r="F1" s="55" t="s">
        <v>218</v>
      </c>
      <c r="G1" s="55" t="s">
        <v>218</v>
      </c>
      <c r="H1" s="55" t="s">
        <v>218</v>
      </c>
      <c r="I1" s="55" t="s">
        <v>218</v>
      </c>
      <c r="J1" s="1"/>
      <c r="K1" s="1"/>
      <c r="L1" s="1"/>
      <c r="M1" s="1"/>
      <c r="N1" s="1"/>
      <c r="O1" s="1"/>
      <c r="P1" s="1"/>
      <c r="Q1" s="1"/>
      <c r="R1" s="1"/>
      <c r="S1" s="1"/>
      <c r="T1" s="1"/>
      <c r="U1" s="1"/>
      <c r="V1" s="1"/>
      <c r="W1" s="1"/>
      <c r="X1" s="1"/>
      <c r="Y1" s="1"/>
      <c r="Z1" s="1"/>
    </row>
    <row r="2" spans="1:26" ht="24" customHeight="1">
      <c r="A2" s="56" t="s">
        <v>219</v>
      </c>
      <c r="B2" s="56" t="s">
        <v>219</v>
      </c>
      <c r="C2" s="56" t="s">
        <v>219</v>
      </c>
      <c r="D2" s="56" t="s">
        <v>219</v>
      </c>
      <c r="E2" s="56" t="s">
        <v>219</v>
      </c>
      <c r="F2" s="56" t="s">
        <v>219</v>
      </c>
      <c r="G2" s="56" t="s">
        <v>219</v>
      </c>
      <c r="H2" s="56" t="s">
        <v>219</v>
      </c>
      <c r="I2" s="56" t="s">
        <v>219</v>
      </c>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34" t="s">
        <v>83</v>
      </c>
      <c r="B4" s="35" t="s">
        <v>34</v>
      </c>
      <c r="C4" s="35" t="s">
        <v>15</v>
      </c>
      <c r="D4" s="35" t="s">
        <v>220</v>
      </c>
      <c r="E4" s="35" t="s">
        <v>18</v>
      </c>
      <c r="F4" s="35" t="s">
        <v>85</v>
      </c>
      <c r="G4" s="35" t="s">
        <v>221</v>
      </c>
      <c r="H4" s="1"/>
      <c r="I4" s="1"/>
      <c r="J4" s="1"/>
      <c r="K4" s="1"/>
      <c r="L4" s="1"/>
      <c r="M4" s="1"/>
      <c r="N4" s="1"/>
      <c r="O4" s="1"/>
      <c r="P4" s="1"/>
      <c r="Q4" s="1"/>
      <c r="R4" s="1"/>
      <c r="S4" s="1"/>
      <c r="T4" s="1"/>
      <c r="U4" s="1"/>
      <c r="V4" s="1"/>
      <c r="W4" s="1"/>
      <c r="X4" s="1"/>
      <c r="Y4" s="1"/>
      <c r="Z4" s="1"/>
    </row>
    <row r="5" spans="1:26">
      <c r="A5" s="36" t="s">
        <v>86</v>
      </c>
      <c r="B5" s="9" t="s">
        <v>87</v>
      </c>
      <c r="C5" s="9" t="s">
        <v>22</v>
      </c>
      <c r="D5" s="22">
        <f>IFERROR((SUMIFS('07A_KPI Produksi'!$L$5:$L$304,'07A_KPI Produksi'!$A$5:$A$304,'01_Dashboard'!$B$3,'07A_KPI Produksi'!$B$5:$B$304,'01_Dashboard'!$D$3,'07A_KPI Produksi'!$D$5:$D$304,A5)+SUMIFS('07B_KPI Marketing'!$L$5:$L$304,'07B_KPI Marketing'!$A$5:$A$304,'01_Dashboard'!$B$3,'07B_KPI Marketing'!$B$5:$B$304,'01_Dashboard'!$D$3,'07B_KPI Marketing'!$D$5:$D$304,A5)+SUMIFS('07C_KPI Admin'!$L$5:$L$304,'07C_KPI Admin'!$A$5:$A$304,'01_Dashboard'!$B$3,'07C_KPI Admin'!$B$5:$B$304,'01_Dashboard'!$D$3,'07C_KPI Admin'!$D$5:$D$304,A5)+SUMIFS('07D_KPI Design'!$L$5:$L$304,'07D_KPI Design'!$A$5:$A$304,'01_Dashboard'!$B$3,'07D_KPI Design'!$B$5:$B$304,'01_Dashboard'!$D$3,'07D_KPI Design'!$D$5:$D$304,A5)+SUMIFS('07E_KPI HR'!$L$5:$L$304,'07E_KPI HR'!$A$5:$A$304,'01_Dashboard'!$B$3,'07E_KPI HR'!$B$5:$B$304,'01_Dashboard'!$D$3,'07E_KPI HR'!$D$5:$D$304,A5)+SUMIFS('07F_KPI Finance'!$L$5:$L$304,'07F_KPI Finance'!$A$5:$A$304,'01_Dashboard'!$B$3,'07F_KPI Finance'!$B$5:$B$304,'01_Dashboard'!$D$3,'07F_KPI Finance'!$D$5:$D$304,A5))/(SUMIFS('07A_KPI Produksi'!$K$5:$K$304,'07A_KPI Produksi'!$A$5:$A$304,'01_Dashboard'!$B$3,'07A_KPI Produksi'!$B$5:$B$304,'01_Dashboard'!$D$3,'07A_KPI Produksi'!$D$5:$D$304,A5)+SUMIFS('07B_KPI Marketing'!$K$5:$K$304,'07B_KPI Marketing'!$A$5:$A$304,'01_Dashboard'!$B$3,'07B_KPI Marketing'!$B$5:$B$304,'01_Dashboard'!$D$3,'07B_KPI Marketing'!$D$5:$D$304,A5)+SUMIFS('07C_KPI Admin'!$K$5:$K$304,'07C_KPI Admin'!$A$5:$A$304,'01_Dashboard'!$B$3,'07C_KPI Admin'!$B$5:$B$304,'01_Dashboard'!$D$3,'07C_KPI Admin'!$D$5:$D$304,A5)+SUMIFS('07D_KPI Design'!$K$5:$K$304,'07D_KPI Design'!$A$5:$A$304,'01_Dashboard'!$B$3,'07D_KPI Design'!$B$5:$B$304,'01_Dashboard'!$D$3,'07D_KPI Design'!$D$5:$D$304,A5)+SUMIFS('07E_KPI HR'!$K$5:$K$304,'07E_KPI HR'!$A$5:$A$304,'01_Dashboard'!$B$3,'07E_KPI HR'!$B$5:$B$304,'01_Dashboard'!$D$3,'07E_KPI HR'!$D$5:$D$304,A5)+SUMIFS('07F_KPI Finance'!$K$5:$K$304,'07F_KPI Finance'!$A$5:$A$304,'01_Dashboard'!$B$3,'07F_KPI Finance'!$B$5:$B$304,'01_Dashboard'!$D$3,'07F_KPI Finance'!$D$5:$D$304,A5)),0)</f>
        <v>0.84449999999999992</v>
      </c>
      <c r="E5" s="9" t="str">
        <f>VLOOKUP(D5,'13_Setting'!$A$20:$B$24,2,TRUE)</f>
        <v>C</v>
      </c>
      <c r="F5" s="9" t="str">
        <f>IF(D5&gt;='13_Setting'!$H$7,"Tercapai",IF(D5&gt;='13_Setting'!$H$6,"On Track","Tertinggal"))</f>
        <v>Tertinggal</v>
      </c>
      <c r="G5" s="37">
        <f>VLOOKUP(D5,'13_Setting'!$E$20:$F$24,2,TRUE)</f>
        <v>0.25</v>
      </c>
      <c r="H5" s="1"/>
      <c r="I5" s="1"/>
      <c r="J5" s="1"/>
      <c r="K5" s="1"/>
      <c r="L5" s="1"/>
      <c r="M5" s="1"/>
      <c r="N5" s="1"/>
      <c r="O5" s="1"/>
      <c r="P5" s="1"/>
      <c r="Q5" s="1"/>
      <c r="R5" s="1"/>
      <c r="S5" s="1"/>
      <c r="T5" s="1"/>
      <c r="U5" s="1"/>
      <c r="V5" s="1"/>
      <c r="W5" s="1"/>
      <c r="X5" s="1"/>
      <c r="Y5" s="1"/>
      <c r="Z5" s="1"/>
    </row>
    <row r="6" spans="1:26">
      <c r="A6" s="36" t="s">
        <v>90</v>
      </c>
      <c r="B6" s="9" t="s">
        <v>91</v>
      </c>
      <c r="C6" s="9" t="s">
        <v>22</v>
      </c>
      <c r="D6" s="22">
        <f>IFERROR((SUMIFS('07A_KPI Produksi'!$L$5:$L$304,'07A_KPI Produksi'!$A$5:$A$304,'01_Dashboard'!$B$3,'07A_KPI Produksi'!$B$5:$B$304,'01_Dashboard'!$D$3,'07A_KPI Produksi'!$D$5:$D$304,A6)+SUMIFS('07B_KPI Marketing'!$L$5:$L$304,'07B_KPI Marketing'!$A$5:$A$304,'01_Dashboard'!$B$3,'07B_KPI Marketing'!$B$5:$B$304,'01_Dashboard'!$D$3,'07B_KPI Marketing'!$D$5:$D$304,A6)+SUMIFS('07C_KPI Admin'!$L$5:$L$304,'07C_KPI Admin'!$A$5:$A$304,'01_Dashboard'!$B$3,'07C_KPI Admin'!$B$5:$B$304,'01_Dashboard'!$D$3,'07C_KPI Admin'!$D$5:$D$304,A6)+SUMIFS('07D_KPI Design'!$L$5:$L$304,'07D_KPI Design'!$A$5:$A$304,'01_Dashboard'!$B$3,'07D_KPI Design'!$B$5:$B$304,'01_Dashboard'!$D$3,'07D_KPI Design'!$D$5:$D$304,A6)+SUMIFS('07E_KPI HR'!$L$5:$L$304,'07E_KPI HR'!$A$5:$A$304,'01_Dashboard'!$B$3,'07E_KPI HR'!$B$5:$B$304,'01_Dashboard'!$D$3,'07E_KPI HR'!$D$5:$D$304,A6)+SUMIFS('07F_KPI Finance'!$L$5:$L$304,'07F_KPI Finance'!$A$5:$A$304,'01_Dashboard'!$B$3,'07F_KPI Finance'!$B$5:$B$304,'01_Dashboard'!$D$3,'07F_KPI Finance'!$D$5:$D$304,A6))/(SUMIFS('07A_KPI Produksi'!$K$5:$K$304,'07A_KPI Produksi'!$A$5:$A$304,'01_Dashboard'!$B$3,'07A_KPI Produksi'!$B$5:$B$304,'01_Dashboard'!$D$3,'07A_KPI Produksi'!$D$5:$D$304,A6)+SUMIFS('07B_KPI Marketing'!$K$5:$K$304,'07B_KPI Marketing'!$A$5:$A$304,'01_Dashboard'!$B$3,'07B_KPI Marketing'!$B$5:$B$304,'01_Dashboard'!$D$3,'07B_KPI Marketing'!$D$5:$D$304,A6)+SUMIFS('07C_KPI Admin'!$K$5:$K$304,'07C_KPI Admin'!$A$5:$A$304,'01_Dashboard'!$B$3,'07C_KPI Admin'!$B$5:$B$304,'01_Dashboard'!$D$3,'07C_KPI Admin'!$D$5:$D$304,A6)+SUMIFS('07D_KPI Design'!$K$5:$K$304,'07D_KPI Design'!$A$5:$A$304,'01_Dashboard'!$B$3,'07D_KPI Design'!$B$5:$B$304,'01_Dashboard'!$D$3,'07D_KPI Design'!$D$5:$D$304,A6)+SUMIFS('07E_KPI HR'!$K$5:$K$304,'07E_KPI HR'!$A$5:$A$304,'01_Dashboard'!$B$3,'07E_KPI HR'!$B$5:$B$304,'01_Dashboard'!$D$3,'07E_KPI HR'!$D$5:$D$304,A6)+SUMIFS('07F_KPI Finance'!$K$5:$K$304,'07F_KPI Finance'!$A$5:$A$304,'01_Dashboard'!$B$3,'07F_KPI Finance'!$B$5:$B$304,'01_Dashboard'!$D$3,'07F_KPI Finance'!$D$5:$D$304,A6)),0)</f>
        <v>0.86099999999999999</v>
      </c>
      <c r="E6" s="9" t="str">
        <f>VLOOKUP(D6,'13_Setting'!$A$20:$B$24,2,TRUE)</f>
        <v>B</v>
      </c>
      <c r="F6" s="9" t="str">
        <f>IF(D6&gt;='13_Setting'!$H$7,"Tercapai",IF(D6&gt;='13_Setting'!$H$6,"On Track","Tertinggal"))</f>
        <v>On Track</v>
      </c>
      <c r="G6" s="37">
        <f>VLOOKUP(D6,'13_Setting'!$E$20:$F$24,2,TRUE)</f>
        <v>0.5</v>
      </c>
      <c r="H6" s="1"/>
      <c r="I6" s="1"/>
      <c r="J6" s="1"/>
      <c r="K6" s="1"/>
      <c r="L6" s="1"/>
      <c r="M6" s="1"/>
      <c r="N6" s="1"/>
      <c r="O6" s="1"/>
      <c r="P6" s="1"/>
      <c r="Q6" s="1"/>
      <c r="R6" s="1"/>
      <c r="S6" s="1"/>
      <c r="T6" s="1"/>
      <c r="U6" s="1"/>
      <c r="V6" s="1"/>
      <c r="W6" s="1"/>
      <c r="X6" s="1"/>
      <c r="Y6" s="1"/>
      <c r="Z6" s="1"/>
    </row>
    <row r="7" spans="1:26">
      <c r="A7" s="36" t="s">
        <v>92</v>
      </c>
      <c r="B7" s="9" t="s">
        <v>93</v>
      </c>
      <c r="C7" s="9" t="s">
        <v>22</v>
      </c>
      <c r="D7" s="22">
        <f>IFERROR((SUMIFS('07A_KPI Produksi'!$L$5:$L$304,'07A_KPI Produksi'!$A$5:$A$304,'01_Dashboard'!$B$3,'07A_KPI Produksi'!$B$5:$B$304,'01_Dashboard'!$D$3,'07A_KPI Produksi'!$D$5:$D$304,A7)+SUMIFS('07B_KPI Marketing'!$L$5:$L$304,'07B_KPI Marketing'!$A$5:$A$304,'01_Dashboard'!$B$3,'07B_KPI Marketing'!$B$5:$B$304,'01_Dashboard'!$D$3,'07B_KPI Marketing'!$D$5:$D$304,A7)+SUMIFS('07C_KPI Admin'!$L$5:$L$304,'07C_KPI Admin'!$A$5:$A$304,'01_Dashboard'!$B$3,'07C_KPI Admin'!$B$5:$B$304,'01_Dashboard'!$D$3,'07C_KPI Admin'!$D$5:$D$304,A7)+SUMIFS('07D_KPI Design'!$L$5:$L$304,'07D_KPI Design'!$A$5:$A$304,'01_Dashboard'!$B$3,'07D_KPI Design'!$B$5:$B$304,'01_Dashboard'!$D$3,'07D_KPI Design'!$D$5:$D$304,A7)+SUMIFS('07E_KPI HR'!$L$5:$L$304,'07E_KPI HR'!$A$5:$A$304,'01_Dashboard'!$B$3,'07E_KPI HR'!$B$5:$B$304,'01_Dashboard'!$D$3,'07E_KPI HR'!$D$5:$D$304,A7)+SUMIFS('07F_KPI Finance'!$L$5:$L$304,'07F_KPI Finance'!$A$5:$A$304,'01_Dashboard'!$B$3,'07F_KPI Finance'!$B$5:$B$304,'01_Dashboard'!$D$3,'07F_KPI Finance'!$D$5:$D$304,A7))/(SUMIFS('07A_KPI Produksi'!$K$5:$K$304,'07A_KPI Produksi'!$A$5:$A$304,'01_Dashboard'!$B$3,'07A_KPI Produksi'!$B$5:$B$304,'01_Dashboard'!$D$3,'07A_KPI Produksi'!$D$5:$D$304,A7)+SUMIFS('07B_KPI Marketing'!$K$5:$K$304,'07B_KPI Marketing'!$A$5:$A$304,'01_Dashboard'!$B$3,'07B_KPI Marketing'!$B$5:$B$304,'01_Dashboard'!$D$3,'07B_KPI Marketing'!$D$5:$D$304,A7)+SUMIFS('07C_KPI Admin'!$K$5:$K$304,'07C_KPI Admin'!$A$5:$A$304,'01_Dashboard'!$B$3,'07C_KPI Admin'!$B$5:$B$304,'01_Dashboard'!$D$3,'07C_KPI Admin'!$D$5:$D$304,A7)+SUMIFS('07D_KPI Design'!$K$5:$K$304,'07D_KPI Design'!$A$5:$A$304,'01_Dashboard'!$B$3,'07D_KPI Design'!$B$5:$B$304,'01_Dashboard'!$D$3,'07D_KPI Design'!$D$5:$D$304,A7)+SUMIFS('07E_KPI HR'!$K$5:$K$304,'07E_KPI HR'!$A$5:$A$304,'01_Dashboard'!$B$3,'07E_KPI HR'!$B$5:$B$304,'01_Dashboard'!$D$3,'07E_KPI HR'!$D$5:$D$304,A7)+SUMIFS('07F_KPI Finance'!$K$5:$K$304,'07F_KPI Finance'!$A$5:$A$304,'01_Dashboard'!$B$3,'07F_KPI Finance'!$B$5:$B$304,'01_Dashboard'!$D$3,'07F_KPI Finance'!$D$5:$D$304,A7)),0)</f>
        <v>0.87849999999999995</v>
      </c>
      <c r="E7" s="9" t="str">
        <f>VLOOKUP(D7,'13_Setting'!$A$20:$B$24,2,TRUE)</f>
        <v>B</v>
      </c>
      <c r="F7" s="9" t="str">
        <f>IF(D7&gt;='13_Setting'!$H$7,"Tercapai",IF(D7&gt;='13_Setting'!$H$6,"On Track","Tertinggal"))</f>
        <v>On Track</v>
      </c>
      <c r="G7" s="37">
        <f>VLOOKUP(D7,'13_Setting'!$E$20:$F$24,2,TRUE)</f>
        <v>0.5</v>
      </c>
      <c r="H7" s="1"/>
      <c r="I7" s="1"/>
      <c r="J7" s="1"/>
      <c r="K7" s="1"/>
      <c r="L7" s="1"/>
      <c r="M7" s="1"/>
      <c r="N7" s="1"/>
      <c r="O7" s="1"/>
      <c r="P7" s="1"/>
      <c r="Q7" s="1"/>
      <c r="R7" s="1"/>
      <c r="S7" s="1"/>
      <c r="T7" s="1"/>
      <c r="U7" s="1"/>
      <c r="V7" s="1"/>
      <c r="W7" s="1"/>
      <c r="X7" s="1"/>
      <c r="Y7" s="1"/>
      <c r="Z7" s="1"/>
    </row>
    <row r="8" spans="1:26">
      <c r="A8" s="36" t="s">
        <v>94</v>
      </c>
      <c r="B8" s="9" t="s">
        <v>95</v>
      </c>
      <c r="C8" s="9" t="s">
        <v>22</v>
      </c>
      <c r="D8" s="22">
        <f>IFERROR((SUMIFS('07A_KPI Produksi'!$L$5:$L$304,'07A_KPI Produksi'!$A$5:$A$304,'01_Dashboard'!$B$3,'07A_KPI Produksi'!$B$5:$B$304,'01_Dashboard'!$D$3,'07A_KPI Produksi'!$D$5:$D$304,A8)+SUMIFS('07B_KPI Marketing'!$L$5:$L$304,'07B_KPI Marketing'!$A$5:$A$304,'01_Dashboard'!$B$3,'07B_KPI Marketing'!$B$5:$B$304,'01_Dashboard'!$D$3,'07B_KPI Marketing'!$D$5:$D$304,A8)+SUMIFS('07C_KPI Admin'!$L$5:$L$304,'07C_KPI Admin'!$A$5:$A$304,'01_Dashboard'!$B$3,'07C_KPI Admin'!$B$5:$B$304,'01_Dashboard'!$D$3,'07C_KPI Admin'!$D$5:$D$304,A8)+SUMIFS('07D_KPI Design'!$L$5:$L$304,'07D_KPI Design'!$A$5:$A$304,'01_Dashboard'!$B$3,'07D_KPI Design'!$B$5:$B$304,'01_Dashboard'!$D$3,'07D_KPI Design'!$D$5:$D$304,A8)+SUMIFS('07E_KPI HR'!$L$5:$L$304,'07E_KPI HR'!$A$5:$A$304,'01_Dashboard'!$B$3,'07E_KPI HR'!$B$5:$B$304,'01_Dashboard'!$D$3,'07E_KPI HR'!$D$5:$D$304,A8)+SUMIFS('07F_KPI Finance'!$L$5:$L$304,'07F_KPI Finance'!$A$5:$A$304,'01_Dashboard'!$B$3,'07F_KPI Finance'!$B$5:$B$304,'01_Dashboard'!$D$3,'07F_KPI Finance'!$D$5:$D$304,A8))/(SUMIFS('07A_KPI Produksi'!$K$5:$K$304,'07A_KPI Produksi'!$A$5:$A$304,'01_Dashboard'!$B$3,'07A_KPI Produksi'!$B$5:$B$304,'01_Dashboard'!$D$3,'07A_KPI Produksi'!$D$5:$D$304,A8)+SUMIFS('07B_KPI Marketing'!$K$5:$K$304,'07B_KPI Marketing'!$A$5:$A$304,'01_Dashboard'!$B$3,'07B_KPI Marketing'!$B$5:$B$304,'01_Dashboard'!$D$3,'07B_KPI Marketing'!$D$5:$D$304,A8)+SUMIFS('07C_KPI Admin'!$K$5:$K$304,'07C_KPI Admin'!$A$5:$A$304,'01_Dashboard'!$B$3,'07C_KPI Admin'!$B$5:$B$304,'01_Dashboard'!$D$3,'07C_KPI Admin'!$D$5:$D$304,A8)+SUMIFS('07D_KPI Design'!$K$5:$K$304,'07D_KPI Design'!$A$5:$A$304,'01_Dashboard'!$B$3,'07D_KPI Design'!$B$5:$B$304,'01_Dashboard'!$D$3,'07D_KPI Design'!$D$5:$D$304,A8)+SUMIFS('07E_KPI HR'!$K$5:$K$304,'07E_KPI HR'!$A$5:$A$304,'01_Dashboard'!$B$3,'07E_KPI HR'!$B$5:$B$304,'01_Dashboard'!$D$3,'07E_KPI HR'!$D$5:$D$304,A8)+SUMIFS('07F_KPI Finance'!$K$5:$K$304,'07F_KPI Finance'!$A$5:$A$304,'01_Dashboard'!$B$3,'07F_KPI Finance'!$B$5:$B$304,'01_Dashboard'!$D$3,'07F_KPI Finance'!$D$5:$D$304,A8)),0)</f>
        <v>0.9074000000000001</v>
      </c>
      <c r="E8" s="9" t="str">
        <f>VLOOKUP(D8,'13_Setting'!$A$20:$B$24,2,TRUE)</f>
        <v>B</v>
      </c>
      <c r="F8" s="9" t="str">
        <f>IF(D8&gt;='13_Setting'!$H$7,"Tercapai",IF(D8&gt;='13_Setting'!$H$6,"On Track","Tertinggal"))</f>
        <v>On Track</v>
      </c>
      <c r="G8" s="37">
        <f>VLOOKUP(D8,'13_Setting'!$E$20:$F$24,2,TRUE)</f>
        <v>0.75</v>
      </c>
      <c r="H8" s="1"/>
      <c r="I8" s="1"/>
      <c r="J8" s="1"/>
      <c r="K8" s="1"/>
      <c r="L8" s="1"/>
      <c r="M8" s="1"/>
      <c r="N8" s="1"/>
      <c r="O8" s="1"/>
      <c r="P8" s="1"/>
      <c r="Q8" s="1"/>
      <c r="R8" s="1"/>
      <c r="S8" s="1"/>
      <c r="T8" s="1"/>
      <c r="U8" s="1"/>
      <c r="V8" s="1"/>
      <c r="W8" s="1"/>
      <c r="X8" s="1"/>
      <c r="Y8" s="1"/>
      <c r="Z8" s="1"/>
    </row>
    <row r="9" spans="1:26">
      <c r="A9" s="36" t="s">
        <v>96</v>
      </c>
      <c r="B9" s="9" t="s">
        <v>97</v>
      </c>
      <c r="C9" s="9" t="s">
        <v>26</v>
      </c>
      <c r="D9" s="22">
        <f>IFERROR((SUMIFS('07A_KPI Produksi'!$L$5:$L$304,'07A_KPI Produksi'!$A$5:$A$304,'01_Dashboard'!$B$3,'07A_KPI Produksi'!$B$5:$B$304,'01_Dashboard'!$D$3,'07A_KPI Produksi'!$D$5:$D$304,A9)+SUMIFS('07B_KPI Marketing'!$L$5:$L$304,'07B_KPI Marketing'!$A$5:$A$304,'01_Dashboard'!$B$3,'07B_KPI Marketing'!$B$5:$B$304,'01_Dashboard'!$D$3,'07B_KPI Marketing'!$D$5:$D$304,A9)+SUMIFS('07C_KPI Admin'!$L$5:$L$304,'07C_KPI Admin'!$A$5:$A$304,'01_Dashboard'!$B$3,'07C_KPI Admin'!$B$5:$B$304,'01_Dashboard'!$D$3,'07C_KPI Admin'!$D$5:$D$304,A9)+SUMIFS('07D_KPI Design'!$L$5:$L$304,'07D_KPI Design'!$A$5:$A$304,'01_Dashboard'!$B$3,'07D_KPI Design'!$B$5:$B$304,'01_Dashboard'!$D$3,'07D_KPI Design'!$D$5:$D$304,A9)+SUMIFS('07E_KPI HR'!$L$5:$L$304,'07E_KPI HR'!$A$5:$A$304,'01_Dashboard'!$B$3,'07E_KPI HR'!$B$5:$B$304,'01_Dashboard'!$D$3,'07E_KPI HR'!$D$5:$D$304,A9)+SUMIFS('07F_KPI Finance'!$L$5:$L$304,'07F_KPI Finance'!$A$5:$A$304,'01_Dashboard'!$B$3,'07F_KPI Finance'!$B$5:$B$304,'01_Dashboard'!$D$3,'07F_KPI Finance'!$D$5:$D$304,A9))/(SUMIFS('07A_KPI Produksi'!$K$5:$K$304,'07A_KPI Produksi'!$A$5:$A$304,'01_Dashboard'!$B$3,'07A_KPI Produksi'!$B$5:$B$304,'01_Dashboard'!$D$3,'07A_KPI Produksi'!$D$5:$D$304,A9)+SUMIFS('07B_KPI Marketing'!$K$5:$K$304,'07B_KPI Marketing'!$A$5:$A$304,'01_Dashboard'!$B$3,'07B_KPI Marketing'!$B$5:$B$304,'01_Dashboard'!$D$3,'07B_KPI Marketing'!$D$5:$D$304,A9)+SUMIFS('07C_KPI Admin'!$K$5:$K$304,'07C_KPI Admin'!$A$5:$A$304,'01_Dashboard'!$B$3,'07C_KPI Admin'!$B$5:$B$304,'01_Dashboard'!$D$3,'07C_KPI Admin'!$D$5:$D$304,A9)+SUMIFS('07D_KPI Design'!$K$5:$K$304,'07D_KPI Design'!$A$5:$A$304,'01_Dashboard'!$B$3,'07D_KPI Design'!$B$5:$B$304,'01_Dashboard'!$D$3,'07D_KPI Design'!$D$5:$D$304,A9)+SUMIFS('07E_KPI HR'!$K$5:$K$304,'07E_KPI HR'!$A$5:$A$304,'01_Dashboard'!$B$3,'07E_KPI HR'!$B$5:$B$304,'01_Dashboard'!$D$3,'07E_KPI HR'!$D$5:$D$304,A9)+SUMIFS('07F_KPI Finance'!$K$5:$K$304,'07F_KPI Finance'!$A$5:$A$304,'01_Dashboard'!$B$3,'07F_KPI Finance'!$B$5:$B$304,'01_Dashboard'!$D$3,'07F_KPI Finance'!$D$5:$D$304,A9)),0)</f>
        <v>0.84052982456140357</v>
      </c>
      <c r="E9" s="9" t="str">
        <f>VLOOKUP(D9,'13_Setting'!$A$20:$B$24,2,TRUE)</f>
        <v>C</v>
      </c>
      <c r="F9" s="9" t="str">
        <f>IF(D9&gt;='13_Setting'!$H$7,"Tercapai",IF(D9&gt;='13_Setting'!$H$6,"On Track","Tertinggal"))</f>
        <v>Tertinggal</v>
      </c>
      <c r="G9" s="37">
        <f>VLOOKUP(D9,'13_Setting'!$E$20:$F$24,2,TRUE)</f>
        <v>0.25</v>
      </c>
      <c r="H9" s="1"/>
      <c r="I9" s="1"/>
      <c r="J9" s="1"/>
      <c r="K9" s="1"/>
      <c r="L9" s="1"/>
      <c r="M9" s="1"/>
      <c r="N9" s="1"/>
      <c r="O9" s="1"/>
      <c r="P9" s="1"/>
      <c r="Q9" s="1"/>
      <c r="R9" s="1"/>
      <c r="S9" s="1"/>
      <c r="T9" s="1"/>
      <c r="U9" s="1"/>
      <c r="V9" s="1"/>
      <c r="W9" s="1"/>
      <c r="X9" s="1"/>
      <c r="Y9" s="1"/>
      <c r="Z9" s="1"/>
    </row>
    <row r="10" spans="1:26">
      <c r="A10" s="36" t="s">
        <v>98</v>
      </c>
      <c r="B10" s="9" t="s">
        <v>99</v>
      </c>
      <c r="C10" s="9" t="s">
        <v>24</v>
      </c>
      <c r="D10" s="22">
        <f>IFERROR((SUMIFS('07A_KPI Produksi'!$L$5:$L$304,'07A_KPI Produksi'!$A$5:$A$304,'01_Dashboard'!$B$3,'07A_KPI Produksi'!$B$5:$B$304,'01_Dashboard'!$D$3,'07A_KPI Produksi'!$D$5:$D$304,A10)+SUMIFS('07B_KPI Marketing'!$L$5:$L$304,'07B_KPI Marketing'!$A$5:$A$304,'01_Dashboard'!$B$3,'07B_KPI Marketing'!$B$5:$B$304,'01_Dashboard'!$D$3,'07B_KPI Marketing'!$D$5:$D$304,A10)+SUMIFS('07C_KPI Admin'!$L$5:$L$304,'07C_KPI Admin'!$A$5:$A$304,'01_Dashboard'!$B$3,'07C_KPI Admin'!$B$5:$B$304,'01_Dashboard'!$D$3,'07C_KPI Admin'!$D$5:$D$304,A10)+SUMIFS('07D_KPI Design'!$L$5:$L$304,'07D_KPI Design'!$A$5:$A$304,'01_Dashboard'!$B$3,'07D_KPI Design'!$B$5:$B$304,'01_Dashboard'!$D$3,'07D_KPI Design'!$D$5:$D$304,A10)+SUMIFS('07E_KPI HR'!$L$5:$L$304,'07E_KPI HR'!$A$5:$A$304,'01_Dashboard'!$B$3,'07E_KPI HR'!$B$5:$B$304,'01_Dashboard'!$D$3,'07E_KPI HR'!$D$5:$D$304,A10)+SUMIFS('07F_KPI Finance'!$L$5:$L$304,'07F_KPI Finance'!$A$5:$A$304,'01_Dashboard'!$B$3,'07F_KPI Finance'!$B$5:$B$304,'01_Dashboard'!$D$3,'07F_KPI Finance'!$D$5:$D$304,A10))/(SUMIFS('07A_KPI Produksi'!$K$5:$K$304,'07A_KPI Produksi'!$A$5:$A$304,'01_Dashboard'!$B$3,'07A_KPI Produksi'!$B$5:$B$304,'01_Dashboard'!$D$3,'07A_KPI Produksi'!$D$5:$D$304,A10)+SUMIFS('07B_KPI Marketing'!$K$5:$K$304,'07B_KPI Marketing'!$A$5:$A$304,'01_Dashboard'!$B$3,'07B_KPI Marketing'!$B$5:$B$304,'01_Dashboard'!$D$3,'07B_KPI Marketing'!$D$5:$D$304,A10)+SUMIFS('07C_KPI Admin'!$K$5:$K$304,'07C_KPI Admin'!$A$5:$A$304,'01_Dashboard'!$B$3,'07C_KPI Admin'!$B$5:$B$304,'01_Dashboard'!$D$3,'07C_KPI Admin'!$D$5:$D$304,A10)+SUMIFS('07D_KPI Design'!$K$5:$K$304,'07D_KPI Design'!$A$5:$A$304,'01_Dashboard'!$B$3,'07D_KPI Design'!$B$5:$B$304,'01_Dashboard'!$D$3,'07D_KPI Design'!$D$5:$D$304,A10)+SUMIFS('07E_KPI HR'!$K$5:$K$304,'07E_KPI HR'!$A$5:$A$304,'01_Dashboard'!$B$3,'07E_KPI HR'!$B$5:$B$304,'01_Dashboard'!$D$3,'07E_KPI HR'!$D$5:$D$304,A10)+SUMIFS('07F_KPI Finance'!$K$5:$K$304,'07F_KPI Finance'!$A$5:$A$304,'01_Dashboard'!$B$3,'07F_KPI Finance'!$B$5:$B$304,'01_Dashboard'!$D$3,'07F_KPI Finance'!$D$5:$D$304,A10)),0)</f>
        <v>0.86655967295459135</v>
      </c>
      <c r="E10" s="9" t="str">
        <f>VLOOKUP(D10,'13_Setting'!$A$20:$B$24,2,TRUE)</f>
        <v>B</v>
      </c>
      <c r="F10" s="9" t="str">
        <f>IF(D10&gt;='13_Setting'!$H$7,"Tercapai",IF(D10&gt;='13_Setting'!$H$6,"On Track","Tertinggal"))</f>
        <v>On Track</v>
      </c>
      <c r="G10" s="37">
        <f>VLOOKUP(D10,'13_Setting'!$E$20:$F$24,2,TRUE)</f>
        <v>0.5</v>
      </c>
      <c r="H10" s="1"/>
      <c r="I10" s="1"/>
      <c r="J10" s="1"/>
      <c r="K10" s="1"/>
      <c r="L10" s="1"/>
      <c r="M10" s="1"/>
      <c r="N10" s="1"/>
      <c r="O10" s="1"/>
      <c r="P10" s="1"/>
      <c r="Q10" s="1"/>
      <c r="R10" s="1"/>
      <c r="S10" s="1"/>
      <c r="T10" s="1"/>
      <c r="U10" s="1"/>
      <c r="V10" s="1"/>
      <c r="W10" s="1"/>
      <c r="X10" s="1"/>
      <c r="Y10" s="1"/>
      <c r="Z10" s="1"/>
    </row>
    <row r="11" spans="1:26">
      <c r="A11" s="36" t="s">
        <v>100</v>
      </c>
      <c r="B11" s="9" t="s">
        <v>101</v>
      </c>
      <c r="C11" s="9" t="s">
        <v>20</v>
      </c>
      <c r="D11" s="22">
        <f>IFERROR((SUMIFS('07A_KPI Produksi'!$L$5:$L$304,'07A_KPI Produksi'!$A$5:$A$304,'01_Dashboard'!$B$3,'07A_KPI Produksi'!$B$5:$B$304,'01_Dashboard'!$D$3,'07A_KPI Produksi'!$D$5:$D$304,A11)+SUMIFS('07B_KPI Marketing'!$L$5:$L$304,'07B_KPI Marketing'!$A$5:$A$304,'01_Dashboard'!$B$3,'07B_KPI Marketing'!$B$5:$B$304,'01_Dashboard'!$D$3,'07B_KPI Marketing'!$D$5:$D$304,A11)+SUMIFS('07C_KPI Admin'!$L$5:$L$304,'07C_KPI Admin'!$A$5:$A$304,'01_Dashboard'!$B$3,'07C_KPI Admin'!$B$5:$B$304,'01_Dashboard'!$D$3,'07C_KPI Admin'!$D$5:$D$304,A11)+SUMIFS('07D_KPI Design'!$L$5:$L$304,'07D_KPI Design'!$A$5:$A$304,'01_Dashboard'!$B$3,'07D_KPI Design'!$B$5:$B$304,'01_Dashboard'!$D$3,'07D_KPI Design'!$D$5:$D$304,A11)+SUMIFS('07E_KPI HR'!$L$5:$L$304,'07E_KPI HR'!$A$5:$A$304,'01_Dashboard'!$B$3,'07E_KPI HR'!$B$5:$B$304,'01_Dashboard'!$D$3,'07E_KPI HR'!$D$5:$D$304,A11)+SUMIFS('07F_KPI Finance'!$L$5:$L$304,'07F_KPI Finance'!$A$5:$A$304,'01_Dashboard'!$B$3,'07F_KPI Finance'!$B$5:$B$304,'01_Dashboard'!$D$3,'07F_KPI Finance'!$D$5:$D$304,A11))/(SUMIFS('07A_KPI Produksi'!$K$5:$K$304,'07A_KPI Produksi'!$A$5:$A$304,'01_Dashboard'!$B$3,'07A_KPI Produksi'!$B$5:$B$304,'01_Dashboard'!$D$3,'07A_KPI Produksi'!$D$5:$D$304,A11)+SUMIFS('07B_KPI Marketing'!$K$5:$K$304,'07B_KPI Marketing'!$A$5:$A$304,'01_Dashboard'!$B$3,'07B_KPI Marketing'!$B$5:$B$304,'01_Dashboard'!$D$3,'07B_KPI Marketing'!$D$5:$D$304,A11)+SUMIFS('07C_KPI Admin'!$K$5:$K$304,'07C_KPI Admin'!$A$5:$A$304,'01_Dashboard'!$B$3,'07C_KPI Admin'!$B$5:$B$304,'01_Dashboard'!$D$3,'07C_KPI Admin'!$D$5:$D$304,A11)+SUMIFS('07D_KPI Design'!$K$5:$K$304,'07D_KPI Design'!$A$5:$A$304,'01_Dashboard'!$B$3,'07D_KPI Design'!$B$5:$B$304,'01_Dashboard'!$D$3,'07D_KPI Design'!$D$5:$D$304,A11)+SUMIFS('07E_KPI HR'!$K$5:$K$304,'07E_KPI HR'!$A$5:$A$304,'01_Dashboard'!$B$3,'07E_KPI HR'!$B$5:$B$304,'01_Dashboard'!$D$3,'07E_KPI HR'!$D$5:$D$304,A11)+SUMIFS('07F_KPI Finance'!$K$5:$K$304,'07F_KPI Finance'!$A$5:$A$304,'01_Dashboard'!$B$3,'07F_KPI Finance'!$B$5:$B$304,'01_Dashboard'!$D$3,'07F_KPI Finance'!$D$5:$D$304,A11)),0)</f>
        <v>0.88661917293233072</v>
      </c>
      <c r="E11" s="9" t="str">
        <f>VLOOKUP(D11,'13_Setting'!$A$20:$B$24,2,TRUE)</f>
        <v>B</v>
      </c>
      <c r="F11" s="9" t="str">
        <f>IF(D11&gt;='13_Setting'!$H$7,"Tercapai",IF(D11&gt;='13_Setting'!$H$6,"On Track","Tertinggal"))</f>
        <v>On Track</v>
      </c>
      <c r="G11" s="37">
        <f>VLOOKUP(D11,'13_Setting'!$E$20:$F$24,2,TRUE)</f>
        <v>0.5</v>
      </c>
      <c r="H11" s="1"/>
      <c r="I11" s="1"/>
      <c r="J11" s="1"/>
      <c r="K11" s="1"/>
      <c r="L11" s="1"/>
      <c r="M11" s="1"/>
      <c r="N11" s="1"/>
      <c r="O11" s="1"/>
      <c r="P11" s="1"/>
      <c r="Q11" s="1"/>
      <c r="R11" s="1"/>
      <c r="S11" s="1"/>
      <c r="T11" s="1"/>
      <c r="U11" s="1"/>
      <c r="V11" s="1"/>
      <c r="W11" s="1"/>
      <c r="X11" s="1"/>
      <c r="Y11" s="1"/>
      <c r="Z11" s="1"/>
    </row>
    <row r="12" spans="1:26">
      <c r="A12" s="36" t="s">
        <v>102</v>
      </c>
      <c r="B12" s="9" t="s">
        <v>103</v>
      </c>
      <c r="C12" s="9" t="s">
        <v>28</v>
      </c>
      <c r="D12" s="22">
        <f>IFERROR((SUMIFS('07A_KPI Produksi'!$L$5:$L$304,'07A_KPI Produksi'!$A$5:$A$304,'01_Dashboard'!$B$3,'07A_KPI Produksi'!$B$5:$B$304,'01_Dashboard'!$D$3,'07A_KPI Produksi'!$D$5:$D$304,A12)+SUMIFS('07B_KPI Marketing'!$L$5:$L$304,'07B_KPI Marketing'!$A$5:$A$304,'01_Dashboard'!$B$3,'07B_KPI Marketing'!$B$5:$B$304,'01_Dashboard'!$D$3,'07B_KPI Marketing'!$D$5:$D$304,A12)+SUMIFS('07C_KPI Admin'!$L$5:$L$304,'07C_KPI Admin'!$A$5:$A$304,'01_Dashboard'!$B$3,'07C_KPI Admin'!$B$5:$B$304,'01_Dashboard'!$D$3,'07C_KPI Admin'!$D$5:$D$304,A12)+SUMIFS('07D_KPI Design'!$L$5:$L$304,'07D_KPI Design'!$A$5:$A$304,'01_Dashboard'!$B$3,'07D_KPI Design'!$B$5:$B$304,'01_Dashboard'!$D$3,'07D_KPI Design'!$D$5:$D$304,A12)+SUMIFS('07E_KPI HR'!$L$5:$L$304,'07E_KPI HR'!$A$5:$A$304,'01_Dashboard'!$B$3,'07E_KPI HR'!$B$5:$B$304,'01_Dashboard'!$D$3,'07E_KPI HR'!$D$5:$D$304,A12)+SUMIFS('07F_KPI Finance'!$L$5:$L$304,'07F_KPI Finance'!$A$5:$A$304,'01_Dashboard'!$B$3,'07F_KPI Finance'!$B$5:$B$304,'01_Dashboard'!$D$3,'07F_KPI Finance'!$D$5:$D$304,A12))/(SUMIFS('07A_KPI Produksi'!$K$5:$K$304,'07A_KPI Produksi'!$A$5:$A$304,'01_Dashboard'!$B$3,'07A_KPI Produksi'!$B$5:$B$304,'01_Dashboard'!$D$3,'07A_KPI Produksi'!$D$5:$D$304,A12)+SUMIFS('07B_KPI Marketing'!$K$5:$K$304,'07B_KPI Marketing'!$A$5:$A$304,'01_Dashboard'!$B$3,'07B_KPI Marketing'!$B$5:$B$304,'01_Dashboard'!$D$3,'07B_KPI Marketing'!$D$5:$D$304,A12)+SUMIFS('07C_KPI Admin'!$K$5:$K$304,'07C_KPI Admin'!$A$5:$A$304,'01_Dashboard'!$B$3,'07C_KPI Admin'!$B$5:$B$304,'01_Dashboard'!$D$3,'07C_KPI Admin'!$D$5:$D$304,A12)+SUMIFS('07D_KPI Design'!$K$5:$K$304,'07D_KPI Design'!$A$5:$A$304,'01_Dashboard'!$B$3,'07D_KPI Design'!$B$5:$B$304,'01_Dashboard'!$D$3,'07D_KPI Design'!$D$5:$D$304,A12)+SUMIFS('07E_KPI HR'!$K$5:$K$304,'07E_KPI HR'!$A$5:$A$304,'01_Dashboard'!$B$3,'07E_KPI HR'!$B$5:$B$304,'01_Dashboard'!$D$3,'07E_KPI HR'!$D$5:$D$304,A12)+SUMIFS('07F_KPI Finance'!$K$5:$K$304,'07F_KPI Finance'!$A$5:$A$304,'01_Dashboard'!$B$3,'07F_KPI Finance'!$B$5:$B$304,'01_Dashboard'!$D$3,'07F_KPI Finance'!$D$5:$D$304,A12)),0)</f>
        <v>0.91795555555555541</v>
      </c>
      <c r="E12" s="9" t="str">
        <f>VLOOKUP(D12,'13_Setting'!$A$20:$B$24,2,TRUE)</f>
        <v>B</v>
      </c>
      <c r="F12" s="9" t="str">
        <f>IF(D12&gt;='13_Setting'!$H$7,"Tercapai",IF(D12&gt;='13_Setting'!$H$6,"On Track","Tertinggal"))</f>
        <v>On Track</v>
      </c>
      <c r="G12" s="37">
        <f>VLOOKUP(D12,'13_Setting'!$E$20:$F$24,2,TRUE)</f>
        <v>0.75</v>
      </c>
      <c r="H12" s="1"/>
      <c r="I12" s="1"/>
      <c r="J12" s="1"/>
      <c r="K12" s="1"/>
      <c r="L12" s="1"/>
      <c r="M12" s="1"/>
      <c r="N12" s="1"/>
      <c r="O12" s="1"/>
      <c r="P12" s="1"/>
      <c r="Q12" s="1"/>
      <c r="R12" s="1"/>
      <c r="S12" s="1"/>
      <c r="T12" s="1"/>
      <c r="U12" s="1"/>
      <c r="V12" s="1"/>
      <c r="W12" s="1"/>
      <c r="X12" s="1"/>
      <c r="Y12" s="1"/>
      <c r="Z12" s="1"/>
    </row>
    <row r="13" spans="1:26">
      <c r="A13" s="38" t="s">
        <v>104</v>
      </c>
      <c r="B13" s="39" t="s">
        <v>105</v>
      </c>
      <c r="C13" s="39" t="s">
        <v>30</v>
      </c>
      <c r="D13" s="40">
        <f>IFERROR((SUMIFS('07A_KPI Produksi'!$L$5:$L$304,'07A_KPI Produksi'!$A$5:$A$304,'01_Dashboard'!$B$3,'07A_KPI Produksi'!$B$5:$B$304,'01_Dashboard'!$D$3,'07A_KPI Produksi'!$D$5:$D$304,A13)+SUMIFS('07B_KPI Marketing'!$L$5:$L$304,'07B_KPI Marketing'!$A$5:$A$304,'01_Dashboard'!$B$3,'07B_KPI Marketing'!$B$5:$B$304,'01_Dashboard'!$D$3,'07B_KPI Marketing'!$D$5:$D$304,A13)+SUMIFS('07C_KPI Admin'!$L$5:$L$304,'07C_KPI Admin'!$A$5:$A$304,'01_Dashboard'!$B$3,'07C_KPI Admin'!$B$5:$B$304,'01_Dashboard'!$D$3,'07C_KPI Admin'!$D$5:$D$304,A13)+SUMIFS('07D_KPI Design'!$L$5:$L$304,'07D_KPI Design'!$A$5:$A$304,'01_Dashboard'!$B$3,'07D_KPI Design'!$B$5:$B$304,'01_Dashboard'!$D$3,'07D_KPI Design'!$D$5:$D$304,A13)+SUMIFS('07E_KPI HR'!$L$5:$L$304,'07E_KPI HR'!$A$5:$A$304,'01_Dashboard'!$B$3,'07E_KPI HR'!$B$5:$B$304,'01_Dashboard'!$D$3,'07E_KPI HR'!$D$5:$D$304,A13)+SUMIFS('07F_KPI Finance'!$L$5:$L$304,'07F_KPI Finance'!$A$5:$A$304,'01_Dashboard'!$B$3,'07F_KPI Finance'!$B$5:$B$304,'01_Dashboard'!$D$3,'07F_KPI Finance'!$D$5:$D$304,A13))/(SUMIFS('07A_KPI Produksi'!$K$5:$K$304,'07A_KPI Produksi'!$A$5:$A$304,'01_Dashboard'!$B$3,'07A_KPI Produksi'!$B$5:$B$304,'01_Dashboard'!$D$3,'07A_KPI Produksi'!$D$5:$D$304,A13)+SUMIFS('07B_KPI Marketing'!$K$5:$K$304,'07B_KPI Marketing'!$A$5:$A$304,'01_Dashboard'!$B$3,'07B_KPI Marketing'!$B$5:$B$304,'01_Dashboard'!$D$3,'07B_KPI Marketing'!$D$5:$D$304,A13)+SUMIFS('07C_KPI Admin'!$K$5:$K$304,'07C_KPI Admin'!$A$5:$A$304,'01_Dashboard'!$B$3,'07C_KPI Admin'!$B$5:$B$304,'01_Dashboard'!$D$3,'07C_KPI Admin'!$D$5:$D$304,A13)+SUMIFS('07D_KPI Design'!$K$5:$K$304,'07D_KPI Design'!$A$5:$A$304,'01_Dashboard'!$B$3,'07D_KPI Design'!$B$5:$B$304,'01_Dashboard'!$D$3,'07D_KPI Design'!$D$5:$D$304,A13)+SUMIFS('07E_KPI HR'!$K$5:$K$304,'07E_KPI HR'!$A$5:$A$304,'01_Dashboard'!$B$3,'07E_KPI HR'!$B$5:$B$304,'01_Dashboard'!$D$3,'07E_KPI HR'!$D$5:$D$304,A13)+SUMIFS('07F_KPI Finance'!$K$5:$K$304,'07F_KPI Finance'!$A$5:$A$304,'01_Dashboard'!$B$3,'07F_KPI Finance'!$B$5:$B$304,'01_Dashboard'!$D$3,'07F_KPI Finance'!$D$5:$D$304,A13)),0)</f>
        <v>0.84374678317519525</v>
      </c>
      <c r="E13" s="39" t="str">
        <f>VLOOKUP(D13,'13_Setting'!$A$20:$B$24,2,TRUE)</f>
        <v>C</v>
      </c>
      <c r="F13" s="39" t="str">
        <f>IF(D13&gt;='13_Setting'!$H$7,"Tercapai",IF(D13&gt;='13_Setting'!$H$6,"On Track","Tertinggal"))</f>
        <v>Tertinggal</v>
      </c>
      <c r="G13" s="41">
        <f>VLOOKUP(D13,'13_Setting'!$E$20:$F$24,2,TRUE)</f>
        <v>0.25</v>
      </c>
      <c r="H13" s="1"/>
      <c r="I13" s="1"/>
      <c r="J13" s="1"/>
      <c r="K13" s="1"/>
      <c r="L13" s="1"/>
      <c r="M13" s="1"/>
      <c r="N13" s="1"/>
      <c r="O13" s="1"/>
      <c r="P13" s="1"/>
      <c r="Q13" s="1"/>
      <c r="R13" s="1"/>
      <c r="S13" s="1"/>
      <c r="T13" s="1"/>
      <c r="U13" s="1"/>
      <c r="V13" s="1"/>
      <c r="W13" s="1"/>
      <c r="X13" s="1"/>
      <c r="Y13" s="1"/>
      <c r="Z13" s="1"/>
    </row>
    <row r="14" spans="1:26">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I1"/>
    <mergeCell ref="A2:I2"/>
  </mergeCells>
  <conditionalFormatting sqref="D5:D13">
    <cfRule type="dataBar" priority="1">
      <dataBar>
        <cfvo type="min"/>
        <cfvo type="max"/>
        <color rgb="FF2563EB"/>
      </dataBar>
    </cfRule>
  </conditionalFormatting>
  <conditionalFormatting sqref="D5:D13">
    <cfRule type="dataBar" priority="2">
      <dataBar>
        <cfvo type="min"/>
        <cfvo type="max"/>
        <color rgb="FF2563EB"/>
      </dataBar>
      <extLst>
        <ext xmlns:x14="http://schemas.microsoft.com/office/spreadsheetml/2009/9/main" uri="{B025F937-C7B1-47D3-B67F-A62EFF666E3E}">
          <x14:id>{A0393D36-AF5F-2D03-3AE7-68FE80BFC8CE}</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0393D36-AF5F-2D03-3AE7-68FE80BFC8CE}">
            <x14:dataBar>
              <x14:cfvo type="min"/>
              <x14:cfvo type="max"/>
              <x14:negativeFillColor auto="1"/>
              <x14:axisColor auto="1"/>
            </x14:dataBar>
          </x14:cfRule>
          <xm:sqref>D5:D13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Z80"/>
  <sheetViews>
    <sheetView showGridLines="0" workbookViewId="0"/>
  </sheetViews>
  <sheetFormatPr defaultRowHeight="13.8"/>
  <cols>
    <col min="1" max="1" width="20" customWidth="1"/>
    <col min="2" max="4" width="16" customWidth="1"/>
  </cols>
  <sheetData>
    <row r="1" spans="1:26" ht="34.049999999999997" customHeight="1">
      <c r="A1" s="55" t="s">
        <v>222</v>
      </c>
      <c r="B1" s="55" t="s">
        <v>222</v>
      </c>
      <c r="C1" s="55" t="s">
        <v>222</v>
      </c>
      <c r="D1" s="55" t="s">
        <v>222</v>
      </c>
      <c r="E1" s="55" t="s">
        <v>222</v>
      </c>
      <c r="F1" s="55" t="s">
        <v>222</v>
      </c>
      <c r="G1" s="55" t="s">
        <v>222</v>
      </c>
      <c r="H1" s="1"/>
      <c r="I1" s="1"/>
      <c r="J1" s="1"/>
      <c r="K1" s="1"/>
      <c r="L1" s="1"/>
      <c r="M1" s="1"/>
      <c r="N1" s="1"/>
      <c r="O1" s="1"/>
      <c r="P1" s="1"/>
      <c r="Q1" s="1"/>
      <c r="R1" s="1"/>
      <c r="S1" s="1"/>
      <c r="T1" s="1"/>
      <c r="U1" s="1"/>
      <c r="V1" s="1"/>
      <c r="W1" s="1"/>
      <c r="X1" s="1"/>
      <c r="Y1" s="1"/>
      <c r="Z1" s="1"/>
    </row>
    <row r="2" spans="1:26" ht="24" customHeight="1">
      <c r="A2" s="56" t="s">
        <v>223</v>
      </c>
      <c r="B2" s="56" t="s">
        <v>223</v>
      </c>
      <c r="C2" s="56" t="s">
        <v>223</v>
      </c>
      <c r="D2" s="56" t="s">
        <v>223</v>
      </c>
      <c r="E2" s="56" t="s">
        <v>223</v>
      </c>
      <c r="F2" s="56" t="s">
        <v>223</v>
      </c>
      <c r="G2" s="56" t="s">
        <v>223</v>
      </c>
      <c r="H2" s="1"/>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15</v>
      </c>
      <c r="B4" s="6" t="s">
        <v>35</v>
      </c>
      <c r="C4" s="6" t="s">
        <v>16</v>
      </c>
      <c r="D4" s="3" t="s">
        <v>85</v>
      </c>
      <c r="E4" s="1"/>
      <c r="F4" s="1"/>
      <c r="G4" s="1"/>
      <c r="H4" s="1"/>
      <c r="I4" s="1"/>
      <c r="J4" s="1"/>
      <c r="K4" s="1"/>
      <c r="L4" s="1"/>
      <c r="M4" s="1"/>
      <c r="N4" s="1"/>
      <c r="O4" s="1"/>
      <c r="P4" s="1"/>
      <c r="Q4" s="1"/>
      <c r="R4" s="1"/>
      <c r="S4" s="1"/>
      <c r="T4" s="1"/>
      <c r="U4" s="1"/>
      <c r="V4" s="1"/>
      <c r="W4" s="1"/>
      <c r="X4" s="1"/>
      <c r="Y4" s="1"/>
      <c r="Z4" s="1"/>
    </row>
    <row r="5" spans="1:26">
      <c r="A5" s="1" t="s">
        <v>20</v>
      </c>
      <c r="B5" s="15">
        <f>IFERROR(SUMIFS('07A_KPI Produksi'!$L$5:$L$304,'07A_KPI Produksi'!$A$5:$A$304,'01_Dashboard'!$B$3,'07A_KPI Produksi'!$B$5:$B$304,'01_Dashboard'!$D$3)/SUMIFS('07A_KPI Produksi'!$K$5:$K$304,'07A_KPI Produksi'!$A$5:$A$304,'01_Dashboard'!$B$3,'07A_KPI Produksi'!$B$5:$B$304,'01_Dashboard'!$D$3),0)</f>
        <v>0.88661917293233072</v>
      </c>
      <c r="C5" s="15">
        <f>'13_Setting'!$H$5</f>
        <v>0.85</v>
      </c>
      <c r="D5" s="1" t="str">
        <f t="shared" ref="D5:D10" si="0">IF(B5&gt;=C5,"On Track","Perlu Aksi")</f>
        <v>On Track</v>
      </c>
      <c r="E5" s="1"/>
      <c r="F5" s="1"/>
      <c r="G5" s="1"/>
      <c r="H5" s="1"/>
      <c r="I5" s="1"/>
      <c r="J5" s="1"/>
      <c r="K5" s="1"/>
      <c r="L5" s="1"/>
      <c r="M5" s="1"/>
      <c r="N5" s="1"/>
      <c r="O5" s="1"/>
      <c r="P5" s="1"/>
      <c r="Q5" s="1"/>
      <c r="R5" s="1"/>
      <c r="S5" s="1"/>
      <c r="T5" s="1"/>
      <c r="U5" s="1"/>
      <c r="V5" s="1"/>
      <c r="W5" s="1"/>
      <c r="X5" s="1"/>
      <c r="Y5" s="1"/>
      <c r="Z5" s="1"/>
    </row>
    <row r="6" spans="1:26">
      <c r="A6" s="1" t="s">
        <v>22</v>
      </c>
      <c r="B6" s="15">
        <f>IFERROR(SUMIFS('07B_KPI Marketing'!$L$5:$L$304,'07B_KPI Marketing'!$A$5:$A$304,'01_Dashboard'!$B$3,'07B_KPI Marketing'!$B$5:$B$304,'01_Dashboard'!$D$3)/SUMIFS('07B_KPI Marketing'!$K$5:$K$304,'07B_KPI Marketing'!$A$5:$A$304,'01_Dashboard'!$B$3,'07B_KPI Marketing'!$B$5:$B$304,'01_Dashboard'!$D$3),0)</f>
        <v>0.87285000000000013</v>
      </c>
      <c r="C6" s="15">
        <f>'13_Setting'!$H$5</f>
        <v>0.85</v>
      </c>
      <c r="D6" s="1" t="str">
        <f t="shared" si="0"/>
        <v>On Track</v>
      </c>
      <c r="E6" s="1"/>
      <c r="F6" s="1"/>
      <c r="G6" s="1"/>
      <c r="H6" s="1"/>
      <c r="I6" s="1"/>
      <c r="J6" s="1"/>
      <c r="K6" s="1"/>
      <c r="L6" s="1"/>
      <c r="M6" s="1"/>
      <c r="N6" s="1"/>
      <c r="O6" s="1"/>
      <c r="P6" s="1"/>
      <c r="Q6" s="1"/>
      <c r="R6" s="1"/>
      <c r="S6" s="1"/>
      <c r="T6" s="1"/>
      <c r="U6" s="1"/>
      <c r="V6" s="1"/>
      <c r="W6" s="1"/>
      <c r="X6" s="1"/>
      <c r="Y6" s="1"/>
      <c r="Z6" s="1"/>
    </row>
    <row r="7" spans="1:26">
      <c r="A7" s="1" t="s">
        <v>24</v>
      </c>
      <c r="B7" s="15">
        <f>IFERROR(SUMIFS('07C_KPI Admin'!$L$5:$L$304,'07C_KPI Admin'!$A$5:$A$304,'01_Dashboard'!$B$3,'07C_KPI Admin'!$B$5:$B$304,'01_Dashboard'!$D$3)/SUMIFS('07C_KPI Admin'!$K$5:$K$304,'07C_KPI Admin'!$A$5:$A$304,'01_Dashboard'!$B$3,'07C_KPI Admin'!$B$5:$B$304,'01_Dashboard'!$D$3),0)</f>
        <v>0.86655967295459135</v>
      </c>
      <c r="C7" s="15">
        <f>'13_Setting'!$H$5</f>
        <v>0.85</v>
      </c>
      <c r="D7" s="1" t="str">
        <f t="shared" si="0"/>
        <v>On Track</v>
      </c>
      <c r="E7" s="1"/>
      <c r="F7" s="1"/>
      <c r="G7" s="1"/>
      <c r="H7" s="1"/>
      <c r="I7" s="1"/>
      <c r="J7" s="1"/>
      <c r="K7" s="1"/>
      <c r="L7" s="1"/>
      <c r="M7" s="1"/>
      <c r="N7" s="1"/>
      <c r="O7" s="1"/>
      <c r="P7" s="1"/>
      <c r="Q7" s="1"/>
      <c r="R7" s="1"/>
      <c r="S7" s="1"/>
      <c r="T7" s="1"/>
      <c r="U7" s="1"/>
      <c r="V7" s="1"/>
      <c r="W7" s="1"/>
      <c r="X7" s="1"/>
      <c r="Y7" s="1"/>
      <c r="Z7" s="1"/>
    </row>
    <row r="8" spans="1:26">
      <c r="A8" s="1" t="s">
        <v>26</v>
      </c>
      <c r="B8" s="15">
        <f>IFERROR(SUMIFS('07D_KPI Design'!$L$5:$L$304,'07D_KPI Design'!$A$5:$A$304,'01_Dashboard'!$B$3,'07D_KPI Design'!$B$5:$B$304,'01_Dashboard'!$D$3)/SUMIFS('07D_KPI Design'!$K$5:$K$304,'07D_KPI Design'!$A$5:$A$304,'01_Dashboard'!$B$3,'07D_KPI Design'!$B$5:$B$304,'01_Dashboard'!$D$3),0)</f>
        <v>0.84052982456140357</v>
      </c>
      <c r="C8" s="15">
        <f>'13_Setting'!$H$5</f>
        <v>0.85</v>
      </c>
      <c r="D8" s="1" t="str">
        <f t="shared" si="0"/>
        <v>Perlu Aksi</v>
      </c>
      <c r="E8" s="1"/>
      <c r="F8" s="1"/>
      <c r="G8" s="1"/>
      <c r="H8" s="1"/>
      <c r="I8" s="1"/>
      <c r="J8" s="1"/>
      <c r="K8" s="1"/>
      <c r="L8" s="1"/>
      <c r="M8" s="1"/>
      <c r="N8" s="1"/>
      <c r="O8" s="1"/>
      <c r="P8" s="1"/>
      <c r="Q8" s="1"/>
      <c r="R8" s="1"/>
      <c r="S8" s="1"/>
      <c r="T8" s="1"/>
      <c r="U8" s="1"/>
      <c r="V8" s="1"/>
      <c r="W8" s="1"/>
      <c r="X8" s="1"/>
      <c r="Y8" s="1"/>
      <c r="Z8" s="1"/>
    </row>
    <row r="9" spans="1:26">
      <c r="A9" s="1" t="s">
        <v>28</v>
      </c>
      <c r="B9" s="15">
        <f>IFERROR(SUMIFS('07E_KPI HR'!$L$5:$L$304,'07E_KPI HR'!$A$5:$A$304,'01_Dashboard'!$B$3,'07E_KPI HR'!$B$5:$B$304,'01_Dashboard'!$D$3)/SUMIFS('07E_KPI HR'!$K$5:$K$304,'07E_KPI HR'!$A$5:$A$304,'01_Dashboard'!$B$3,'07E_KPI HR'!$B$5:$B$304,'01_Dashboard'!$D$3),0)</f>
        <v>0.91795555555555541</v>
      </c>
      <c r="C9" s="15">
        <f>'13_Setting'!$H$5</f>
        <v>0.85</v>
      </c>
      <c r="D9" s="1" t="str">
        <f t="shared" si="0"/>
        <v>On Track</v>
      </c>
      <c r="E9" s="1"/>
      <c r="F9" s="1"/>
      <c r="G9" s="1"/>
      <c r="H9" s="1"/>
      <c r="I9" s="1"/>
      <c r="J9" s="1"/>
      <c r="K9" s="1"/>
      <c r="L9" s="1"/>
      <c r="M9" s="1"/>
      <c r="N9" s="1"/>
      <c r="O9" s="1"/>
      <c r="P9" s="1"/>
      <c r="Q9" s="1"/>
      <c r="R9" s="1"/>
      <c r="S9" s="1"/>
      <c r="T9" s="1"/>
      <c r="U9" s="1"/>
      <c r="V9" s="1"/>
      <c r="W9" s="1"/>
      <c r="X9" s="1"/>
      <c r="Y9" s="1"/>
      <c r="Z9" s="1"/>
    </row>
    <row r="10" spans="1:26">
      <c r="A10" s="1" t="s">
        <v>30</v>
      </c>
      <c r="B10" s="15">
        <f>IFERROR(SUMIFS('07F_KPI Finance'!$L$5:$L$304,'07F_KPI Finance'!$A$5:$A$304,'01_Dashboard'!$B$3,'07F_KPI Finance'!$B$5:$B$304,'01_Dashboard'!$D$3)/SUMIFS('07F_KPI Finance'!$K$5:$K$304,'07F_KPI Finance'!$A$5:$A$304,'01_Dashboard'!$B$3,'07F_KPI Finance'!$B$5:$B$304,'01_Dashboard'!$D$3),0)</f>
        <v>0.84374678317519525</v>
      </c>
      <c r="C10" s="15">
        <f>'13_Setting'!$H$5</f>
        <v>0.85</v>
      </c>
      <c r="D10" s="1" t="str">
        <f t="shared" si="0"/>
        <v>Perlu Aksi</v>
      </c>
      <c r="E10" s="1"/>
      <c r="F10" s="1"/>
      <c r="G10" s="1"/>
      <c r="H10" s="1"/>
      <c r="I10" s="1"/>
      <c r="J10" s="1"/>
      <c r="K10" s="1"/>
      <c r="L10" s="1"/>
      <c r="M10" s="1"/>
      <c r="N10" s="1"/>
      <c r="O10" s="1"/>
      <c r="P10" s="1"/>
      <c r="Q10" s="1"/>
      <c r="R10" s="1"/>
      <c r="S10" s="1"/>
      <c r="T10" s="1"/>
      <c r="U10" s="1"/>
      <c r="V10" s="1"/>
      <c r="W10" s="1"/>
      <c r="X10" s="1"/>
      <c r="Y10" s="1"/>
      <c r="Z10" s="1"/>
    </row>
    <row r="11" spans="1:26">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G1"/>
    <mergeCell ref="A2:G2"/>
  </mergeCells>
  <conditionalFormatting sqref="B5:B10">
    <cfRule type="dataBar" priority="1">
      <dataBar>
        <cfvo type="min"/>
        <cfvo type="max"/>
        <color rgb="FF2563EB"/>
      </dataBar>
    </cfRule>
  </conditionalFormatting>
  <conditionalFormatting sqref="B5:B10">
    <cfRule type="dataBar" priority="2">
      <dataBar>
        <cfvo type="min"/>
        <cfvo type="max"/>
        <color rgb="FF2563EB"/>
      </dataBar>
      <extLst>
        <ext xmlns:x14="http://schemas.microsoft.com/office/spreadsheetml/2009/9/main" uri="{B025F937-C7B1-47D3-B67F-A62EFF666E3E}">
          <x14:id>{5C3F77A7-30BF-FF8D-D06E-04DC96FBF028}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C3F77A7-30BF-FF8D-D06E-04DC96FBF028}">
            <x14:dataBar>
              <x14:cfvo type="min"/>
              <x14:cfvo type="max"/>
              <x14:negativeFillColor auto="1"/>
              <x14:axisColor auto="1"/>
            </x14:dataBar>
          </x14:cfRule>
          <xm:sqref>B5:B10</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Z80"/>
  <sheetViews>
    <sheetView showGridLines="0" workbookViewId="0"/>
  </sheetViews>
  <sheetFormatPr defaultRowHeight="13.8"/>
  <cols>
    <col min="1" max="1" width="18" customWidth="1"/>
    <col min="2" max="4" width="15" customWidth="1"/>
  </cols>
  <sheetData>
    <row r="1" spans="1:26" ht="34.049999999999997" customHeight="1">
      <c r="A1" s="55" t="s">
        <v>224</v>
      </c>
      <c r="B1" s="55" t="s">
        <v>224</v>
      </c>
      <c r="C1" s="55" t="s">
        <v>224</v>
      </c>
      <c r="D1" s="55" t="s">
        <v>224</v>
      </c>
      <c r="E1" s="55" t="s">
        <v>224</v>
      </c>
      <c r="F1" s="55" t="s">
        <v>224</v>
      </c>
      <c r="G1" s="55" t="s">
        <v>224</v>
      </c>
      <c r="H1" s="1"/>
      <c r="I1" s="1"/>
      <c r="J1" s="1"/>
      <c r="K1" s="1"/>
      <c r="L1" s="1"/>
      <c r="M1" s="1"/>
      <c r="N1" s="1"/>
      <c r="O1" s="1"/>
      <c r="P1" s="1"/>
      <c r="Q1" s="1"/>
      <c r="R1" s="1"/>
      <c r="S1" s="1"/>
      <c r="T1" s="1"/>
      <c r="U1" s="1"/>
      <c r="V1" s="1"/>
      <c r="W1" s="1"/>
      <c r="X1" s="1"/>
      <c r="Y1" s="1"/>
      <c r="Z1" s="1"/>
    </row>
    <row r="2" spans="1:26" ht="24" customHeight="1">
      <c r="A2" s="56" t="s">
        <v>225</v>
      </c>
      <c r="B2" s="56" t="s">
        <v>225</v>
      </c>
      <c r="C2" s="56" t="s">
        <v>225</v>
      </c>
      <c r="D2" s="56" t="s">
        <v>225</v>
      </c>
      <c r="E2" s="56" t="s">
        <v>225</v>
      </c>
      <c r="F2" s="56" t="s">
        <v>225</v>
      </c>
      <c r="G2" s="56" t="s">
        <v>225</v>
      </c>
      <c r="H2" s="1"/>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6" t="s">
        <v>4</v>
      </c>
      <c r="C4" s="6" t="s">
        <v>226</v>
      </c>
      <c r="D4" s="3" t="s">
        <v>16</v>
      </c>
      <c r="E4" s="1"/>
      <c r="F4" s="1"/>
      <c r="G4" s="1"/>
      <c r="H4" s="1"/>
      <c r="I4" s="1"/>
      <c r="J4" s="1"/>
      <c r="K4" s="1"/>
      <c r="L4" s="1"/>
      <c r="M4" s="1"/>
      <c r="N4" s="1"/>
      <c r="O4" s="1"/>
      <c r="P4" s="1"/>
      <c r="Q4" s="1"/>
      <c r="R4" s="1"/>
      <c r="S4" s="1"/>
      <c r="T4" s="1"/>
      <c r="U4" s="1"/>
      <c r="V4" s="1"/>
      <c r="W4" s="1"/>
      <c r="X4" s="1"/>
      <c r="Y4" s="1"/>
      <c r="Z4" s="1"/>
    </row>
    <row r="5" spans="1:26">
      <c r="A5" s="1" t="s">
        <v>192</v>
      </c>
      <c r="B5" s="1">
        <v>2026</v>
      </c>
      <c r="C5" s="15">
        <f>IFERROR((SUMIFS('07A_KPI Produksi'!$L$5:$L$304,'07A_KPI Produksi'!$A$5:$A$304,A5,'07A_KPI Produksi'!$B$5:$B$304,B5)+SUMIFS('07B_KPI Marketing'!$L$5:$L$304,'07B_KPI Marketing'!$A$5:$A$304,A5,'07B_KPI Marketing'!$B$5:$B$304,B5)+SUMIFS('07C_KPI Admin'!$L$5:$L$304,'07C_KPI Admin'!$A$5:$A$304,A5,'07C_KPI Admin'!$B$5:$B$304,B5)+SUMIFS('07D_KPI Design'!$L$5:$L$304,'07D_KPI Design'!$A$5:$A$304,A5,'07D_KPI Design'!$B$5:$B$304,B5)+SUMIFS('07E_KPI HR'!$L$5:$L$304,'07E_KPI HR'!$A$5:$A$304,A5,'07E_KPI HR'!$B$5:$B$304,B5)+SUMIFS('07F_KPI Finance'!$L$5:$L$304,'07F_KPI Finance'!$A$5:$A$304,A5,'07F_KPI Finance'!$B$5:$B$304,B5))/(SUMIFS('07A_KPI Produksi'!$K$5:$K$304,'07A_KPI Produksi'!$A$5:$A$304,A5,'07A_KPI Produksi'!$B$5:$B$304,B5)+SUMIFS('07B_KPI Marketing'!$K$5:$K$304,'07B_KPI Marketing'!$A$5:$A$304,A5,'07B_KPI Marketing'!$B$5:$B$304,B5)+SUMIFS('07C_KPI Admin'!$K$5:$K$304,'07C_KPI Admin'!$A$5:$A$304,A5,'07C_KPI Admin'!$B$5:$B$304,B5)+SUMIFS('07D_KPI Design'!$K$5:$K$304,'07D_KPI Design'!$A$5:$A$304,A5,'07D_KPI Design'!$B$5:$B$304,B5)+SUMIFS('07E_KPI HR'!$K$5:$K$304,'07E_KPI HR'!$A$5:$A$304,A5,'07E_KPI HR'!$B$5:$B$304,B5)+SUMIFS('07F_KPI Finance'!$K$5:$K$304,'07F_KPI Finance'!$A$5:$A$304,A5,'07F_KPI Finance'!$B$5:$B$304,B5)),0)</f>
        <v>0.77623640097807856</v>
      </c>
      <c r="D5" s="15">
        <f>'13_Setting'!$H$5</f>
        <v>0.85</v>
      </c>
      <c r="E5" s="1"/>
      <c r="F5" s="1"/>
      <c r="G5" s="1"/>
      <c r="H5" s="1"/>
      <c r="I5" s="1"/>
      <c r="J5" s="1"/>
      <c r="K5" s="1"/>
      <c r="L5" s="1"/>
      <c r="M5" s="1"/>
      <c r="N5" s="1"/>
      <c r="O5" s="1"/>
      <c r="P5" s="1"/>
      <c r="Q5" s="1"/>
      <c r="R5" s="1"/>
      <c r="S5" s="1"/>
      <c r="T5" s="1"/>
      <c r="U5" s="1"/>
      <c r="V5" s="1"/>
      <c r="W5" s="1"/>
      <c r="X5" s="1"/>
      <c r="Y5" s="1"/>
      <c r="Z5" s="1"/>
    </row>
    <row r="6" spans="1:26">
      <c r="A6" s="1" t="s">
        <v>193</v>
      </c>
      <c r="B6" s="1">
        <v>2026</v>
      </c>
      <c r="C6" s="15">
        <f>IFERROR((SUMIFS('07A_KPI Produksi'!$L$5:$L$304,'07A_KPI Produksi'!$A$5:$A$304,A6,'07A_KPI Produksi'!$B$5:$B$304,B6)+SUMIFS('07B_KPI Marketing'!$L$5:$L$304,'07B_KPI Marketing'!$A$5:$A$304,A6,'07B_KPI Marketing'!$B$5:$B$304,B6)+SUMIFS('07C_KPI Admin'!$L$5:$L$304,'07C_KPI Admin'!$A$5:$A$304,A6,'07C_KPI Admin'!$B$5:$B$304,B6)+SUMIFS('07D_KPI Design'!$L$5:$L$304,'07D_KPI Design'!$A$5:$A$304,A6,'07D_KPI Design'!$B$5:$B$304,B6)+SUMIFS('07E_KPI HR'!$L$5:$L$304,'07E_KPI HR'!$A$5:$A$304,A6,'07E_KPI HR'!$B$5:$B$304,B6)+SUMIFS('07F_KPI Finance'!$L$5:$L$304,'07F_KPI Finance'!$A$5:$A$304,A6,'07F_KPI Finance'!$B$5:$B$304,B6))/(SUMIFS('07A_KPI Produksi'!$K$5:$K$304,'07A_KPI Produksi'!$A$5:$A$304,A6,'07A_KPI Produksi'!$B$5:$B$304,B6)+SUMIFS('07B_KPI Marketing'!$K$5:$K$304,'07B_KPI Marketing'!$A$5:$A$304,A6,'07B_KPI Marketing'!$B$5:$B$304,B6)+SUMIFS('07C_KPI Admin'!$K$5:$K$304,'07C_KPI Admin'!$A$5:$A$304,A6,'07C_KPI Admin'!$B$5:$B$304,B6)+SUMIFS('07D_KPI Design'!$K$5:$K$304,'07D_KPI Design'!$A$5:$A$304,A6,'07D_KPI Design'!$B$5:$B$304,B6)+SUMIFS('07E_KPI HR'!$K$5:$K$304,'07E_KPI HR'!$A$5:$A$304,A6,'07E_KPI HR'!$B$5:$B$304,B6)+SUMIFS('07F_KPI Finance'!$K$5:$K$304,'07F_KPI Finance'!$A$5:$A$304,A6,'07F_KPI Finance'!$B$5:$B$304,B6)),0)</f>
        <v>0.81527369826475959</v>
      </c>
      <c r="D6" s="15">
        <f>'13_Setting'!$H$5</f>
        <v>0.85</v>
      </c>
      <c r="E6" s="1"/>
      <c r="F6" s="1"/>
      <c r="G6" s="1"/>
      <c r="H6" s="1"/>
      <c r="I6" s="1"/>
      <c r="J6" s="1"/>
      <c r="K6" s="1"/>
      <c r="L6" s="1"/>
      <c r="M6" s="1"/>
      <c r="N6" s="1"/>
      <c r="O6" s="1"/>
      <c r="P6" s="1"/>
      <c r="Q6" s="1"/>
      <c r="R6" s="1"/>
      <c r="S6" s="1"/>
      <c r="T6" s="1"/>
      <c r="U6" s="1"/>
      <c r="V6" s="1"/>
      <c r="W6" s="1"/>
      <c r="X6" s="1"/>
      <c r="Y6" s="1"/>
      <c r="Z6" s="1"/>
    </row>
    <row r="7" spans="1:26">
      <c r="A7" s="1" t="s">
        <v>194</v>
      </c>
      <c r="B7" s="1">
        <v>2026</v>
      </c>
      <c r="C7" s="15">
        <f>IFERROR((SUMIFS('07A_KPI Produksi'!$L$5:$L$304,'07A_KPI Produksi'!$A$5:$A$304,A7,'07A_KPI Produksi'!$B$5:$B$304,B7)+SUMIFS('07B_KPI Marketing'!$L$5:$L$304,'07B_KPI Marketing'!$A$5:$A$304,A7,'07B_KPI Marketing'!$B$5:$B$304,B7)+SUMIFS('07C_KPI Admin'!$L$5:$L$304,'07C_KPI Admin'!$A$5:$A$304,A7,'07C_KPI Admin'!$B$5:$B$304,B7)+SUMIFS('07D_KPI Design'!$L$5:$L$304,'07D_KPI Design'!$A$5:$A$304,A7,'07D_KPI Design'!$B$5:$B$304,B7)+SUMIFS('07E_KPI HR'!$L$5:$L$304,'07E_KPI HR'!$A$5:$A$304,A7,'07E_KPI HR'!$B$5:$B$304,B7)+SUMIFS('07F_KPI Finance'!$L$5:$L$304,'07F_KPI Finance'!$A$5:$A$304,A7,'07F_KPI Finance'!$B$5:$B$304,B7))/(SUMIFS('07A_KPI Produksi'!$K$5:$K$304,'07A_KPI Produksi'!$A$5:$A$304,A7,'07A_KPI Produksi'!$B$5:$B$304,B7)+SUMIFS('07B_KPI Marketing'!$K$5:$K$304,'07B_KPI Marketing'!$A$5:$A$304,A7,'07B_KPI Marketing'!$B$5:$B$304,B7)+SUMIFS('07C_KPI Admin'!$K$5:$K$304,'07C_KPI Admin'!$A$5:$A$304,A7,'07C_KPI Admin'!$B$5:$B$304,B7)+SUMIFS('07D_KPI Design'!$K$5:$K$304,'07D_KPI Design'!$A$5:$A$304,A7,'07D_KPI Design'!$B$5:$B$304,B7)+SUMIFS('07E_KPI HR'!$K$5:$K$304,'07E_KPI HR'!$A$5:$A$304,A7,'07E_KPI HR'!$B$5:$B$304,B7)+SUMIFS('07F_KPI Finance'!$K$5:$K$304,'07F_KPI Finance'!$A$5:$A$304,A7,'07F_KPI Finance'!$B$5:$B$304,B7)),0)</f>
        <v>0.83609859596974556</v>
      </c>
      <c r="D7" s="15">
        <f>'13_Setting'!$H$5</f>
        <v>0.85</v>
      </c>
      <c r="E7" s="1"/>
      <c r="F7" s="1"/>
      <c r="G7" s="1"/>
      <c r="H7" s="1"/>
      <c r="I7" s="1"/>
      <c r="J7" s="1"/>
      <c r="K7" s="1"/>
      <c r="L7" s="1"/>
      <c r="M7" s="1"/>
      <c r="N7" s="1"/>
      <c r="O7" s="1"/>
      <c r="P7" s="1"/>
      <c r="Q7" s="1"/>
      <c r="R7" s="1"/>
      <c r="S7" s="1"/>
      <c r="T7" s="1"/>
      <c r="U7" s="1"/>
      <c r="V7" s="1"/>
      <c r="W7" s="1"/>
      <c r="X7" s="1"/>
      <c r="Y7" s="1"/>
      <c r="Z7" s="1"/>
    </row>
    <row r="8" spans="1:26">
      <c r="A8" s="1" t="s">
        <v>195</v>
      </c>
      <c r="B8" s="1">
        <v>2026</v>
      </c>
      <c r="C8" s="15">
        <f>IFERROR((SUMIFS('07A_KPI Produksi'!$L$5:$L$304,'07A_KPI Produksi'!$A$5:$A$304,A8,'07A_KPI Produksi'!$B$5:$B$304,B8)+SUMIFS('07B_KPI Marketing'!$L$5:$L$304,'07B_KPI Marketing'!$A$5:$A$304,A8,'07B_KPI Marketing'!$B$5:$B$304,B8)+SUMIFS('07C_KPI Admin'!$L$5:$L$304,'07C_KPI Admin'!$A$5:$A$304,A8,'07C_KPI Admin'!$B$5:$B$304,B8)+SUMIFS('07D_KPI Design'!$L$5:$L$304,'07D_KPI Design'!$A$5:$A$304,A8,'07D_KPI Design'!$B$5:$B$304,B8)+SUMIFS('07E_KPI HR'!$L$5:$L$304,'07E_KPI HR'!$A$5:$A$304,A8,'07E_KPI HR'!$B$5:$B$304,B8)+SUMIFS('07F_KPI Finance'!$L$5:$L$304,'07F_KPI Finance'!$A$5:$A$304,A8,'07F_KPI Finance'!$B$5:$B$304,B8))/(SUMIFS('07A_KPI Produksi'!$K$5:$K$304,'07A_KPI Produksi'!$A$5:$A$304,A8,'07A_KPI Produksi'!$B$5:$B$304,B8)+SUMIFS('07B_KPI Marketing'!$K$5:$K$304,'07B_KPI Marketing'!$A$5:$A$304,A8,'07B_KPI Marketing'!$B$5:$B$304,B8)+SUMIFS('07C_KPI Admin'!$K$5:$K$304,'07C_KPI Admin'!$A$5:$A$304,A8,'07C_KPI Admin'!$B$5:$B$304,B8)+SUMIFS('07D_KPI Design'!$K$5:$K$304,'07D_KPI Design'!$A$5:$A$304,A8,'07D_KPI Design'!$B$5:$B$304,B8)+SUMIFS('07E_KPI HR'!$K$5:$K$304,'07E_KPI HR'!$A$5:$A$304,A8,'07E_KPI HR'!$B$5:$B$304,B8)+SUMIFS('07F_KPI Finance'!$K$5:$K$304,'07F_KPI Finance'!$A$5:$A$304,A8,'07F_KPI Finance'!$B$5:$B$304,B8)),0)</f>
        <v>0.86582809428158147</v>
      </c>
      <c r="D8" s="15">
        <f>'13_Setting'!$H$5</f>
        <v>0.85</v>
      </c>
      <c r="E8" s="1"/>
      <c r="F8" s="1"/>
      <c r="G8" s="1"/>
      <c r="H8" s="1"/>
      <c r="I8" s="1"/>
      <c r="J8" s="1"/>
      <c r="K8" s="1"/>
      <c r="L8" s="1"/>
      <c r="M8" s="1"/>
      <c r="N8" s="1"/>
      <c r="O8" s="1"/>
      <c r="P8" s="1"/>
      <c r="Q8" s="1"/>
      <c r="R8" s="1"/>
      <c r="S8" s="1"/>
      <c r="T8" s="1"/>
      <c r="U8" s="1"/>
      <c r="V8" s="1"/>
      <c r="W8" s="1"/>
      <c r="X8" s="1"/>
      <c r="Y8" s="1"/>
      <c r="Z8" s="1"/>
    </row>
    <row r="9" spans="1:26">
      <c r="A9" s="1" t="s">
        <v>40</v>
      </c>
      <c r="B9" s="1">
        <v>2026</v>
      </c>
      <c r="C9" s="15">
        <f>IFERROR((SUMIFS('07A_KPI Produksi'!$L$5:$L$304,'07A_KPI Produksi'!$A$5:$A$304,A9,'07A_KPI Produksi'!$B$5:$B$304,B9)+SUMIFS('07B_KPI Marketing'!$L$5:$L$304,'07B_KPI Marketing'!$A$5:$A$304,A9,'07B_KPI Marketing'!$B$5:$B$304,B9)+SUMIFS('07C_KPI Admin'!$L$5:$L$304,'07C_KPI Admin'!$A$5:$A$304,A9,'07C_KPI Admin'!$B$5:$B$304,B9)+SUMIFS('07D_KPI Design'!$L$5:$L$304,'07D_KPI Design'!$A$5:$A$304,A9,'07D_KPI Design'!$B$5:$B$304,B9)+SUMIFS('07E_KPI HR'!$L$5:$L$304,'07E_KPI HR'!$A$5:$A$304,A9,'07E_KPI HR'!$B$5:$B$304,B9)+SUMIFS('07F_KPI Finance'!$L$5:$L$304,'07F_KPI Finance'!$A$5:$A$304,A9,'07F_KPI Finance'!$B$5:$B$304,B9))/(SUMIFS('07A_KPI Produksi'!$K$5:$K$304,'07A_KPI Produksi'!$A$5:$A$304,A9,'07A_KPI Produksi'!$B$5:$B$304,B9)+SUMIFS('07B_KPI Marketing'!$K$5:$K$304,'07B_KPI Marketing'!$A$5:$A$304,A9,'07B_KPI Marketing'!$B$5:$B$304,B9)+SUMIFS('07C_KPI Admin'!$K$5:$K$304,'07C_KPI Admin'!$A$5:$A$304,A9,'07C_KPI Admin'!$B$5:$B$304,B9)+SUMIFS('07D_KPI Design'!$K$5:$K$304,'07D_KPI Design'!$A$5:$A$304,A9,'07D_KPI Design'!$B$5:$B$304,B9)+SUMIFS('07E_KPI HR'!$K$5:$K$304,'07E_KPI HR'!$A$5:$A$304,A9,'07E_KPI HR'!$B$5:$B$304,B9)+SUMIFS('07F_KPI Finance'!$K$5:$K$304,'07F_KPI Finance'!$A$5:$A$304,A9,'07F_KPI Finance'!$B$5:$B$304,B9)),0)</f>
        <v>0.85593202145661673</v>
      </c>
      <c r="D9" s="15">
        <f>'13_Setting'!$H$5</f>
        <v>0.85</v>
      </c>
      <c r="E9" s="1"/>
      <c r="F9" s="1"/>
      <c r="G9" s="1"/>
      <c r="H9" s="1"/>
      <c r="I9" s="1"/>
      <c r="J9" s="1"/>
      <c r="K9" s="1"/>
      <c r="L9" s="1"/>
      <c r="M9" s="1"/>
      <c r="N9" s="1"/>
      <c r="O9" s="1"/>
      <c r="P9" s="1"/>
      <c r="Q9" s="1"/>
      <c r="R9" s="1"/>
      <c r="S9" s="1"/>
      <c r="T9" s="1"/>
      <c r="U9" s="1"/>
      <c r="V9" s="1"/>
      <c r="W9" s="1"/>
      <c r="X9" s="1"/>
      <c r="Y9" s="1"/>
      <c r="Z9" s="1"/>
    </row>
    <row r="10" spans="1:26">
      <c r="A10" s="1" t="s">
        <v>196</v>
      </c>
      <c r="B10" s="1">
        <v>2026</v>
      </c>
      <c r="C10" s="15">
        <f>IFERROR((SUMIFS('07A_KPI Produksi'!$L$5:$L$304,'07A_KPI Produksi'!$A$5:$A$304,A10,'07A_KPI Produksi'!$B$5:$B$304,B10)+SUMIFS('07B_KPI Marketing'!$L$5:$L$304,'07B_KPI Marketing'!$A$5:$A$304,A10,'07B_KPI Marketing'!$B$5:$B$304,B10)+SUMIFS('07C_KPI Admin'!$L$5:$L$304,'07C_KPI Admin'!$A$5:$A$304,A10,'07C_KPI Admin'!$B$5:$B$304,B10)+SUMIFS('07D_KPI Design'!$L$5:$L$304,'07D_KPI Design'!$A$5:$A$304,A10,'07D_KPI Design'!$B$5:$B$304,B10)+SUMIFS('07E_KPI HR'!$L$5:$L$304,'07E_KPI HR'!$A$5:$A$304,A10,'07E_KPI HR'!$B$5:$B$304,B10)+SUMIFS('07F_KPI Finance'!$L$5:$L$304,'07F_KPI Finance'!$A$5:$A$304,A10,'07F_KPI Finance'!$B$5:$B$304,B10))/(SUMIFS('07A_KPI Produksi'!$K$5:$K$304,'07A_KPI Produksi'!$A$5:$A$304,A10,'07A_KPI Produksi'!$B$5:$B$304,B10)+SUMIFS('07B_KPI Marketing'!$K$5:$K$304,'07B_KPI Marketing'!$A$5:$A$304,A10,'07B_KPI Marketing'!$B$5:$B$304,B10)+SUMIFS('07C_KPI Admin'!$K$5:$K$304,'07C_KPI Admin'!$A$5:$A$304,A10,'07C_KPI Admin'!$B$5:$B$304,B10)+SUMIFS('07D_KPI Design'!$K$5:$K$304,'07D_KPI Design'!$A$5:$A$304,A10,'07D_KPI Design'!$B$5:$B$304,B10)+SUMIFS('07E_KPI HR'!$K$5:$K$304,'07E_KPI HR'!$A$5:$A$304,A10,'07E_KPI HR'!$B$5:$B$304,B10)+SUMIFS('07F_KPI Finance'!$K$5:$K$304,'07F_KPI Finance'!$A$5:$A$304,A10,'07F_KPI Finance'!$B$5:$B$304,B10)),0)</f>
        <v>0.88623345703462897</v>
      </c>
      <c r="D10" s="15">
        <f>'13_Setting'!$H$5</f>
        <v>0.85</v>
      </c>
      <c r="E10" s="1"/>
      <c r="F10" s="1"/>
      <c r="G10" s="1"/>
      <c r="H10" s="1"/>
      <c r="I10" s="1"/>
      <c r="J10" s="1"/>
      <c r="K10" s="1"/>
      <c r="L10" s="1"/>
      <c r="M10" s="1"/>
      <c r="N10" s="1"/>
      <c r="O10" s="1"/>
      <c r="P10" s="1"/>
      <c r="Q10" s="1"/>
      <c r="R10" s="1"/>
      <c r="S10" s="1"/>
      <c r="T10" s="1"/>
      <c r="U10" s="1"/>
      <c r="V10" s="1"/>
      <c r="W10" s="1"/>
      <c r="X10" s="1"/>
      <c r="Y10" s="1"/>
      <c r="Z10" s="1"/>
    </row>
    <row r="11" spans="1:26">
      <c r="A11" s="1" t="s">
        <v>197</v>
      </c>
      <c r="B11" s="1">
        <v>2026</v>
      </c>
      <c r="C11" s="15">
        <f>IFERROR((SUMIFS('07A_KPI Produksi'!$L$5:$L$304,'07A_KPI Produksi'!$A$5:$A$304,A11,'07A_KPI Produksi'!$B$5:$B$304,B11)+SUMIFS('07B_KPI Marketing'!$L$5:$L$304,'07B_KPI Marketing'!$A$5:$A$304,A11,'07B_KPI Marketing'!$B$5:$B$304,B11)+SUMIFS('07C_KPI Admin'!$L$5:$L$304,'07C_KPI Admin'!$A$5:$A$304,A11,'07C_KPI Admin'!$B$5:$B$304,B11)+SUMIFS('07D_KPI Design'!$L$5:$L$304,'07D_KPI Design'!$A$5:$A$304,A11,'07D_KPI Design'!$B$5:$B$304,B11)+SUMIFS('07E_KPI HR'!$L$5:$L$304,'07E_KPI HR'!$A$5:$A$304,A11,'07E_KPI HR'!$B$5:$B$304,B11)+SUMIFS('07F_KPI Finance'!$L$5:$L$304,'07F_KPI Finance'!$A$5:$A$304,A11,'07F_KPI Finance'!$B$5:$B$304,B11))/(SUMIFS('07A_KPI Produksi'!$K$5:$K$304,'07A_KPI Produksi'!$A$5:$A$304,A11,'07A_KPI Produksi'!$B$5:$B$304,B11)+SUMIFS('07B_KPI Marketing'!$K$5:$K$304,'07B_KPI Marketing'!$A$5:$A$304,A11,'07B_KPI Marketing'!$B$5:$B$304,B11)+SUMIFS('07C_KPI Admin'!$K$5:$K$304,'07C_KPI Admin'!$A$5:$A$304,A11,'07C_KPI Admin'!$B$5:$B$304,B11)+SUMIFS('07D_KPI Design'!$K$5:$K$304,'07D_KPI Design'!$A$5:$A$304,A11,'07D_KPI Design'!$B$5:$B$304,B11)+SUMIFS('07E_KPI HR'!$K$5:$K$304,'07E_KPI HR'!$A$5:$A$304,A11,'07E_KPI HR'!$B$5:$B$304,B11)+SUMIFS('07F_KPI Finance'!$K$5:$K$304,'07F_KPI Finance'!$A$5:$A$304,A11,'07F_KPI Finance'!$B$5:$B$304,B11)),0)</f>
        <v>0.90576910651369624</v>
      </c>
      <c r="D11" s="15">
        <f>'13_Setting'!$H$5</f>
        <v>0.85</v>
      </c>
      <c r="E11" s="1"/>
      <c r="F11" s="1"/>
      <c r="G11" s="1"/>
      <c r="H11" s="1"/>
      <c r="I11" s="1"/>
      <c r="J11" s="1"/>
      <c r="K11" s="1"/>
      <c r="L11" s="1"/>
      <c r="M11" s="1"/>
      <c r="N11" s="1"/>
      <c r="O11" s="1"/>
      <c r="P11" s="1"/>
      <c r="Q11" s="1"/>
      <c r="R11" s="1"/>
      <c r="S11" s="1"/>
      <c r="T11" s="1"/>
      <c r="U11" s="1"/>
      <c r="V11" s="1"/>
      <c r="W11" s="1"/>
      <c r="X11" s="1"/>
      <c r="Y11" s="1"/>
      <c r="Z11" s="1"/>
    </row>
    <row r="12" spans="1:26">
      <c r="A12" s="1" t="s">
        <v>3</v>
      </c>
      <c r="B12" s="1">
        <v>2026</v>
      </c>
      <c r="C12" s="15">
        <f>IFERROR((SUMIFS('07A_KPI Produksi'!$L$5:$L$304,'07A_KPI Produksi'!$A$5:$A$304,A12,'07A_KPI Produksi'!$B$5:$B$304,B12)+SUMIFS('07B_KPI Marketing'!$L$5:$L$304,'07B_KPI Marketing'!$A$5:$A$304,A12,'07B_KPI Marketing'!$B$5:$B$304,B12)+SUMIFS('07C_KPI Admin'!$L$5:$L$304,'07C_KPI Admin'!$A$5:$A$304,A12,'07C_KPI Admin'!$B$5:$B$304,B12)+SUMIFS('07D_KPI Design'!$L$5:$L$304,'07D_KPI Design'!$A$5:$A$304,A12,'07D_KPI Design'!$B$5:$B$304,B12)+SUMIFS('07E_KPI HR'!$L$5:$L$304,'07E_KPI HR'!$A$5:$A$304,A12,'07E_KPI HR'!$B$5:$B$304,B12)+SUMIFS('07F_KPI Finance'!$L$5:$L$304,'07F_KPI Finance'!$A$5:$A$304,A12,'07F_KPI Finance'!$B$5:$B$304,B12))/(SUMIFS('07A_KPI Produksi'!$K$5:$K$304,'07A_KPI Produksi'!$A$5:$A$304,A12,'07A_KPI Produksi'!$B$5:$B$304,B12)+SUMIFS('07B_KPI Marketing'!$K$5:$K$304,'07B_KPI Marketing'!$A$5:$A$304,A12,'07B_KPI Marketing'!$B$5:$B$304,B12)+SUMIFS('07C_KPI Admin'!$K$5:$K$304,'07C_KPI Admin'!$A$5:$A$304,A12,'07C_KPI Admin'!$B$5:$B$304,B12)+SUMIFS('07D_KPI Design'!$K$5:$K$304,'07D_KPI Design'!$A$5:$A$304,A12,'07D_KPI Design'!$B$5:$B$304,B12)+SUMIFS('07E_KPI HR'!$K$5:$K$304,'07E_KPI HR'!$A$5:$A$304,A12,'07E_KPI HR'!$B$5:$B$304,B12)+SUMIFS('07F_KPI Finance'!$K$5:$K$304,'07F_KPI Finance'!$A$5:$A$304,A12,'07F_KPI Finance'!$B$5:$B$304,B12)),0)</f>
        <v>0.87186788990878639</v>
      </c>
      <c r="D12" s="15">
        <f>'13_Setting'!$H$5</f>
        <v>0.85</v>
      </c>
      <c r="E12" s="1"/>
      <c r="F12" s="1"/>
      <c r="G12" s="1"/>
      <c r="H12" s="1"/>
      <c r="I12" s="1"/>
      <c r="J12" s="1"/>
      <c r="K12" s="1"/>
      <c r="L12" s="1"/>
      <c r="M12" s="1"/>
      <c r="N12" s="1"/>
      <c r="O12" s="1"/>
      <c r="P12" s="1"/>
      <c r="Q12" s="1"/>
      <c r="R12" s="1"/>
      <c r="S12" s="1"/>
      <c r="T12" s="1"/>
      <c r="U12" s="1"/>
      <c r="V12" s="1"/>
      <c r="W12" s="1"/>
      <c r="X12" s="1"/>
      <c r="Y12" s="1"/>
      <c r="Z12" s="1"/>
    </row>
    <row r="13" spans="1:26">
      <c r="A13" s="1" t="s">
        <v>198</v>
      </c>
      <c r="B13" s="1">
        <v>2026</v>
      </c>
      <c r="C13" s="15">
        <f>IFERROR((SUMIFS('07A_KPI Produksi'!$L$5:$L$304,'07A_KPI Produksi'!$A$5:$A$304,A13,'07A_KPI Produksi'!$B$5:$B$304,B13)+SUMIFS('07B_KPI Marketing'!$L$5:$L$304,'07B_KPI Marketing'!$A$5:$A$304,A13,'07B_KPI Marketing'!$B$5:$B$304,B13)+SUMIFS('07C_KPI Admin'!$L$5:$L$304,'07C_KPI Admin'!$A$5:$A$304,A13,'07C_KPI Admin'!$B$5:$B$304,B13)+SUMIFS('07D_KPI Design'!$L$5:$L$304,'07D_KPI Design'!$A$5:$A$304,A13,'07D_KPI Design'!$B$5:$B$304,B13)+SUMIFS('07E_KPI HR'!$L$5:$L$304,'07E_KPI HR'!$A$5:$A$304,A13,'07E_KPI HR'!$B$5:$B$304,B13)+SUMIFS('07F_KPI Finance'!$L$5:$L$304,'07F_KPI Finance'!$A$5:$A$304,A13,'07F_KPI Finance'!$B$5:$B$304,B13))/(SUMIFS('07A_KPI Produksi'!$K$5:$K$304,'07A_KPI Produksi'!$A$5:$A$304,A13,'07A_KPI Produksi'!$B$5:$B$304,B13)+SUMIFS('07B_KPI Marketing'!$K$5:$K$304,'07B_KPI Marketing'!$A$5:$A$304,A13,'07B_KPI Marketing'!$B$5:$B$304,B13)+SUMIFS('07C_KPI Admin'!$K$5:$K$304,'07C_KPI Admin'!$A$5:$A$304,A13,'07C_KPI Admin'!$B$5:$B$304,B13)+SUMIFS('07D_KPI Design'!$K$5:$K$304,'07D_KPI Design'!$A$5:$A$304,A13,'07D_KPI Design'!$B$5:$B$304,B13)+SUMIFS('07E_KPI HR'!$K$5:$K$304,'07E_KPI HR'!$A$5:$A$304,A13,'07E_KPI HR'!$B$5:$B$304,B13)+SUMIFS('07F_KPI Finance'!$K$5:$K$304,'07F_KPI Finance'!$A$5:$A$304,A13,'07F_KPI Finance'!$B$5:$B$304,B13)),0)</f>
        <v>0</v>
      </c>
      <c r="D13" s="15">
        <f>'13_Setting'!$H$5</f>
        <v>0.85</v>
      </c>
      <c r="E13" s="1"/>
      <c r="F13" s="1"/>
      <c r="G13" s="1"/>
      <c r="H13" s="1"/>
      <c r="I13" s="1"/>
      <c r="J13" s="1"/>
      <c r="K13" s="1"/>
      <c r="L13" s="1"/>
      <c r="M13" s="1"/>
      <c r="N13" s="1"/>
      <c r="O13" s="1"/>
      <c r="P13" s="1"/>
      <c r="Q13" s="1"/>
      <c r="R13" s="1"/>
      <c r="S13" s="1"/>
      <c r="T13" s="1"/>
      <c r="U13" s="1"/>
      <c r="V13" s="1"/>
      <c r="W13" s="1"/>
      <c r="X13" s="1"/>
      <c r="Y13" s="1"/>
      <c r="Z13" s="1"/>
    </row>
    <row r="14" spans="1:26">
      <c r="A14" s="1" t="s">
        <v>199</v>
      </c>
      <c r="B14" s="1">
        <v>2026</v>
      </c>
      <c r="C14" s="15">
        <f>IFERROR((SUMIFS('07A_KPI Produksi'!$L$5:$L$304,'07A_KPI Produksi'!$A$5:$A$304,A14,'07A_KPI Produksi'!$B$5:$B$304,B14)+SUMIFS('07B_KPI Marketing'!$L$5:$L$304,'07B_KPI Marketing'!$A$5:$A$304,A14,'07B_KPI Marketing'!$B$5:$B$304,B14)+SUMIFS('07C_KPI Admin'!$L$5:$L$304,'07C_KPI Admin'!$A$5:$A$304,A14,'07C_KPI Admin'!$B$5:$B$304,B14)+SUMIFS('07D_KPI Design'!$L$5:$L$304,'07D_KPI Design'!$A$5:$A$304,A14,'07D_KPI Design'!$B$5:$B$304,B14)+SUMIFS('07E_KPI HR'!$L$5:$L$304,'07E_KPI HR'!$A$5:$A$304,A14,'07E_KPI HR'!$B$5:$B$304,B14)+SUMIFS('07F_KPI Finance'!$L$5:$L$304,'07F_KPI Finance'!$A$5:$A$304,A14,'07F_KPI Finance'!$B$5:$B$304,B14))/(SUMIFS('07A_KPI Produksi'!$K$5:$K$304,'07A_KPI Produksi'!$A$5:$A$304,A14,'07A_KPI Produksi'!$B$5:$B$304,B14)+SUMIFS('07B_KPI Marketing'!$K$5:$K$304,'07B_KPI Marketing'!$A$5:$A$304,A14,'07B_KPI Marketing'!$B$5:$B$304,B14)+SUMIFS('07C_KPI Admin'!$K$5:$K$304,'07C_KPI Admin'!$A$5:$A$304,A14,'07C_KPI Admin'!$B$5:$B$304,B14)+SUMIFS('07D_KPI Design'!$K$5:$K$304,'07D_KPI Design'!$A$5:$A$304,A14,'07D_KPI Design'!$B$5:$B$304,B14)+SUMIFS('07E_KPI HR'!$K$5:$K$304,'07E_KPI HR'!$A$5:$A$304,A14,'07E_KPI HR'!$B$5:$B$304,B14)+SUMIFS('07F_KPI Finance'!$K$5:$K$304,'07F_KPI Finance'!$A$5:$A$304,A14,'07F_KPI Finance'!$B$5:$B$304,B14)),0)</f>
        <v>0</v>
      </c>
      <c r="D14" s="15">
        <f>'13_Setting'!$H$5</f>
        <v>0.85</v>
      </c>
      <c r="E14" s="1"/>
      <c r="F14" s="1"/>
      <c r="G14" s="1"/>
      <c r="H14" s="1"/>
      <c r="I14" s="1"/>
      <c r="J14" s="1"/>
      <c r="K14" s="1"/>
      <c r="L14" s="1"/>
      <c r="M14" s="1"/>
      <c r="N14" s="1"/>
      <c r="O14" s="1"/>
      <c r="P14" s="1"/>
      <c r="Q14" s="1"/>
      <c r="R14" s="1"/>
      <c r="S14" s="1"/>
      <c r="T14" s="1"/>
      <c r="U14" s="1"/>
      <c r="V14" s="1"/>
      <c r="W14" s="1"/>
      <c r="X14" s="1"/>
      <c r="Y14" s="1"/>
      <c r="Z14" s="1"/>
    </row>
    <row r="15" spans="1:26">
      <c r="A15" s="1" t="s">
        <v>200</v>
      </c>
      <c r="B15" s="1">
        <v>2026</v>
      </c>
      <c r="C15" s="15">
        <f>IFERROR((SUMIFS('07A_KPI Produksi'!$L$5:$L$304,'07A_KPI Produksi'!$A$5:$A$304,A15,'07A_KPI Produksi'!$B$5:$B$304,B15)+SUMIFS('07B_KPI Marketing'!$L$5:$L$304,'07B_KPI Marketing'!$A$5:$A$304,A15,'07B_KPI Marketing'!$B$5:$B$304,B15)+SUMIFS('07C_KPI Admin'!$L$5:$L$304,'07C_KPI Admin'!$A$5:$A$304,A15,'07C_KPI Admin'!$B$5:$B$304,B15)+SUMIFS('07D_KPI Design'!$L$5:$L$304,'07D_KPI Design'!$A$5:$A$304,A15,'07D_KPI Design'!$B$5:$B$304,B15)+SUMIFS('07E_KPI HR'!$L$5:$L$304,'07E_KPI HR'!$A$5:$A$304,A15,'07E_KPI HR'!$B$5:$B$304,B15)+SUMIFS('07F_KPI Finance'!$L$5:$L$304,'07F_KPI Finance'!$A$5:$A$304,A15,'07F_KPI Finance'!$B$5:$B$304,B15))/(SUMIFS('07A_KPI Produksi'!$K$5:$K$304,'07A_KPI Produksi'!$A$5:$A$304,A15,'07A_KPI Produksi'!$B$5:$B$304,B15)+SUMIFS('07B_KPI Marketing'!$K$5:$K$304,'07B_KPI Marketing'!$A$5:$A$304,A15,'07B_KPI Marketing'!$B$5:$B$304,B15)+SUMIFS('07C_KPI Admin'!$K$5:$K$304,'07C_KPI Admin'!$A$5:$A$304,A15,'07C_KPI Admin'!$B$5:$B$304,B15)+SUMIFS('07D_KPI Design'!$K$5:$K$304,'07D_KPI Design'!$A$5:$A$304,A15,'07D_KPI Design'!$B$5:$B$304,B15)+SUMIFS('07E_KPI HR'!$K$5:$K$304,'07E_KPI HR'!$A$5:$A$304,A15,'07E_KPI HR'!$B$5:$B$304,B15)+SUMIFS('07F_KPI Finance'!$K$5:$K$304,'07F_KPI Finance'!$A$5:$A$304,A15,'07F_KPI Finance'!$B$5:$B$304,B15)),0)</f>
        <v>0</v>
      </c>
      <c r="D15" s="15">
        <f>'13_Setting'!$H$5</f>
        <v>0.85</v>
      </c>
      <c r="E15" s="1"/>
      <c r="F15" s="1"/>
      <c r="G15" s="1"/>
      <c r="H15" s="1"/>
      <c r="I15" s="1"/>
      <c r="J15" s="1"/>
      <c r="K15" s="1"/>
      <c r="L15" s="1"/>
      <c r="M15" s="1"/>
      <c r="N15" s="1"/>
      <c r="O15" s="1"/>
      <c r="P15" s="1"/>
      <c r="Q15" s="1"/>
      <c r="R15" s="1"/>
      <c r="S15" s="1"/>
      <c r="T15" s="1"/>
      <c r="U15" s="1"/>
      <c r="V15" s="1"/>
      <c r="W15" s="1"/>
      <c r="X15" s="1"/>
      <c r="Y15" s="1"/>
      <c r="Z15" s="1"/>
    </row>
    <row r="16" spans="1:26">
      <c r="A16" s="1" t="s">
        <v>201</v>
      </c>
      <c r="B16" s="1">
        <v>2026</v>
      </c>
      <c r="C16" s="15">
        <f>IFERROR((SUMIFS('07A_KPI Produksi'!$L$5:$L$304,'07A_KPI Produksi'!$A$5:$A$304,A16,'07A_KPI Produksi'!$B$5:$B$304,B16)+SUMIFS('07B_KPI Marketing'!$L$5:$L$304,'07B_KPI Marketing'!$A$5:$A$304,A16,'07B_KPI Marketing'!$B$5:$B$304,B16)+SUMIFS('07C_KPI Admin'!$L$5:$L$304,'07C_KPI Admin'!$A$5:$A$304,A16,'07C_KPI Admin'!$B$5:$B$304,B16)+SUMIFS('07D_KPI Design'!$L$5:$L$304,'07D_KPI Design'!$A$5:$A$304,A16,'07D_KPI Design'!$B$5:$B$304,B16)+SUMIFS('07E_KPI HR'!$L$5:$L$304,'07E_KPI HR'!$A$5:$A$304,A16,'07E_KPI HR'!$B$5:$B$304,B16)+SUMIFS('07F_KPI Finance'!$L$5:$L$304,'07F_KPI Finance'!$A$5:$A$304,A16,'07F_KPI Finance'!$B$5:$B$304,B16))/(SUMIFS('07A_KPI Produksi'!$K$5:$K$304,'07A_KPI Produksi'!$A$5:$A$304,A16,'07A_KPI Produksi'!$B$5:$B$304,B16)+SUMIFS('07B_KPI Marketing'!$K$5:$K$304,'07B_KPI Marketing'!$A$5:$A$304,A16,'07B_KPI Marketing'!$B$5:$B$304,B16)+SUMIFS('07C_KPI Admin'!$K$5:$K$304,'07C_KPI Admin'!$A$5:$A$304,A16,'07C_KPI Admin'!$B$5:$B$304,B16)+SUMIFS('07D_KPI Design'!$K$5:$K$304,'07D_KPI Design'!$A$5:$A$304,A16,'07D_KPI Design'!$B$5:$B$304,B16)+SUMIFS('07E_KPI HR'!$K$5:$K$304,'07E_KPI HR'!$A$5:$A$304,A16,'07E_KPI HR'!$B$5:$B$304,B16)+SUMIFS('07F_KPI Finance'!$K$5:$K$304,'07F_KPI Finance'!$A$5:$A$304,A16,'07F_KPI Finance'!$B$5:$B$304,B16)),0)</f>
        <v>0</v>
      </c>
      <c r="D16" s="15">
        <f>'13_Setting'!$H$5</f>
        <v>0.85</v>
      </c>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G1"/>
    <mergeCell ref="A2:G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Z80"/>
  <sheetViews>
    <sheetView showGridLines="0" workbookViewId="0"/>
  </sheetViews>
  <sheetFormatPr defaultRowHeight="13.8"/>
  <cols>
    <col min="1" max="1" width="12" customWidth="1"/>
    <col min="2" max="3" width="18" customWidth="1"/>
    <col min="4" max="5" width="38" customWidth="1"/>
  </cols>
  <sheetData>
    <row r="1" spans="1:26" ht="34.049999999999997" customHeight="1">
      <c r="A1" s="55" t="s">
        <v>227</v>
      </c>
      <c r="B1" s="55" t="s">
        <v>227</v>
      </c>
      <c r="C1" s="55" t="s">
        <v>227</v>
      </c>
      <c r="D1" s="55" t="s">
        <v>227</v>
      </c>
      <c r="E1" s="55" t="s">
        <v>227</v>
      </c>
      <c r="F1" s="55" t="s">
        <v>227</v>
      </c>
      <c r="G1" s="55" t="s">
        <v>227</v>
      </c>
      <c r="H1" s="55" t="s">
        <v>227</v>
      </c>
      <c r="I1" s="1"/>
      <c r="J1" s="1"/>
      <c r="K1" s="1"/>
      <c r="L1" s="1"/>
      <c r="M1" s="1"/>
      <c r="N1" s="1"/>
      <c r="O1" s="1"/>
      <c r="P1" s="1"/>
      <c r="Q1" s="1"/>
      <c r="R1" s="1"/>
      <c r="S1" s="1"/>
      <c r="T1" s="1"/>
      <c r="U1" s="1"/>
      <c r="V1" s="1"/>
      <c r="W1" s="1"/>
      <c r="X1" s="1"/>
      <c r="Y1" s="1"/>
      <c r="Z1" s="1"/>
    </row>
    <row r="2" spans="1:26" ht="24" customHeight="1">
      <c r="A2" s="56" t="s">
        <v>228</v>
      </c>
      <c r="B2" s="56" t="s">
        <v>228</v>
      </c>
      <c r="C2" s="56" t="s">
        <v>228</v>
      </c>
      <c r="D2" s="56" t="s">
        <v>228</v>
      </c>
      <c r="E2" s="56" t="s">
        <v>228</v>
      </c>
      <c r="F2" s="56" t="s">
        <v>228</v>
      </c>
      <c r="G2" s="56" t="s">
        <v>228</v>
      </c>
      <c r="H2" s="56" t="s">
        <v>228</v>
      </c>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18</v>
      </c>
      <c r="B4" s="6" t="s">
        <v>229</v>
      </c>
      <c r="C4" s="6" t="s">
        <v>221</v>
      </c>
      <c r="D4" s="6" t="s">
        <v>230</v>
      </c>
      <c r="E4" s="3" t="s">
        <v>210</v>
      </c>
      <c r="F4" s="1"/>
      <c r="G4" s="1"/>
      <c r="H4" s="1"/>
      <c r="I4" s="1"/>
      <c r="J4" s="1"/>
      <c r="K4" s="1"/>
      <c r="L4" s="1"/>
      <c r="M4" s="1"/>
      <c r="N4" s="1"/>
      <c r="O4" s="1"/>
      <c r="P4" s="1"/>
      <c r="Q4" s="1"/>
      <c r="R4" s="1"/>
      <c r="S4" s="1"/>
      <c r="T4" s="1"/>
      <c r="U4" s="1"/>
      <c r="V4" s="1"/>
      <c r="W4" s="1"/>
      <c r="X4" s="1"/>
      <c r="Y4" s="1"/>
      <c r="Z4" s="1"/>
    </row>
    <row r="5" spans="1:26">
      <c r="A5" s="42" t="s">
        <v>21</v>
      </c>
      <c r="B5" s="42" t="s">
        <v>231</v>
      </c>
      <c r="C5" s="42" t="s">
        <v>232</v>
      </c>
      <c r="D5" s="42" t="s">
        <v>233</v>
      </c>
      <c r="E5" s="42" t="s">
        <v>234</v>
      </c>
      <c r="F5" s="1"/>
      <c r="G5" s="1"/>
      <c r="H5" s="1"/>
      <c r="I5" s="1"/>
      <c r="J5" s="1"/>
      <c r="K5" s="1"/>
      <c r="L5" s="1"/>
      <c r="M5" s="1"/>
      <c r="N5" s="1"/>
      <c r="O5" s="1"/>
      <c r="P5" s="1"/>
      <c r="Q5" s="1"/>
      <c r="R5" s="1"/>
      <c r="S5" s="1"/>
      <c r="T5" s="1"/>
      <c r="U5" s="1"/>
      <c r="V5" s="1"/>
      <c r="W5" s="1"/>
      <c r="X5" s="1"/>
      <c r="Y5" s="1"/>
      <c r="Z5" s="1"/>
    </row>
    <row r="6" spans="1:26">
      <c r="A6" s="43" t="s">
        <v>23</v>
      </c>
      <c r="B6" s="43" t="s">
        <v>235</v>
      </c>
      <c r="C6" s="43" t="s">
        <v>236</v>
      </c>
      <c r="D6" s="43" t="s">
        <v>237</v>
      </c>
      <c r="E6" s="43" t="s">
        <v>238</v>
      </c>
      <c r="F6" s="1"/>
      <c r="G6" s="1"/>
      <c r="H6" s="1"/>
      <c r="I6" s="1"/>
      <c r="J6" s="1"/>
      <c r="K6" s="1"/>
      <c r="L6" s="1"/>
      <c r="M6" s="1"/>
      <c r="N6" s="1"/>
      <c r="O6" s="1"/>
      <c r="P6" s="1"/>
      <c r="Q6" s="1"/>
      <c r="R6" s="1"/>
      <c r="S6" s="1"/>
      <c r="T6" s="1"/>
      <c r="U6" s="1"/>
      <c r="V6" s="1"/>
      <c r="W6" s="1"/>
      <c r="X6" s="1"/>
      <c r="Y6" s="1"/>
      <c r="Z6" s="1"/>
    </row>
    <row r="7" spans="1:26">
      <c r="A7" s="43" t="s">
        <v>25</v>
      </c>
      <c r="B7" s="43" t="s">
        <v>239</v>
      </c>
      <c r="C7" s="43" t="s">
        <v>240</v>
      </c>
      <c r="D7" s="43" t="s">
        <v>241</v>
      </c>
      <c r="E7" s="43" t="s">
        <v>242</v>
      </c>
      <c r="F7" s="1"/>
      <c r="G7" s="1"/>
      <c r="H7" s="1"/>
      <c r="I7" s="1"/>
      <c r="J7" s="1"/>
      <c r="K7" s="1"/>
      <c r="L7" s="1"/>
      <c r="M7" s="1"/>
      <c r="N7" s="1"/>
      <c r="O7" s="1"/>
      <c r="P7" s="1"/>
      <c r="Q7" s="1"/>
      <c r="R7" s="1"/>
      <c r="S7" s="1"/>
      <c r="T7" s="1"/>
      <c r="U7" s="1"/>
      <c r="V7" s="1"/>
      <c r="W7" s="1"/>
      <c r="X7" s="1"/>
      <c r="Y7" s="1"/>
      <c r="Z7" s="1"/>
    </row>
    <row r="8" spans="1:26">
      <c r="A8" s="43" t="s">
        <v>27</v>
      </c>
      <c r="B8" s="43" t="s">
        <v>243</v>
      </c>
      <c r="C8" s="43" t="s">
        <v>244</v>
      </c>
      <c r="D8" s="43" t="s">
        <v>245</v>
      </c>
      <c r="E8" s="43" t="s">
        <v>246</v>
      </c>
      <c r="F8" s="1"/>
      <c r="G8" s="1"/>
      <c r="H8" s="1"/>
      <c r="I8" s="1"/>
      <c r="J8" s="1"/>
      <c r="K8" s="1"/>
      <c r="L8" s="1"/>
      <c r="M8" s="1"/>
      <c r="N8" s="1"/>
      <c r="O8" s="1"/>
      <c r="P8" s="1"/>
      <c r="Q8" s="1"/>
      <c r="R8" s="1"/>
      <c r="S8" s="1"/>
      <c r="T8" s="1"/>
      <c r="U8" s="1"/>
      <c r="V8" s="1"/>
      <c r="W8" s="1"/>
      <c r="X8" s="1"/>
      <c r="Y8" s="1"/>
      <c r="Z8" s="1"/>
    </row>
    <row r="9" spans="1:26">
      <c r="A9" s="44" t="s">
        <v>29</v>
      </c>
      <c r="B9" s="44" t="s">
        <v>247</v>
      </c>
      <c r="C9" s="44" t="s">
        <v>244</v>
      </c>
      <c r="D9" s="44" t="s">
        <v>248</v>
      </c>
      <c r="E9" s="44" t="s">
        <v>249</v>
      </c>
      <c r="F9" s="1"/>
      <c r="G9" s="1"/>
      <c r="H9" s="1"/>
      <c r="I9" s="1"/>
      <c r="J9" s="1"/>
      <c r="K9" s="1"/>
      <c r="L9" s="1"/>
      <c r="M9" s="1"/>
      <c r="N9" s="1"/>
      <c r="O9" s="1"/>
      <c r="P9" s="1"/>
      <c r="Q9" s="1"/>
      <c r="R9" s="1"/>
      <c r="S9" s="1"/>
      <c r="T9" s="1"/>
      <c r="U9" s="1"/>
      <c r="V9" s="1"/>
      <c r="W9" s="1"/>
      <c r="X9" s="1"/>
      <c r="Y9" s="1"/>
      <c r="Z9" s="1"/>
    </row>
    <row r="10" spans="1:26">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2">
    <mergeCell ref="A1:H1"/>
    <mergeCell ref="A2:H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Z80"/>
  <sheetViews>
    <sheetView showGridLines="0" workbookViewId="0"/>
  </sheetViews>
  <sheetFormatPr defaultRowHeight="13.8"/>
  <cols>
    <col min="1" max="1" width="16" customWidth="1"/>
    <col min="2" max="2" width="30" customWidth="1"/>
    <col min="3" max="4" width="15" customWidth="1"/>
    <col min="5" max="16" width="14" customWidth="1"/>
  </cols>
  <sheetData>
    <row r="1" spans="1:26" ht="34.049999999999997" customHeight="1">
      <c r="A1" s="55" t="s">
        <v>250</v>
      </c>
      <c r="B1" s="55" t="s">
        <v>250</v>
      </c>
      <c r="C1" s="55" t="s">
        <v>250</v>
      </c>
      <c r="D1" s="55" t="s">
        <v>250</v>
      </c>
      <c r="E1" s="55" t="s">
        <v>250</v>
      </c>
      <c r="F1" s="55" t="s">
        <v>250</v>
      </c>
      <c r="G1" s="55" t="s">
        <v>250</v>
      </c>
      <c r="H1" s="55" t="s">
        <v>250</v>
      </c>
      <c r="I1" s="55" t="s">
        <v>250</v>
      </c>
      <c r="J1" s="55" t="s">
        <v>250</v>
      </c>
      <c r="K1" s="55" t="s">
        <v>250</v>
      </c>
      <c r="L1" s="55" t="s">
        <v>250</v>
      </c>
      <c r="M1" s="55" t="s">
        <v>250</v>
      </c>
      <c r="N1" s="55" t="s">
        <v>250</v>
      </c>
      <c r="O1" s="55" t="s">
        <v>250</v>
      </c>
      <c r="P1" s="55" t="s">
        <v>250</v>
      </c>
      <c r="Q1" s="1"/>
      <c r="R1" s="1"/>
      <c r="S1" s="1"/>
      <c r="T1" s="1"/>
      <c r="U1" s="1"/>
      <c r="V1" s="1"/>
      <c r="W1" s="1"/>
      <c r="X1" s="1"/>
      <c r="Y1" s="1"/>
      <c r="Z1" s="1"/>
    </row>
    <row r="2" spans="1:26" ht="24" customHeight="1">
      <c r="A2" s="56" t="s">
        <v>251</v>
      </c>
      <c r="B2" s="56" t="s">
        <v>251</v>
      </c>
      <c r="C2" s="56" t="s">
        <v>251</v>
      </c>
      <c r="D2" s="56" t="s">
        <v>251</v>
      </c>
      <c r="E2" s="56" t="s">
        <v>251</v>
      </c>
      <c r="F2" s="56" t="s">
        <v>251</v>
      </c>
      <c r="G2" s="56" t="s">
        <v>251</v>
      </c>
      <c r="H2" s="56" t="s">
        <v>251</v>
      </c>
      <c r="I2" s="56" t="s">
        <v>251</v>
      </c>
      <c r="J2" s="56" t="s">
        <v>251</v>
      </c>
      <c r="K2" s="56" t="s">
        <v>251</v>
      </c>
      <c r="L2" s="56" t="s">
        <v>251</v>
      </c>
      <c r="M2" s="56" t="s">
        <v>251</v>
      </c>
      <c r="N2" s="56" t="s">
        <v>251</v>
      </c>
      <c r="O2" s="56" t="s">
        <v>251</v>
      </c>
      <c r="P2" s="56" t="s">
        <v>251</v>
      </c>
      <c r="Q2" s="1"/>
      <c r="R2" s="1"/>
      <c r="S2" s="1"/>
      <c r="T2" s="1"/>
      <c r="U2" s="1"/>
      <c r="V2" s="1"/>
      <c r="W2" s="1"/>
      <c r="X2" s="1"/>
      <c r="Y2" s="1"/>
      <c r="Z2" s="1"/>
    </row>
    <row r="3" spans="1:26">
      <c r="A3" s="81" t="s">
        <v>252</v>
      </c>
      <c r="B3" s="81" t="s">
        <v>252</v>
      </c>
      <c r="C3" s="81" t="s">
        <v>252</v>
      </c>
      <c r="D3" s="81" t="s">
        <v>252</v>
      </c>
      <c r="E3" s="1"/>
      <c r="F3" s="88" t="s">
        <v>8</v>
      </c>
      <c r="G3" s="88" t="s">
        <v>8</v>
      </c>
      <c r="H3" s="88" t="s">
        <v>8</v>
      </c>
      <c r="I3" s="88" t="s">
        <v>8</v>
      </c>
      <c r="J3" s="1"/>
      <c r="K3" s="89" t="s">
        <v>253</v>
      </c>
      <c r="L3" s="89" t="s">
        <v>253</v>
      </c>
      <c r="M3" s="89" t="s">
        <v>253</v>
      </c>
      <c r="N3" s="89" t="s">
        <v>253</v>
      </c>
      <c r="O3" s="1"/>
      <c r="P3" s="1"/>
      <c r="Q3" s="1"/>
      <c r="R3" s="1"/>
      <c r="S3" s="1"/>
      <c r="T3" s="1"/>
      <c r="U3" s="1"/>
      <c r="V3" s="1"/>
      <c r="W3" s="1"/>
      <c r="X3" s="1"/>
      <c r="Y3" s="1"/>
      <c r="Z3" s="1"/>
    </row>
    <row r="4" spans="1:26">
      <c r="A4" s="82" t="str">
        <f>'01_Dashboard'!$B$3&amp;" "&amp;'01_Dashboard'!$D$3</f>
        <v>Agustus 2026</v>
      </c>
      <c r="B4" s="83"/>
      <c r="C4" s="83"/>
      <c r="D4" s="84"/>
      <c r="E4" s="1"/>
      <c r="F4" s="58">
        <f>'01_Dashboard'!A7</f>
        <v>0.87186788990878639</v>
      </c>
      <c r="G4" s="59"/>
      <c r="H4" s="59"/>
      <c r="I4" s="60"/>
      <c r="J4" s="1"/>
      <c r="K4" s="90">
        <f>COUNTIF('09_Rekap Divisi'!$D$5:$D$10,"Perlu Aksi")</f>
        <v>2</v>
      </c>
      <c r="L4" s="91"/>
      <c r="M4" s="91"/>
      <c r="N4" s="92"/>
      <c r="O4" s="1"/>
      <c r="P4" s="1"/>
      <c r="Q4" s="1"/>
      <c r="R4" s="1"/>
      <c r="S4" s="1"/>
      <c r="T4" s="1"/>
      <c r="U4" s="1"/>
      <c r="V4" s="1"/>
      <c r="W4" s="1"/>
      <c r="X4" s="1"/>
      <c r="Y4" s="1"/>
      <c r="Z4" s="1"/>
    </row>
    <row r="5" spans="1:26">
      <c r="A5" s="85"/>
      <c r="B5" s="86"/>
      <c r="C5" s="86"/>
      <c r="D5" s="87"/>
      <c r="E5" s="1"/>
      <c r="F5" s="64"/>
      <c r="G5" s="65"/>
      <c r="H5" s="65"/>
      <c r="I5" s="66"/>
      <c r="J5" s="1"/>
      <c r="K5" s="93"/>
      <c r="L5" s="94"/>
      <c r="M5" s="94"/>
      <c r="N5" s="95"/>
      <c r="O5" s="1"/>
      <c r="P5" s="1"/>
      <c r="Q5" s="1"/>
      <c r="R5" s="1"/>
      <c r="S5" s="1"/>
      <c r="T5" s="1"/>
      <c r="U5" s="1"/>
      <c r="V5" s="1"/>
      <c r="W5" s="1"/>
      <c r="X5" s="1"/>
      <c r="Y5" s="1"/>
      <c r="Z5" s="1"/>
    </row>
    <row r="6" spans="1:26">
      <c r="A6" s="1"/>
      <c r="B6" s="1"/>
      <c r="C6" s="1"/>
      <c r="D6" s="1"/>
      <c r="E6" s="1"/>
      <c r="F6" s="1"/>
      <c r="G6" s="1"/>
      <c r="H6" s="1"/>
      <c r="I6" s="1"/>
      <c r="J6" s="1"/>
      <c r="K6" s="1"/>
      <c r="L6" s="1"/>
      <c r="M6" s="1"/>
      <c r="N6" s="1"/>
      <c r="O6" s="1"/>
      <c r="P6" s="1"/>
      <c r="Q6" s="1"/>
      <c r="R6" s="1"/>
      <c r="S6" s="1"/>
      <c r="T6" s="1"/>
      <c r="U6" s="1"/>
      <c r="V6" s="1"/>
      <c r="W6" s="1"/>
      <c r="X6" s="1"/>
      <c r="Y6" s="1"/>
      <c r="Z6" s="1"/>
    </row>
    <row r="7" spans="1:26">
      <c r="A7" s="1"/>
      <c r="B7" s="1"/>
      <c r="C7" s="1"/>
      <c r="D7" s="1"/>
      <c r="E7" s="1"/>
      <c r="F7" s="1"/>
      <c r="G7" s="1"/>
      <c r="H7" s="1"/>
      <c r="I7" s="1"/>
      <c r="J7" s="1"/>
      <c r="K7" s="1"/>
      <c r="L7" s="1"/>
      <c r="M7" s="1"/>
      <c r="N7" s="1"/>
      <c r="O7" s="1"/>
      <c r="P7" s="1"/>
      <c r="Q7" s="1"/>
      <c r="R7" s="1"/>
      <c r="S7" s="1"/>
      <c r="T7" s="1"/>
      <c r="U7" s="1"/>
      <c r="V7" s="1"/>
      <c r="W7" s="1"/>
      <c r="X7" s="1"/>
      <c r="Y7" s="1"/>
      <c r="Z7" s="1"/>
    </row>
    <row r="8" spans="1:26" ht="25.05" customHeight="1">
      <c r="A8" s="52" t="s">
        <v>254</v>
      </c>
      <c r="B8" s="53" t="s">
        <v>254</v>
      </c>
      <c r="C8" s="53" t="s">
        <v>254</v>
      </c>
      <c r="D8" s="53" t="s">
        <v>254</v>
      </c>
      <c r="E8" s="53" t="s">
        <v>254</v>
      </c>
      <c r="F8" s="53" t="s">
        <v>254</v>
      </c>
      <c r="G8" s="54" t="s">
        <v>254</v>
      </c>
      <c r="H8" s="1"/>
      <c r="I8" s="1"/>
      <c r="J8" s="1"/>
      <c r="K8" s="1"/>
      <c r="L8" s="1"/>
      <c r="M8" s="1"/>
      <c r="N8" s="1"/>
      <c r="O8" s="1"/>
      <c r="P8" s="1"/>
      <c r="Q8" s="1"/>
      <c r="R8" s="1"/>
      <c r="S8" s="1"/>
      <c r="T8" s="1"/>
      <c r="U8" s="1"/>
      <c r="V8" s="1"/>
      <c r="W8" s="1"/>
      <c r="X8" s="1"/>
      <c r="Y8" s="1"/>
      <c r="Z8" s="1"/>
    </row>
    <row r="9" spans="1:26" ht="28.05" customHeight="1">
      <c r="A9" s="2" t="s">
        <v>15</v>
      </c>
      <c r="B9" s="6" t="s">
        <v>17</v>
      </c>
      <c r="C9" s="6" t="s">
        <v>16</v>
      </c>
      <c r="D9" s="3" t="s">
        <v>255</v>
      </c>
      <c r="E9" s="1"/>
      <c r="F9" s="1"/>
      <c r="G9" s="1"/>
      <c r="H9" s="1"/>
      <c r="I9" s="1"/>
      <c r="J9" s="1"/>
      <c r="K9" s="1"/>
      <c r="L9" s="1"/>
      <c r="M9" s="1"/>
      <c r="N9" s="1"/>
      <c r="O9" s="1"/>
      <c r="P9" s="1"/>
      <c r="Q9" s="1"/>
      <c r="R9" s="1"/>
      <c r="S9" s="1"/>
      <c r="T9" s="1"/>
      <c r="U9" s="1"/>
      <c r="V9" s="1"/>
      <c r="W9" s="1"/>
      <c r="X9" s="1"/>
      <c r="Y9" s="1"/>
      <c r="Z9" s="1"/>
    </row>
    <row r="10" spans="1:26">
      <c r="A10" s="1" t="s">
        <v>20</v>
      </c>
      <c r="B10" s="15">
        <f>'09_Rekap Divisi'!B5</f>
        <v>0.88661917293233072</v>
      </c>
      <c r="C10" s="15">
        <f>'09_Rekap Divisi'!C5</f>
        <v>0.85</v>
      </c>
      <c r="D10" s="15">
        <f t="shared" ref="D10:D15" si="0">B10-C10</f>
        <v>3.6619172932330746E-2</v>
      </c>
      <c r="E10" s="1"/>
      <c r="F10" s="1"/>
      <c r="G10" s="1"/>
      <c r="H10" s="1"/>
      <c r="I10" s="1"/>
      <c r="J10" s="1"/>
      <c r="K10" s="1"/>
      <c r="L10" s="1"/>
      <c r="M10" s="1"/>
      <c r="N10" s="1"/>
      <c r="O10" s="1"/>
      <c r="P10" s="1"/>
      <c r="Q10" s="1"/>
      <c r="R10" s="1"/>
      <c r="S10" s="1"/>
      <c r="T10" s="1"/>
      <c r="U10" s="1"/>
      <c r="V10" s="1"/>
      <c r="W10" s="1"/>
      <c r="X10" s="1"/>
      <c r="Y10" s="1"/>
      <c r="Z10" s="1"/>
    </row>
    <row r="11" spans="1:26">
      <c r="A11" s="1" t="s">
        <v>22</v>
      </c>
      <c r="B11" s="15">
        <f>'09_Rekap Divisi'!B6</f>
        <v>0.87285000000000013</v>
      </c>
      <c r="C11" s="15">
        <f>'09_Rekap Divisi'!C6</f>
        <v>0.85</v>
      </c>
      <c r="D11" s="15">
        <f t="shared" si="0"/>
        <v>2.2850000000000148E-2</v>
      </c>
      <c r="E11" s="1"/>
      <c r="F11" s="1"/>
      <c r="G11" s="1"/>
      <c r="H11" s="1"/>
      <c r="I11" s="1"/>
      <c r="J11" s="1"/>
      <c r="K11" s="1"/>
      <c r="L11" s="1"/>
      <c r="M11" s="1"/>
      <c r="N11" s="1"/>
      <c r="O11" s="1"/>
      <c r="P11" s="1"/>
      <c r="Q11" s="1"/>
      <c r="R11" s="1"/>
      <c r="S11" s="1"/>
      <c r="T11" s="1"/>
      <c r="U11" s="1"/>
      <c r="V11" s="1"/>
      <c r="W11" s="1"/>
      <c r="X11" s="1"/>
      <c r="Y11" s="1"/>
      <c r="Z11" s="1"/>
    </row>
    <row r="12" spans="1:26">
      <c r="A12" s="1" t="s">
        <v>24</v>
      </c>
      <c r="B12" s="15">
        <f>'09_Rekap Divisi'!B7</f>
        <v>0.86655967295459135</v>
      </c>
      <c r="C12" s="15">
        <f>'09_Rekap Divisi'!C7</f>
        <v>0.85</v>
      </c>
      <c r="D12" s="15">
        <f t="shared" si="0"/>
        <v>1.6559672954591376E-2</v>
      </c>
      <c r="E12" s="1"/>
      <c r="F12" s="1"/>
      <c r="G12" s="1"/>
      <c r="H12" s="1"/>
      <c r="I12" s="1"/>
      <c r="J12" s="1"/>
      <c r="K12" s="1"/>
      <c r="L12" s="1"/>
      <c r="M12" s="1"/>
      <c r="N12" s="1"/>
      <c r="O12" s="1"/>
      <c r="P12" s="1"/>
      <c r="Q12" s="1"/>
      <c r="R12" s="1"/>
      <c r="S12" s="1"/>
      <c r="T12" s="1"/>
      <c r="U12" s="1"/>
      <c r="V12" s="1"/>
      <c r="W12" s="1"/>
      <c r="X12" s="1"/>
      <c r="Y12" s="1"/>
      <c r="Z12" s="1"/>
    </row>
    <row r="13" spans="1:26">
      <c r="A13" s="1" t="s">
        <v>26</v>
      </c>
      <c r="B13" s="15">
        <f>'09_Rekap Divisi'!B8</f>
        <v>0.84052982456140357</v>
      </c>
      <c r="C13" s="15">
        <f>'09_Rekap Divisi'!C8</f>
        <v>0.85</v>
      </c>
      <c r="D13" s="15">
        <f t="shared" si="0"/>
        <v>-9.4701754385964065E-3</v>
      </c>
      <c r="E13" s="1"/>
      <c r="F13" s="1"/>
      <c r="G13" s="1"/>
      <c r="H13" s="1"/>
      <c r="I13" s="1"/>
      <c r="J13" s="1"/>
      <c r="K13" s="1"/>
      <c r="L13" s="1"/>
      <c r="M13" s="1"/>
      <c r="N13" s="1"/>
      <c r="O13" s="1"/>
      <c r="P13" s="1"/>
      <c r="Q13" s="1"/>
      <c r="R13" s="1"/>
      <c r="S13" s="1"/>
      <c r="T13" s="1"/>
      <c r="U13" s="1"/>
      <c r="V13" s="1"/>
      <c r="W13" s="1"/>
      <c r="X13" s="1"/>
      <c r="Y13" s="1"/>
      <c r="Z13" s="1"/>
    </row>
    <row r="14" spans="1:26">
      <c r="A14" s="1" t="s">
        <v>28</v>
      </c>
      <c r="B14" s="15">
        <f>'09_Rekap Divisi'!B9</f>
        <v>0.91795555555555541</v>
      </c>
      <c r="C14" s="15">
        <f>'09_Rekap Divisi'!C9</f>
        <v>0.85</v>
      </c>
      <c r="D14" s="15">
        <f t="shared" si="0"/>
        <v>6.7955555555555436E-2</v>
      </c>
      <c r="E14" s="1"/>
      <c r="F14" s="1"/>
      <c r="G14" s="1"/>
      <c r="H14" s="1"/>
      <c r="I14" s="1"/>
      <c r="J14" s="1"/>
      <c r="K14" s="1"/>
      <c r="L14" s="1"/>
      <c r="M14" s="1"/>
      <c r="N14" s="1"/>
      <c r="O14" s="1"/>
      <c r="P14" s="1"/>
      <c r="Q14" s="1"/>
      <c r="R14" s="1"/>
      <c r="S14" s="1"/>
      <c r="T14" s="1"/>
      <c r="U14" s="1"/>
      <c r="V14" s="1"/>
      <c r="W14" s="1"/>
      <c r="X14" s="1"/>
      <c r="Y14" s="1"/>
      <c r="Z14" s="1"/>
    </row>
    <row r="15" spans="1:26">
      <c r="A15" s="1" t="s">
        <v>30</v>
      </c>
      <c r="B15" s="15">
        <f>'09_Rekap Divisi'!B10</f>
        <v>0.84374678317519525</v>
      </c>
      <c r="C15" s="15">
        <f>'09_Rekap Divisi'!C10</f>
        <v>0.85</v>
      </c>
      <c r="D15" s="15">
        <f t="shared" si="0"/>
        <v>-6.2532168248047304E-3</v>
      </c>
      <c r="E15" s="1"/>
      <c r="F15" s="1"/>
      <c r="G15" s="1"/>
      <c r="H15" s="1"/>
      <c r="I15" s="1"/>
      <c r="J15" s="1"/>
      <c r="K15" s="1"/>
      <c r="L15" s="1"/>
      <c r="M15" s="1"/>
      <c r="N15" s="1"/>
      <c r="O15" s="1"/>
      <c r="P15" s="1"/>
      <c r="Q15" s="1"/>
      <c r="R15" s="1"/>
      <c r="S15" s="1"/>
      <c r="T15" s="1"/>
      <c r="U15" s="1"/>
      <c r="V15" s="1"/>
      <c r="W15" s="1"/>
      <c r="X15" s="1"/>
      <c r="Y15" s="1"/>
      <c r="Z15" s="1"/>
    </row>
    <row r="16" spans="1:26">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25.05" customHeight="1">
      <c r="A20" s="52" t="s">
        <v>256</v>
      </c>
      <c r="B20" s="53" t="s">
        <v>256</v>
      </c>
      <c r="C20" s="53" t="s">
        <v>256</v>
      </c>
      <c r="D20" s="53" t="s">
        <v>256</v>
      </c>
      <c r="E20" s="53" t="s">
        <v>256</v>
      </c>
      <c r="F20" s="53" t="s">
        <v>256</v>
      </c>
      <c r="G20" s="54" t="s">
        <v>256</v>
      </c>
      <c r="H20" s="1"/>
      <c r="I20" s="52" t="s">
        <v>257</v>
      </c>
      <c r="J20" s="53" t="s">
        <v>257</v>
      </c>
      <c r="K20" s="53" t="s">
        <v>257</v>
      </c>
      <c r="L20" s="53" t="s">
        <v>257</v>
      </c>
      <c r="M20" s="53" t="s">
        <v>257</v>
      </c>
      <c r="N20" s="53" t="s">
        <v>257</v>
      </c>
      <c r="O20" s="53" t="s">
        <v>257</v>
      </c>
      <c r="P20" s="54" t="s">
        <v>257</v>
      </c>
      <c r="Q20" s="1"/>
      <c r="R20" s="1"/>
      <c r="S20" s="1"/>
      <c r="T20" s="1"/>
      <c r="U20" s="1"/>
      <c r="V20" s="1"/>
      <c r="W20" s="1"/>
      <c r="X20" s="1"/>
      <c r="Y20" s="1"/>
      <c r="Z20" s="1"/>
    </row>
    <row r="21" spans="1:26" ht="28.05" customHeight="1">
      <c r="A21" s="2" t="s">
        <v>33</v>
      </c>
      <c r="B21" s="6" t="s">
        <v>34</v>
      </c>
      <c r="C21" s="6" t="s">
        <v>15</v>
      </c>
      <c r="D21" s="3" t="s">
        <v>35</v>
      </c>
      <c r="E21" s="1"/>
      <c r="F21" s="1"/>
      <c r="G21" s="1"/>
      <c r="H21" s="1"/>
      <c r="I21" s="2" t="s">
        <v>33</v>
      </c>
      <c r="J21" s="6" t="s">
        <v>34</v>
      </c>
      <c r="K21" s="6" t="s">
        <v>15</v>
      </c>
      <c r="L21" s="3" t="s">
        <v>35</v>
      </c>
      <c r="M21" s="1"/>
      <c r="N21" s="1"/>
      <c r="O21" s="1"/>
      <c r="P21" s="1"/>
      <c r="Q21" s="1"/>
      <c r="R21" s="1"/>
      <c r="S21" s="1"/>
      <c r="T21" s="1"/>
      <c r="U21" s="1"/>
      <c r="V21" s="1"/>
      <c r="W21" s="1"/>
      <c r="X21" s="1"/>
      <c r="Y21" s="1"/>
      <c r="Z21" s="1"/>
    </row>
    <row r="22" spans="1:26">
      <c r="A22" s="1">
        <v>1</v>
      </c>
      <c r="B22" s="1" t="str">
        <f>INDEX('08_Rekap Individu'!$B$5:$B$13,MATCH(D22,'08_Rekap Individu'!$D$5:$D$13,0))</f>
        <v>HR Staff (Ganti Nama)</v>
      </c>
      <c r="C22" s="1" t="str">
        <f>INDEX('08_Rekap Individu'!$C$5:$C$13,MATCH(D22,'08_Rekap Individu'!$D$5:$D$13,0))</f>
        <v>HR</v>
      </c>
      <c r="D22" s="15">
        <f>LARGE('08_Rekap Individu'!$D$5:$D$13,A22)</f>
        <v>0.91795555555555541</v>
      </c>
      <c r="E22" s="1"/>
      <c r="F22" s="1"/>
      <c r="G22" s="1"/>
      <c r="H22" s="1"/>
      <c r="I22" s="1">
        <v>1</v>
      </c>
      <c r="J22" s="1" t="str">
        <f>INDEX('08_Rekap Individu'!$B$5:$B$13,MATCH(L22,'08_Rekap Individu'!$D$5:$D$13,0))</f>
        <v>Ady</v>
      </c>
      <c r="K22" s="1" t="str">
        <f>INDEX('08_Rekap Individu'!$C$5:$C$13,MATCH(L22,'08_Rekap Individu'!$D$5:$D$13,0))</f>
        <v>Design</v>
      </c>
      <c r="L22" s="15">
        <f>SMALL('08_Rekap Individu'!$D$5:$D$13,I22)</f>
        <v>0.84052982456140357</v>
      </c>
      <c r="M22" s="1"/>
      <c r="N22" s="1"/>
      <c r="O22" s="1"/>
      <c r="P22" s="1"/>
      <c r="Q22" s="1"/>
      <c r="R22" s="1"/>
      <c r="S22" s="1"/>
      <c r="T22" s="1"/>
      <c r="U22" s="1"/>
      <c r="V22" s="1"/>
      <c r="W22" s="1"/>
      <c r="X22" s="1"/>
      <c r="Y22" s="1"/>
      <c r="Z22" s="1"/>
    </row>
    <row r="23" spans="1:26">
      <c r="A23" s="1">
        <v>2</v>
      </c>
      <c r="B23" s="1" t="str">
        <f>INDEX('08_Rekap Individu'!$B$5:$B$13,MATCH(D23,'08_Rekap Individu'!$D$5:$D$13,0))</f>
        <v>Kia</v>
      </c>
      <c r="C23" s="1" t="str">
        <f>INDEX('08_Rekap Individu'!$C$5:$C$13,MATCH(D23,'08_Rekap Individu'!$D$5:$D$13,0))</f>
        <v>Marketing</v>
      </c>
      <c r="D23" s="15">
        <f>LARGE('08_Rekap Individu'!$D$5:$D$13,A23)</f>
        <v>0.9074000000000001</v>
      </c>
      <c r="E23" s="1"/>
      <c r="F23" s="1"/>
      <c r="G23" s="1"/>
      <c r="H23" s="1"/>
      <c r="I23" s="1">
        <v>2</v>
      </c>
      <c r="J23" s="1" t="str">
        <f>INDEX('08_Rekap Individu'!$B$5:$B$13,MATCH(L23,'08_Rekap Individu'!$D$5:$D$13,0))</f>
        <v>Finance Staff (Ganti Nama)</v>
      </c>
      <c r="K23" s="1" t="str">
        <f>INDEX('08_Rekap Individu'!$C$5:$C$13,MATCH(L23,'08_Rekap Individu'!$D$5:$D$13,0))</f>
        <v>Finance</v>
      </c>
      <c r="L23" s="15">
        <f>SMALL('08_Rekap Individu'!$D$5:$D$13,I23)</f>
        <v>0.84374678317519525</v>
      </c>
      <c r="M23" s="1"/>
      <c r="N23" s="1"/>
      <c r="O23" s="1"/>
      <c r="P23" s="1"/>
      <c r="Q23" s="1"/>
      <c r="R23" s="1"/>
      <c r="S23" s="1"/>
      <c r="T23" s="1"/>
      <c r="U23" s="1"/>
      <c r="V23" s="1"/>
      <c r="W23" s="1"/>
      <c r="X23" s="1"/>
      <c r="Y23" s="1"/>
      <c r="Z23" s="1"/>
    </row>
    <row r="24" spans="1:26">
      <c r="A24" s="1">
        <v>3</v>
      </c>
      <c r="B24" s="1" t="str">
        <f>INDEX('08_Rekap Individu'!$B$5:$B$13,MATCH(D24,'08_Rekap Individu'!$D$5:$D$13,0))</f>
        <v>Supervisor Produksi (Ganti Nama)</v>
      </c>
      <c r="C24" s="1" t="str">
        <f>INDEX('08_Rekap Individu'!$C$5:$C$13,MATCH(D24,'08_Rekap Individu'!$D$5:$D$13,0))</f>
        <v>Produksi</v>
      </c>
      <c r="D24" s="15">
        <f>LARGE('08_Rekap Individu'!$D$5:$D$13,A24)</f>
        <v>0.88661917293233072</v>
      </c>
      <c r="E24" s="1"/>
      <c r="F24" s="1"/>
      <c r="G24" s="1"/>
      <c r="H24" s="1"/>
      <c r="I24" s="1">
        <v>3</v>
      </c>
      <c r="J24" s="1" t="str">
        <f>INDEX('08_Rekap Individu'!$B$5:$B$13,MATCH(L24,'08_Rekap Individu'!$D$5:$D$13,0))</f>
        <v>Stephan</v>
      </c>
      <c r="K24" s="1" t="str">
        <f>INDEX('08_Rekap Individu'!$C$5:$C$13,MATCH(L24,'08_Rekap Individu'!$D$5:$D$13,0))</f>
        <v>Marketing</v>
      </c>
      <c r="L24" s="15">
        <f>SMALL('08_Rekap Individu'!$D$5:$D$13,I24)</f>
        <v>0.84449999999999992</v>
      </c>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11">
    <mergeCell ref="A8:G8"/>
    <mergeCell ref="A20:G20"/>
    <mergeCell ref="I20:P20"/>
    <mergeCell ref="A1:P1"/>
    <mergeCell ref="A2:P2"/>
    <mergeCell ref="A3:D3"/>
    <mergeCell ref="A4:D5"/>
    <mergeCell ref="F3:I3"/>
    <mergeCell ref="F4:I5"/>
    <mergeCell ref="K3:N3"/>
    <mergeCell ref="K4:N5"/>
  </mergeCells>
  <conditionalFormatting sqref="D10:D15">
    <cfRule type="cellIs" dxfId="0" priority="1" operator="lessThan">
      <formula>0</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Z80"/>
  <sheetViews>
    <sheetView showGridLines="0" workbookViewId="0"/>
  </sheetViews>
  <sheetFormatPr defaultRowHeight="13.8"/>
  <cols>
    <col min="1" max="1" width="18" customWidth="1"/>
    <col min="2" max="2" width="12" customWidth="1"/>
    <col min="3" max="3" width="22" customWidth="1"/>
    <col min="4" max="8" width="18" customWidth="1"/>
  </cols>
  <sheetData>
    <row r="1" spans="1:26" ht="34.049999999999997" customHeight="1">
      <c r="A1" s="55" t="s">
        <v>258</v>
      </c>
      <c r="B1" s="55" t="s">
        <v>258</v>
      </c>
      <c r="C1" s="55" t="s">
        <v>258</v>
      </c>
      <c r="D1" s="55" t="s">
        <v>258</v>
      </c>
      <c r="E1" s="55" t="s">
        <v>258</v>
      </c>
      <c r="F1" s="55" t="s">
        <v>258</v>
      </c>
      <c r="G1" s="55" t="s">
        <v>258</v>
      </c>
      <c r="H1" s="55" t="s">
        <v>258</v>
      </c>
      <c r="I1" s="1"/>
      <c r="J1" s="1"/>
      <c r="K1" s="1"/>
      <c r="L1" s="1"/>
      <c r="M1" s="1"/>
      <c r="N1" s="1"/>
      <c r="O1" s="1"/>
      <c r="P1" s="1"/>
      <c r="Q1" s="1"/>
      <c r="R1" s="1"/>
      <c r="S1" s="1"/>
      <c r="T1" s="1"/>
      <c r="U1" s="1"/>
      <c r="V1" s="1"/>
      <c r="W1" s="1"/>
      <c r="X1" s="1"/>
      <c r="Y1" s="1"/>
      <c r="Z1" s="1"/>
    </row>
    <row r="2" spans="1:26" ht="24" customHeight="1">
      <c r="A2" s="56" t="s">
        <v>259</v>
      </c>
      <c r="B2" s="56" t="s">
        <v>259</v>
      </c>
      <c r="C2" s="56" t="s">
        <v>259</v>
      </c>
      <c r="D2" s="56" t="s">
        <v>259</v>
      </c>
      <c r="E2" s="56" t="s">
        <v>259</v>
      </c>
      <c r="F2" s="56" t="s">
        <v>259</v>
      </c>
      <c r="G2" s="56" t="s">
        <v>259</v>
      </c>
      <c r="H2" s="56" t="s">
        <v>259</v>
      </c>
      <c r="I2" s="1"/>
      <c r="J2" s="1"/>
      <c r="K2" s="1"/>
      <c r="L2" s="1"/>
      <c r="M2" s="1"/>
      <c r="N2" s="1"/>
      <c r="O2" s="1"/>
      <c r="P2" s="1"/>
      <c r="Q2" s="1"/>
      <c r="R2" s="1"/>
      <c r="S2" s="1"/>
      <c r="T2" s="1"/>
      <c r="U2" s="1"/>
      <c r="V2" s="1"/>
      <c r="W2" s="1"/>
      <c r="X2" s="1"/>
      <c r="Y2" s="1"/>
      <c r="Z2" s="1"/>
    </row>
    <row r="3" spans="1:26">
      <c r="A3" s="1"/>
      <c r="B3" s="1"/>
      <c r="C3" s="1"/>
      <c r="D3" s="1"/>
      <c r="E3" s="1"/>
      <c r="F3" s="1"/>
      <c r="G3" s="1"/>
      <c r="H3" s="1"/>
      <c r="I3" s="1"/>
      <c r="J3" s="1"/>
      <c r="K3" s="1"/>
      <c r="L3" s="1"/>
      <c r="M3" s="1"/>
      <c r="N3" s="1"/>
      <c r="O3" s="1"/>
      <c r="P3" s="1"/>
      <c r="Q3" s="1"/>
      <c r="R3" s="1"/>
      <c r="S3" s="1"/>
      <c r="T3" s="1"/>
      <c r="U3" s="1"/>
      <c r="V3" s="1"/>
      <c r="W3" s="1"/>
      <c r="X3" s="1"/>
      <c r="Y3" s="1"/>
      <c r="Z3" s="1"/>
    </row>
    <row r="4" spans="1:26" ht="28.05" customHeight="1">
      <c r="A4" s="2" t="s">
        <v>2</v>
      </c>
      <c r="B4" s="3" t="s">
        <v>260</v>
      </c>
      <c r="C4" s="1"/>
      <c r="D4" s="2" t="s">
        <v>4</v>
      </c>
      <c r="E4" s="3" t="s">
        <v>89</v>
      </c>
      <c r="F4" s="1"/>
      <c r="G4" s="2" t="s">
        <v>261</v>
      </c>
      <c r="H4" s="3" t="s">
        <v>209</v>
      </c>
      <c r="I4" s="1"/>
      <c r="J4" s="1"/>
      <c r="K4" s="1"/>
      <c r="L4" s="1"/>
      <c r="M4" s="1"/>
      <c r="N4" s="1"/>
      <c r="O4" s="1"/>
      <c r="P4" s="1"/>
      <c r="Q4" s="1"/>
      <c r="R4" s="1"/>
      <c r="S4" s="1"/>
      <c r="T4" s="1"/>
      <c r="U4" s="1"/>
      <c r="V4" s="1"/>
      <c r="W4" s="1"/>
      <c r="X4" s="1"/>
      <c r="Y4" s="1"/>
      <c r="Z4" s="1"/>
    </row>
    <row r="5" spans="1:26">
      <c r="A5" s="1" t="s">
        <v>192</v>
      </c>
      <c r="B5" s="1">
        <v>1</v>
      </c>
      <c r="C5" s="1"/>
      <c r="D5" s="1">
        <v>2025</v>
      </c>
      <c r="E5" s="1" t="s">
        <v>262</v>
      </c>
      <c r="F5" s="1"/>
      <c r="G5" s="1" t="s">
        <v>263</v>
      </c>
      <c r="H5" s="5">
        <v>0.85</v>
      </c>
      <c r="I5" s="1"/>
      <c r="J5" s="1"/>
      <c r="K5" s="1"/>
      <c r="L5" s="1"/>
      <c r="M5" s="1"/>
      <c r="N5" s="1"/>
      <c r="O5" s="1"/>
      <c r="P5" s="1"/>
      <c r="Q5" s="1"/>
      <c r="R5" s="1"/>
      <c r="S5" s="1"/>
      <c r="T5" s="1"/>
      <c r="U5" s="1"/>
      <c r="V5" s="1"/>
      <c r="W5" s="1"/>
      <c r="X5" s="1"/>
      <c r="Y5" s="1"/>
      <c r="Z5" s="1"/>
    </row>
    <row r="6" spans="1:26">
      <c r="A6" s="1" t="s">
        <v>193</v>
      </c>
      <c r="B6" s="1">
        <v>2</v>
      </c>
      <c r="C6" s="1"/>
      <c r="D6" s="1">
        <v>2026</v>
      </c>
      <c r="E6" s="1" t="s">
        <v>264</v>
      </c>
      <c r="F6" s="1"/>
      <c r="G6" s="1" t="s">
        <v>265</v>
      </c>
      <c r="H6" s="5">
        <v>0.85</v>
      </c>
      <c r="I6" s="1"/>
      <c r="J6" s="1"/>
      <c r="K6" s="1"/>
      <c r="L6" s="1"/>
      <c r="M6" s="1"/>
      <c r="N6" s="1"/>
      <c r="O6" s="1"/>
      <c r="P6" s="1"/>
      <c r="Q6" s="1"/>
      <c r="R6" s="1"/>
      <c r="S6" s="1"/>
      <c r="T6" s="1"/>
      <c r="U6" s="1"/>
      <c r="V6" s="1"/>
      <c r="W6" s="1"/>
      <c r="X6" s="1"/>
      <c r="Y6" s="1"/>
      <c r="Z6" s="1"/>
    </row>
    <row r="7" spans="1:26">
      <c r="A7" s="1" t="s">
        <v>194</v>
      </c>
      <c r="B7" s="1">
        <v>3</v>
      </c>
      <c r="C7" s="1"/>
      <c r="D7" s="1">
        <v>2027</v>
      </c>
      <c r="E7" s="1" t="s">
        <v>262</v>
      </c>
      <c r="F7" s="1"/>
      <c r="G7" s="1" t="s">
        <v>266</v>
      </c>
      <c r="H7" s="5">
        <v>1</v>
      </c>
      <c r="I7" s="1"/>
      <c r="J7" s="1"/>
      <c r="K7" s="1"/>
      <c r="L7" s="1"/>
      <c r="M7" s="1"/>
      <c r="N7" s="1"/>
      <c r="O7" s="1"/>
      <c r="P7" s="1"/>
      <c r="Q7" s="1"/>
      <c r="R7" s="1"/>
      <c r="S7" s="1"/>
      <c r="T7" s="1"/>
      <c r="U7" s="1"/>
      <c r="V7" s="1"/>
      <c r="W7" s="1"/>
      <c r="X7" s="1"/>
      <c r="Y7" s="1"/>
      <c r="Z7" s="1"/>
    </row>
    <row r="8" spans="1:26">
      <c r="A8" s="1" t="s">
        <v>195</v>
      </c>
      <c r="B8" s="1">
        <v>4</v>
      </c>
      <c r="C8" s="1"/>
      <c r="D8" s="1">
        <v>2028</v>
      </c>
      <c r="E8" s="1" t="s">
        <v>262</v>
      </c>
      <c r="F8" s="1"/>
      <c r="G8" s="1" t="s">
        <v>267</v>
      </c>
      <c r="H8" s="5">
        <v>0.1</v>
      </c>
      <c r="I8" s="1"/>
      <c r="J8" s="1"/>
      <c r="K8" s="1"/>
      <c r="L8" s="1"/>
      <c r="M8" s="1"/>
      <c r="N8" s="1"/>
      <c r="O8" s="1"/>
      <c r="P8" s="1"/>
      <c r="Q8" s="1"/>
      <c r="R8" s="1"/>
      <c r="S8" s="1"/>
      <c r="T8" s="1"/>
      <c r="U8" s="1"/>
      <c r="V8" s="1"/>
      <c r="W8" s="1"/>
      <c r="X8" s="1"/>
      <c r="Y8" s="1"/>
      <c r="Z8" s="1"/>
    </row>
    <row r="9" spans="1:26">
      <c r="A9" s="1" t="s">
        <v>40</v>
      </c>
      <c r="B9" s="1">
        <v>5</v>
      </c>
      <c r="C9" s="1"/>
      <c r="D9" s="1">
        <v>2029</v>
      </c>
      <c r="E9" s="1" t="s">
        <v>262</v>
      </c>
      <c r="F9" s="1"/>
      <c r="G9" s="1"/>
      <c r="H9" s="1"/>
      <c r="I9" s="1"/>
      <c r="J9" s="1"/>
      <c r="K9" s="1"/>
      <c r="L9" s="1"/>
      <c r="M9" s="1"/>
      <c r="N9" s="1"/>
      <c r="O9" s="1"/>
      <c r="P9" s="1"/>
      <c r="Q9" s="1"/>
      <c r="R9" s="1"/>
      <c r="S9" s="1"/>
      <c r="T9" s="1"/>
      <c r="U9" s="1"/>
      <c r="V9" s="1"/>
      <c r="W9" s="1"/>
      <c r="X9" s="1"/>
      <c r="Y9" s="1"/>
      <c r="Z9" s="1"/>
    </row>
    <row r="10" spans="1:26">
      <c r="A10" s="1" t="s">
        <v>196</v>
      </c>
      <c r="B10" s="1">
        <v>6</v>
      </c>
      <c r="C10" s="1"/>
      <c r="D10" s="1"/>
      <c r="E10" s="1"/>
      <c r="F10" s="1"/>
      <c r="G10" s="1"/>
      <c r="H10" s="1"/>
      <c r="I10" s="1"/>
      <c r="J10" s="1"/>
      <c r="K10" s="1"/>
      <c r="L10" s="1"/>
      <c r="M10" s="1"/>
      <c r="N10" s="1"/>
      <c r="O10" s="1"/>
      <c r="P10" s="1"/>
      <c r="Q10" s="1"/>
      <c r="R10" s="1"/>
      <c r="S10" s="1"/>
      <c r="T10" s="1"/>
      <c r="U10" s="1"/>
      <c r="V10" s="1"/>
      <c r="W10" s="1"/>
      <c r="X10" s="1"/>
      <c r="Y10" s="1"/>
      <c r="Z10" s="1"/>
    </row>
    <row r="11" spans="1:26">
      <c r="A11" s="1" t="s">
        <v>197</v>
      </c>
      <c r="B11" s="1">
        <v>7</v>
      </c>
      <c r="C11" s="1"/>
      <c r="D11" s="1"/>
      <c r="E11" s="1"/>
      <c r="F11" s="1"/>
      <c r="G11" s="1"/>
      <c r="H11" s="1"/>
      <c r="I11" s="1"/>
      <c r="J11" s="1"/>
      <c r="K11" s="1"/>
      <c r="L11" s="1"/>
      <c r="M11" s="1"/>
      <c r="N11" s="1"/>
      <c r="O11" s="1"/>
      <c r="P11" s="1"/>
      <c r="Q11" s="1"/>
      <c r="R11" s="1"/>
      <c r="S11" s="1"/>
      <c r="T11" s="1"/>
      <c r="U11" s="1"/>
      <c r="V11" s="1"/>
      <c r="W11" s="1"/>
      <c r="X11" s="1"/>
      <c r="Y11" s="1"/>
      <c r="Z11" s="1"/>
    </row>
    <row r="12" spans="1:26">
      <c r="A12" s="1" t="s">
        <v>3</v>
      </c>
      <c r="B12" s="1">
        <v>8</v>
      </c>
      <c r="C12" s="1"/>
      <c r="D12" s="1"/>
      <c r="E12" s="1"/>
      <c r="F12" s="1"/>
      <c r="G12" s="1"/>
      <c r="H12" s="1"/>
      <c r="I12" s="1"/>
      <c r="J12" s="1"/>
      <c r="K12" s="1"/>
      <c r="L12" s="1"/>
      <c r="M12" s="1"/>
      <c r="N12" s="1"/>
      <c r="O12" s="1"/>
      <c r="P12" s="1"/>
      <c r="Q12" s="1"/>
      <c r="R12" s="1"/>
      <c r="S12" s="1"/>
      <c r="T12" s="1"/>
      <c r="U12" s="1"/>
      <c r="V12" s="1"/>
      <c r="W12" s="1"/>
      <c r="X12" s="1"/>
      <c r="Y12" s="1"/>
      <c r="Z12" s="1"/>
    </row>
    <row r="13" spans="1:26">
      <c r="A13" s="1" t="s">
        <v>198</v>
      </c>
      <c r="B13" s="1">
        <v>9</v>
      </c>
      <c r="C13" s="1"/>
      <c r="D13" s="1"/>
      <c r="E13" s="1"/>
      <c r="F13" s="1"/>
      <c r="G13" s="1"/>
      <c r="H13" s="1"/>
      <c r="I13" s="1"/>
      <c r="J13" s="1"/>
      <c r="K13" s="1"/>
      <c r="L13" s="1"/>
      <c r="M13" s="1"/>
      <c r="N13" s="1"/>
      <c r="O13" s="1"/>
      <c r="P13" s="1"/>
      <c r="Q13" s="1"/>
      <c r="R13" s="1"/>
      <c r="S13" s="1"/>
      <c r="T13" s="1"/>
      <c r="U13" s="1"/>
      <c r="V13" s="1"/>
      <c r="W13" s="1"/>
      <c r="X13" s="1"/>
      <c r="Y13" s="1"/>
      <c r="Z13" s="1"/>
    </row>
    <row r="14" spans="1:26">
      <c r="A14" s="1" t="s">
        <v>199</v>
      </c>
      <c r="B14" s="1">
        <v>10</v>
      </c>
      <c r="C14" s="1"/>
      <c r="D14" s="1"/>
      <c r="E14" s="1"/>
      <c r="F14" s="1"/>
      <c r="G14" s="1"/>
      <c r="H14" s="1"/>
      <c r="I14" s="1"/>
      <c r="J14" s="1"/>
      <c r="K14" s="1"/>
      <c r="L14" s="1"/>
      <c r="M14" s="1"/>
      <c r="N14" s="1"/>
      <c r="O14" s="1"/>
      <c r="P14" s="1"/>
      <c r="Q14" s="1"/>
      <c r="R14" s="1"/>
      <c r="S14" s="1"/>
      <c r="T14" s="1"/>
      <c r="U14" s="1"/>
      <c r="V14" s="1"/>
      <c r="W14" s="1"/>
      <c r="X14" s="1"/>
      <c r="Y14" s="1"/>
      <c r="Z14" s="1"/>
    </row>
    <row r="15" spans="1:26">
      <c r="A15" s="1" t="s">
        <v>200</v>
      </c>
      <c r="B15" s="1">
        <v>11</v>
      </c>
      <c r="C15" s="1"/>
      <c r="D15" s="1"/>
      <c r="E15" s="1"/>
      <c r="F15" s="1"/>
      <c r="G15" s="1"/>
      <c r="H15" s="1"/>
      <c r="I15" s="1"/>
      <c r="J15" s="1"/>
      <c r="K15" s="1"/>
      <c r="L15" s="1"/>
      <c r="M15" s="1"/>
      <c r="N15" s="1"/>
      <c r="O15" s="1"/>
      <c r="P15" s="1"/>
      <c r="Q15" s="1"/>
      <c r="R15" s="1"/>
      <c r="S15" s="1"/>
      <c r="T15" s="1"/>
      <c r="U15" s="1"/>
      <c r="V15" s="1"/>
      <c r="W15" s="1"/>
      <c r="X15" s="1"/>
      <c r="Y15" s="1"/>
      <c r="Z15" s="1"/>
    </row>
    <row r="16" spans="1:26">
      <c r="A16" s="1" t="s">
        <v>201</v>
      </c>
      <c r="B16" s="1">
        <v>12</v>
      </c>
      <c r="C16" s="1"/>
      <c r="D16" s="1"/>
      <c r="E16" s="1"/>
      <c r="F16" s="1"/>
      <c r="G16" s="1"/>
      <c r="H16" s="1"/>
      <c r="I16" s="1"/>
      <c r="J16" s="1"/>
      <c r="K16" s="1"/>
      <c r="L16" s="1"/>
      <c r="M16" s="1"/>
      <c r="N16" s="1"/>
      <c r="O16" s="1"/>
      <c r="P16" s="1"/>
      <c r="Q16" s="1"/>
      <c r="R16" s="1"/>
      <c r="S16" s="1"/>
      <c r="T16" s="1"/>
      <c r="U16" s="1"/>
      <c r="V16" s="1"/>
      <c r="W16" s="1"/>
      <c r="X16" s="1"/>
      <c r="Y16" s="1"/>
      <c r="Z16" s="1"/>
    </row>
    <row r="17" spans="1:26">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28.05" customHeight="1">
      <c r="A19" s="2" t="s">
        <v>268</v>
      </c>
      <c r="B19" s="6" t="s">
        <v>18</v>
      </c>
      <c r="C19" s="3" t="s">
        <v>269</v>
      </c>
      <c r="D19" s="1"/>
      <c r="E19" s="2" t="s">
        <v>268</v>
      </c>
      <c r="F19" s="6" t="s">
        <v>221</v>
      </c>
      <c r="G19" s="3" t="s">
        <v>210</v>
      </c>
      <c r="H19" s="1"/>
      <c r="I19" s="1"/>
      <c r="J19" s="1"/>
      <c r="K19" s="1"/>
      <c r="L19" s="1"/>
      <c r="M19" s="1"/>
      <c r="N19" s="1"/>
      <c r="O19" s="1"/>
      <c r="P19" s="1"/>
      <c r="Q19" s="1"/>
      <c r="R19" s="1"/>
      <c r="S19" s="1"/>
      <c r="T19" s="1"/>
      <c r="U19" s="1"/>
      <c r="V19" s="1"/>
      <c r="W19" s="1"/>
      <c r="X19" s="1"/>
      <c r="Y19" s="1"/>
      <c r="Z19" s="1"/>
    </row>
    <row r="20" spans="1:26">
      <c r="A20" s="7">
        <v>0</v>
      </c>
      <c r="B20" s="1" t="s">
        <v>29</v>
      </c>
      <c r="C20" s="1" t="s">
        <v>270</v>
      </c>
      <c r="D20" s="1"/>
      <c r="E20" s="7">
        <v>0</v>
      </c>
      <c r="F20" s="7">
        <v>0</v>
      </c>
      <c r="G20" s="1" t="s">
        <v>271</v>
      </c>
      <c r="H20" s="1"/>
      <c r="I20" s="1"/>
      <c r="J20" s="1"/>
      <c r="K20" s="1"/>
      <c r="L20" s="1"/>
      <c r="M20" s="1"/>
      <c r="N20" s="1"/>
      <c r="O20" s="1"/>
      <c r="P20" s="1"/>
      <c r="Q20" s="1"/>
      <c r="R20" s="1"/>
      <c r="S20" s="1"/>
      <c r="T20" s="1"/>
      <c r="U20" s="1"/>
      <c r="V20" s="1"/>
      <c r="W20" s="1"/>
      <c r="X20" s="1"/>
      <c r="Y20" s="1"/>
      <c r="Z20" s="1"/>
    </row>
    <row r="21" spans="1:26">
      <c r="A21" s="7">
        <v>0.6</v>
      </c>
      <c r="B21" s="1" t="s">
        <v>27</v>
      </c>
      <c r="C21" s="1" t="s">
        <v>272</v>
      </c>
      <c r="D21" s="1"/>
      <c r="E21" s="7">
        <v>0.8</v>
      </c>
      <c r="F21" s="7">
        <v>0.25</v>
      </c>
      <c r="G21" s="1" t="s">
        <v>273</v>
      </c>
      <c r="H21" s="1"/>
      <c r="I21" s="1"/>
      <c r="J21" s="1"/>
      <c r="K21" s="1"/>
      <c r="L21" s="1"/>
      <c r="M21" s="1"/>
      <c r="N21" s="1"/>
      <c r="O21" s="1"/>
      <c r="P21" s="1"/>
      <c r="Q21" s="1"/>
      <c r="R21" s="1"/>
      <c r="S21" s="1"/>
      <c r="T21" s="1"/>
      <c r="U21" s="1"/>
      <c r="V21" s="1"/>
      <c r="W21" s="1"/>
      <c r="X21" s="1"/>
      <c r="Y21" s="1"/>
      <c r="Z21" s="1"/>
    </row>
    <row r="22" spans="1:26">
      <c r="A22" s="7">
        <v>0.75</v>
      </c>
      <c r="B22" s="1" t="s">
        <v>25</v>
      </c>
      <c r="C22" s="1" t="s">
        <v>274</v>
      </c>
      <c r="D22" s="1"/>
      <c r="E22" s="7">
        <v>0.85</v>
      </c>
      <c r="F22" s="7">
        <v>0.5</v>
      </c>
      <c r="G22" s="1" t="s">
        <v>275</v>
      </c>
      <c r="H22" s="1"/>
      <c r="I22" s="1"/>
      <c r="J22" s="1"/>
      <c r="K22" s="1"/>
      <c r="L22" s="1"/>
      <c r="M22" s="1"/>
      <c r="N22" s="1"/>
      <c r="O22" s="1"/>
      <c r="P22" s="1"/>
      <c r="Q22" s="1"/>
      <c r="R22" s="1"/>
      <c r="S22" s="1"/>
      <c r="T22" s="1"/>
      <c r="U22" s="1"/>
      <c r="V22" s="1"/>
      <c r="W22" s="1"/>
      <c r="X22" s="1"/>
      <c r="Y22" s="1"/>
      <c r="Z22" s="1"/>
    </row>
    <row r="23" spans="1:26">
      <c r="A23" s="7">
        <v>0.85</v>
      </c>
      <c r="B23" s="1" t="s">
        <v>23</v>
      </c>
      <c r="C23" s="1" t="s">
        <v>276</v>
      </c>
      <c r="D23" s="1"/>
      <c r="E23" s="7">
        <v>0.9</v>
      </c>
      <c r="F23" s="7">
        <v>0.75</v>
      </c>
      <c r="G23" s="1" t="s">
        <v>277</v>
      </c>
      <c r="H23" s="1"/>
      <c r="I23" s="1"/>
      <c r="J23" s="1"/>
      <c r="K23" s="1"/>
      <c r="L23" s="1"/>
      <c r="M23" s="1"/>
      <c r="N23" s="1"/>
      <c r="O23" s="1"/>
      <c r="P23" s="1"/>
      <c r="Q23" s="1"/>
      <c r="R23" s="1"/>
      <c r="S23" s="1"/>
      <c r="T23" s="1"/>
      <c r="U23" s="1"/>
      <c r="V23" s="1"/>
      <c r="W23" s="1"/>
      <c r="X23" s="1"/>
      <c r="Y23" s="1"/>
      <c r="Z23" s="1"/>
    </row>
    <row r="24" spans="1:26">
      <c r="A24" s="7">
        <v>0.95</v>
      </c>
      <c r="B24" s="1" t="s">
        <v>21</v>
      </c>
      <c r="C24" s="1" t="s">
        <v>278</v>
      </c>
      <c r="D24" s="1"/>
      <c r="E24" s="7">
        <v>0.95</v>
      </c>
      <c r="F24" s="7">
        <v>1</v>
      </c>
      <c r="G24" s="1" t="s">
        <v>279</v>
      </c>
      <c r="H24" s="1"/>
      <c r="I24" s="1"/>
      <c r="J24" s="1"/>
      <c r="K24" s="1"/>
      <c r="L24" s="1"/>
      <c r="M24" s="1"/>
      <c r="N24" s="1"/>
      <c r="O24" s="1"/>
      <c r="P24" s="1"/>
      <c r="Q24" s="1"/>
      <c r="R24" s="1"/>
      <c r="S24" s="1"/>
      <c r="T24" s="1"/>
      <c r="U24" s="1"/>
      <c r="V24" s="1"/>
      <c r="W24" s="1"/>
      <c r="X24" s="1"/>
      <c r="Y24" s="1"/>
      <c r="Z24" s="1"/>
    </row>
    <row r="25" spans="1:26">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c r="A27" s="96" t="s">
        <v>280</v>
      </c>
      <c r="B27" s="96" t="s">
        <v>280</v>
      </c>
      <c r="C27" s="96" t="s">
        <v>280</v>
      </c>
      <c r="D27" s="96" t="s">
        <v>280</v>
      </c>
      <c r="E27" s="96" t="s">
        <v>280</v>
      </c>
      <c r="F27" s="96" t="s">
        <v>280</v>
      </c>
      <c r="G27" s="96" t="s">
        <v>280</v>
      </c>
      <c r="H27" s="96" t="s">
        <v>280</v>
      </c>
      <c r="I27" s="1"/>
      <c r="J27" s="1"/>
      <c r="K27" s="1"/>
      <c r="L27" s="1"/>
      <c r="M27" s="1"/>
      <c r="N27" s="1"/>
      <c r="O27" s="1"/>
      <c r="P27" s="1"/>
      <c r="Q27" s="1"/>
      <c r="R27" s="1"/>
      <c r="S27" s="1"/>
      <c r="T27" s="1"/>
      <c r="U27" s="1"/>
      <c r="V27" s="1"/>
      <c r="W27" s="1"/>
      <c r="X27" s="1"/>
      <c r="Y27" s="1"/>
      <c r="Z27" s="1"/>
    </row>
    <row r="28" spans="1:26">
      <c r="A28" s="96" t="s">
        <v>280</v>
      </c>
      <c r="B28" s="96" t="s">
        <v>280</v>
      </c>
      <c r="C28" s="96" t="s">
        <v>280</v>
      </c>
      <c r="D28" s="96" t="s">
        <v>280</v>
      </c>
      <c r="E28" s="96" t="s">
        <v>280</v>
      </c>
      <c r="F28" s="96" t="s">
        <v>280</v>
      </c>
      <c r="G28" s="96" t="s">
        <v>280</v>
      </c>
      <c r="H28" s="96" t="s">
        <v>280</v>
      </c>
      <c r="I28" s="1"/>
      <c r="J28" s="1"/>
      <c r="K28" s="1"/>
      <c r="L28" s="1"/>
      <c r="M28" s="1"/>
      <c r="N28" s="1"/>
      <c r="O28" s="1"/>
      <c r="P28" s="1"/>
      <c r="Q28" s="1"/>
      <c r="R28" s="1"/>
      <c r="S28" s="1"/>
      <c r="T28" s="1"/>
      <c r="U28" s="1"/>
      <c r="V28" s="1"/>
      <c r="W28" s="1"/>
      <c r="X28" s="1"/>
      <c r="Y28" s="1"/>
      <c r="Z28" s="1"/>
    </row>
    <row r="29" spans="1:26">
      <c r="A29" s="96" t="s">
        <v>280</v>
      </c>
      <c r="B29" s="96" t="s">
        <v>280</v>
      </c>
      <c r="C29" s="96" t="s">
        <v>280</v>
      </c>
      <c r="D29" s="96" t="s">
        <v>280</v>
      </c>
      <c r="E29" s="96" t="s">
        <v>280</v>
      </c>
      <c r="F29" s="96" t="s">
        <v>280</v>
      </c>
      <c r="G29" s="96" t="s">
        <v>280</v>
      </c>
      <c r="H29" s="96" t="s">
        <v>280</v>
      </c>
      <c r="I29" s="1"/>
      <c r="J29" s="1"/>
      <c r="K29" s="1"/>
      <c r="L29" s="1"/>
      <c r="M29" s="1"/>
      <c r="N29" s="1"/>
      <c r="O29" s="1"/>
      <c r="P29" s="1"/>
      <c r="Q29" s="1"/>
      <c r="R29" s="1"/>
      <c r="S29" s="1"/>
      <c r="T29" s="1"/>
      <c r="U29" s="1"/>
      <c r="V29" s="1"/>
      <c r="W29" s="1"/>
      <c r="X29" s="1"/>
      <c r="Y29" s="1"/>
      <c r="Z29" s="1"/>
    </row>
    <row r="30" spans="1:26">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c r="A80" s="1"/>
      <c r="B80" s="1"/>
      <c r="C80" s="1"/>
      <c r="D80" s="1"/>
      <c r="E80" s="1"/>
      <c r="F80" s="1"/>
      <c r="G80" s="1"/>
      <c r="H80" s="1"/>
      <c r="I80" s="1"/>
      <c r="J80" s="1"/>
      <c r="K80" s="1"/>
      <c r="L80" s="1"/>
      <c r="M80" s="1"/>
      <c r="N80" s="1"/>
      <c r="O80" s="1"/>
      <c r="P80" s="1"/>
      <c r="Q80" s="1"/>
      <c r="R80" s="1"/>
      <c r="S80" s="1"/>
      <c r="T80" s="1"/>
      <c r="U80" s="1"/>
      <c r="V80" s="1"/>
      <c r="W80" s="1"/>
      <c r="X80" s="1"/>
      <c r="Y80" s="1"/>
      <c r="Z80" s="1"/>
    </row>
  </sheetData>
  <mergeCells count="3">
    <mergeCell ref="A1:H1"/>
    <mergeCell ref="A2:H2"/>
    <mergeCell ref="A27:H2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01_Dashboard</vt:lpstr>
      <vt:lpstr>02_Master Divisi</vt:lpstr>
      <vt:lpstr>03_Master Jabatan</vt:lpstr>
      <vt:lpstr>04_Master Karyawan</vt:lpstr>
      <vt:lpstr>05_Master KPI</vt:lpstr>
      <vt:lpstr>06_Target KPI</vt:lpstr>
      <vt:lpstr>07A_KPI Produksi</vt:lpstr>
      <vt:lpstr>07B_KPI Marketing</vt:lpstr>
      <vt:lpstr>07C_KPI Admin</vt:lpstr>
      <vt:lpstr>07D_KPI Design</vt:lpstr>
      <vt:lpstr>07E_KPI HR</vt:lpstr>
      <vt:lpstr>07F_KPI Finance</vt:lpstr>
      <vt:lpstr>08_Rekap Individu</vt:lpstr>
      <vt:lpstr>09_Rekap Divisi</vt:lpstr>
      <vt:lpstr>10_Rekap Perusahaan</vt:lpstr>
      <vt:lpstr>11_Reward Punishment</vt:lpstr>
      <vt:lpstr>12_Dashboard CEO</vt:lpstr>
      <vt:lpstr>13_Setting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baghdad huha</dc:creator>
  <cp:lastModifiedBy>baghdad huha</cp:lastModifiedBy>
  <dcterms:created xsi:type="dcterms:W3CDTF">2026-08-11T01:50:05Z</dcterms:created>
  <dcterms:modified xsi:type="dcterms:W3CDTF">2026-08-11T01:50:05Z</dcterms:modified>
</cp:coreProperties>
</file>